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O DO — Species" sheetId="2" state="visible" r:id="rId4"/>
    <sheet name="Other Issues" sheetId="3" state="visible" r:id="rId5"/>
    <sheet name="Products" sheetId="4" state="visible" r:id="rId6"/>
    <sheet name="Material Mapping" sheetId="5" state="visible" r:id="rId7"/>
    <sheet name="Page Redirects" sheetId="6" state="visible" r:id="rId8"/>
    <sheet name="Categories" sheetId="7" state="visible" r:id="rId9"/>
  </sheets>
  <definedNames>
    <definedName function="false" hidden="true" localSheetId="6" name="_xlnm._FilterDatabase" vbProcedure="false">Categories!$A$1:$C$40</definedName>
    <definedName function="false" hidden="true" localSheetId="4" name="_xlnm._FilterDatabase" vbProcedure="false">'Material Mapping'!$A$1:$F$53</definedName>
    <definedName function="false" hidden="true" localSheetId="2" name="_xlnm._FilterDatabase" vbProcedure="false">'Other Issues'!$A$1:$W$506</definedName>
    <definedName function="false" hidden="true" localSheetId="5" name="_xlnm._FilterDatabase" vbProcedure="false">'Page Redirects'!$A$1:$D$17</definedName>
    <definedName function="false" hidden="true" localSheetId="3" name="_xlnm._FilterDatabase" vbProcedure="false">Products!$A$1:$W$860</definedName>
    <definedName function="false" hidden="true" localSheetId="1" name="_xlnm._FilterDatabase" vbProcedure="false">'TO DO — Species'!$A$5:$Z$454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<sst xmlns="http://schemas.openxmlformats.org/spreadsheetml/2006/main" count="19172" uniqueCount="3564">
  <si>
    <t xml:space="preserve">Royal Wood Shop — Phase 0 Data Audit</t>
  </si>
  <si>
    <t xml:space="preserve">Source: production database dump (rwswp_), 30 July 2026</t>
  </si>
  <si>
    <t xml:space="preserve">Every count below was computed by the audit script (parse_dump.py / build.py / final_xlsx.py, shipped alongside) directly from the database dump, and is reproducible by filtering the Products tab. Companion file: redirect_map_products.csv</t>
  </si>
  <si>
    <t xml:space="preserve">START HERE  →  the tab marked "TO DO — Species"</t>
  </si>
  <si>
    <t xml:space="preserve">449 products, one column to fill in. That tab is the entire job. Everything else in this workbook is reference.</t>
  </si>
  <si>
    <t xml:space="preserve">THE HEADLINE FINDING</t>
  </si>
  <si>
    <t xml:space="preserve">Your catalogue lives in TWO stores that have drifted apart.</t>
  </si>
  <si>
    <t xml:space="preserve">The UPCP plugin tables hold all 539 products and the structured fields. The WordPress upcp_product posts hold the newer, SEO-optimised titles and longer descriptions. Migrating from either source alone loses data.</t>
  </si>
  <si>
    <t xml:space="preserve">KEY NUMBERS</t>
  </si>
  <si>
    <t xml:space="preserve">Products in UPCP tables</t>
  </si>
  <si>
    <t xml:space="preserve">539</t>
  </si>
  <si>
    <t xml:space="preserve">Not 331 as the sitemap suggested. Your "500+" was right.</t>
  </si>
  <si>
    <t xml:space="preserve">Products with a WordPress post</t>
  </si>
  <si>
    <t xml:space="preserve">410</t>
  </si>
  <si>
    <t xml:space="preserve">Only these have an indexable URL.</t>
  </si>
  <si>
    <t xml:space="preserve">Products with NO post at all</t>
  </si>
  <si>
    <t xml:space="preserve">129</t>
  </si>
  <si>
    <t xml:space="preserve">These have no indexable URL anywhere. Invisible to Google.</t>
  </si>
  <si>
    <t xml:space="preserve">Products where the two slugs disagree</t>
  </si>
  <si>
    <t xml:space="preserve">148</t>
  </si>
  <si>
    <t xml:space="preserve">The mechanical cause of the duplicate-URL problem.</t>
  </si>
  <si>
    <t xml:space="preserve">Products with usable species data</t>
  </si>
  <si>
    <t xml:space="preserve">90</t>
  </si>
  <si>
    <t xml:space="preserve">THE BOTTLENECK. Species filtering is impossible until this reaches 539.</t>
  </si>
  <si>
    <t xml:space="preserve">Products with numeric dimensions</t>
  </si>
  <si>
    <t xml:space="preserve">259</t>
  </si>
  <si>
    <t xml:space="preserve">Parsed from free text. Enables range filters and correct sorting.</t>
  </si>
  <si>
    <t xml:space="preserve">Products with no description in either store</t>
  </si>
  <si>
    <t xml:space="preserve">165</t>
  </si>
  <si>
    <t xml:space="preserve">Blank pages cannot rank, whatever the technical SEO.</t>
  </si>
  <si>
    <t xml:space="preserve">Rows needing human review</t>
  </si>
  <si>
    <t xml:space="preserve">505</t>
  </si>
  <si>
    <t xml:space="preserve">See the Needs Review tab.</t>
  </si>
  <si>
    <t xml:space="preserve">Product redirects required</t>
  </si>
  <si>
    <t xml:space="preserve">2,148</t>
  </si>
  <si>
    <t xml:space="preserve">Hardcoded: row count of the companion file redirect_map_products.csv (4 legacy URL patterns x 537 unique slugs). Shipped as CSV for direct import into the redirects table.</t>
  </si>
  <si>
    <t xml:space="preserve">TABS</t>
  </si>
  <si>
    <t xml:space="preserve">Products</t>
  </si>
  <si>
    <t xml:space="preserve">All 539 products, both sources merged. product_name and material_raw take whichever source is richer.</t>
  </si>
  <si>
    <t xml:space="preserve">Needs Review</t>
  </si>
  <si>
    <t xml:space="preserve">Only rows with problems. Work here, not in the full Products tab.</t>
  </si>
  <si>
    <t xml:space="preserve">Material Mapping</t>
  </si>
  <si>
    <t xml:space="preserve">Every raw material value with a proposed mapping. Review before bulk-applying.</t>
  </si>
  <si>
    <t xml:space="preserve">Page Redirects</t>
  </si>
  <si>
    <t xml:space="preserve">Page-level redirects, plus three existing rules that MUST be changed at cutover.</t>
  </si>
  <si>
    <t xml:space="preserve">Categories</t>
  </si>
  <si>
    <t xml:space="preserve">Category and sub-category structure with counts.</t>
  </si>
  <si>
    <t xml:space="preserve">CELLS TO EDIT</t>
  </si>
  <si>
    <t xml:space="preserve">species_PROPOSED (Products, column O)</t>
  </si>
  <si>
    <t xml:space="preserve">Shaded pale yellow where blank. The only column needing Royal Wood Shop staff input.</t>
  </si>
  <si>
    <t xml:space="preserve">Example of a completed entry:</t>
  </si>
  <si>
    <t xml:space="preserve">CAS-2M4</t>
  </si>
  <si>
    <t xml:space="preserve">species</t>
  </si>
  <si>
    <t xml:space="preserve">Poplar|Primed MDF      &lt;- pipe-separated where a profile is milled in more than one species</t>
  </si>
  <si>
    <t xml:space="preserve">ASSUMPTIONS</t>
  </si>
  <si>
    <t xml:space="preserve">•</t>
  </si>
  <si>
    <t xml:space="preserve">Sources joined on the postmeta key "old_product_id", not on slug — 148 slugs disagree between the two stores.</t>
  </si>
  <si>
    <t xml:space="preserve">66 upcp_product posts carry no old_product_id and could not be matched. They need manual reconciliation.</t>
  </si>
  <si>
    <t xml:space="preserve">Four stair categories consolidated into one "stair-railing" category (48 products).</t>
  </si>
  <si>
    <t xml:space="preserve">New product URLs reuse the existing UPCP slug, so the mapping stays one-to-one and auditable.</t>
  </si>
  <si>
    <t xml:space="preserve">Sub-category is deliberately not in the URL path — it is the volatile part of the taxonomy and belongs in a facet.</t>
  </si>
  <si>
    <t xml:space="preserve">"Engineered Style &amp; Rail" (165 products) is a construction method, not a species. Also note it misspells the trade term "Stile &amp; Rail".</t>
  </si>
  <si>
    <t xml:space="preserve">Sizes such as "all standard sizes available" are flagged NON-DIMENSIONAL rather than parsed. Mostly doors.</t>
  </si>
  <si>
    <t xml:space="preserve">Suspect fractions are those whose denominator is not a power of two, which cannot be a real milling dimension.</t>
  </si>
  <si>
    <t xml:space="preserve">ADDED IN v7 — ERP PARTS, 21 AUGUST 2026</t>
  </si>
  <si>
    <t xml:space="preserve">326 parts from three "Part Master Report" extracts out of the inventory system:</t>
  </si>
  <si>
    <t xml:space="preserve">   D4S Parts List           154 parts     -&gt;  category  s4s-flat-stock   (new)</t>
  </si>
  <si>
    <t xml:space="preserve">   Stair Parts List         125 parts     -&gt;  category  stair-railing    (existing)</t>
  </si>
  <si>
    <t xml:space="preserve">   Sheet Goods List          47 parts     -&gt;  category  sheet-goods      (new)</t>
  </si>
  <si>
    <t xml:space="preserve">320 were added to the Products tab as new rows. The other 6 are already in the</t>
  </si>
  <si>
    <t xml:space="preserve">catalogue under the same product code, so their existing rows were flagged instead</t>
  </si>
  <si>
    <t xml:space="preserve">of duplicated.</t>
  </si>
  <si>
    <t xml:space="preserve">WHAT THE COLOURS MEAN</t>
  </si>
  <si>
    <t xml:space="preserve">   BLUE rows      new, from the ERP lists</t>
  </si>
  <si>
    <t xml:space="preserve">   YELLOW cells   please fill these in</t>
  </si>
  <si>
    <t xml:space="preserve">   PINK rows      already in the catalogue, or something I could not work out</t>
  </si>
  <si>
    <t xml:space="preserve">WHAT WE NEED FROM BRAD</t>
  </si>
  <si>
    <t xml:space="preserve">   1.  product_name (Products, column C) — every new part needs a customer-facing</t>
  </si>
  <si>
    <t xml:space="preserve">       name. The ERP description in column N is a stock description, not a name:</t>
  </si>
  <si>
    <t xml:space="preserve">       nobody searches for "1/2 X 1-1/2 D4s".</t>
  </si>
  <si>
    <t xml:space="preserve">   2.  price (Products, column T) — the Part Master Report carries no pricing.</t>
  </si>
  <si>
    <t xml:space="preserve">   3.  species for part class HWBM (Material Mapping, and 5 rows in Products) —</t>
  </si>
  <si>
    <t xml:space="preserve">       the class says HWBM but the part ids all start VM and the descriptions say</t>
  </si>
  <si>
    <t xml:space="preserve">       only "D4s". Every other class I worked out from the descriptions; this one</t>
  </si>
  <si>
    <t xml:space="preserve">       I could not, and guessing it would put the wrong timber on the website.</t>
  </si>
  <si>
    <t xml:space="preserve">   4.  the 6 pink rows — same product code in both the ERP and the catalogue, but</t>
  </si>
  <si>
    <t xml:space="preserve">       one disagrees on the name: the ERP calls SC-SS142-LAQ a "42\" Plain Square</t>
  </si>
  <si>
    <t xml:space="preserve">       Wood Spindle Laquered", the website calls it "Painted White Spindle Plain".</t>
  </si>
  <si>
    <t xml:space="preserve">   5.  5 rows flagged SOURCE PDF UNCLEAR — the part code and description are printed</t>
  </si>
  <si>
    <t xml:space="preserve">       touching each other in the PDF, and on two of them the text is printed on top</t>
  </si>
  <si>
    <t xml:space="preserve">       of itself. Please read those five off the original PDF.</t>
  </si>
  <si>
    <t xml:space="preserve">ALSO WORTH KNOWING</t>
  </si>
  <si>
    <t xml:space="preserve">   These parts arrive WITH species, while 449 of the original 539 products still have</t>
  </si>
  <si>
    <t xml:space="preserve">   none. That gap will be more visible on the website filter once these go live.</t>
  </si>
  <si>
    <t xml:space="preserve">   The same timber is named differently in different places — this audit says "MDF"</t>
  </si>
  <si>
    <t xml:space="preserve">   and "FJ Pine", the live website says "Primed MDF" and "FJ Primed Pine". I used the</t>
  </si>
  <si>
    <t xml:space="preserve">   website spelling for the new rows. One spelling needs to win, or the website filter</t>
  </si>
  <si>
    <t xml:space="preserve">   will list both and split the results between them.</t>
  </si>
  <si>
    <t xml:space="preserve">HOW TO USE THIS TAB</t>
  </si>
  <si>
    <t xml:space="preserve">PROGRESS</t>
  </si>
  <si>
    <t xml:space="preserve">AVAILABILITY</t>
  </si>
  <si>
    <t xml:space="preserve">Put an X in every wood the product is available in. Tick as many as apply — most trim profiles are milled in more than one. The green SPECIES column fills in by itself; you never type in it.</t>
  </si>
  <si>
    <t xml:space="preserve">Species to do</t>
  </si>
  <si>
    <t xml:space="preserve">In stock</t>
  </si>
  <si>
    <t xml:space="preserve">FLEX is one of the tick columns — use it where the profile is also available as a flexible moulding.   Something not listed (glass, nickel, brass)? Type it in OTHER.   Don't know? Leave the row blank and note why — never guess.</t>
  </si>
  <si>
    <t xml:space="preserve">Species done</t>
  </si>
  <si>
    <t xml:space="preserve">Quick ship</t>
  </si>
  <si>
    <t xml:space="preserve">AVAILABILITY: tick ONE of the last three columns for every product — In Stock, Quick Ship or Special Order. If you tick more than one the cells turn red.</t>
  </si>
  <si>
    <t xml:space="preserve">Flex ticked</t>
  </si>
  <si>
    <t xml:space="preserve">Special order</t>
  </si>
  <si>
    <t xml:space="preserve">PRODUCT CODE</t>
  </si>
  <si>
    <t xml:space="preserve">PRODUCT NAME</t>
  </si>
  <si>
    <t xml:space="preserve">TYPE</t>
  </si>
  <si>
    <t xml:space="preserve">SIZE</t>
  </si>
  <si>
    <t xml:space="preserve">CURRENTLY RECORDED AS</t>
  </si>
  <si>
    <t xml:space="preserve">SPECIES  (fills in automatically)</t>
  </si>
  <si>
    <t xml:space="preserve">Poplar</t>
  </si>
  <si>
    <t xml:space="preserve">FJ Primed Poplar</t>
  </si>
  <si>
    <t xml:space="preserve">FJ Primed Pine</t>
  </si>
  <si>
    <t xml:space="preserve">Clear Pine</t>
  </si>
  <si>
    <t xml:space="preserve">Primed MDF</t>
  </si>
  <si>
    <t xml:space="preserve">White Oak</t>
  </si>
  <si>
    <t xml:space="preserve">Red Oak</t>
  </si>
  <si>
    <t xml:space="preserve">Hard Maple</t>
  </si>
  <si>
    <t xml:space="preserve">Black Walnut</t>
  </si>
  <si>
    <t xml:space="preserve">Douglas Fir</t>
  </si>
  <si>
    <t xml:space="preserve">Western Red Cedar</t>
  </si>
  <si>
    <t xml:space="preserve">PVC</t>
  </si>
  <si>
    <t xml:space="preserve">Flex</t>
  </si>
  <si>
    <t xml:space="preserve">Steel</t>
  </si>
  <si>
    <t xml:space="preserve">Plastic</t>
  </si>
  <si>
    <t xml:space="preserve">OTHER</t>
  </si>
  <si>
    <t xml:space="preserve">NOTES</t>
  </si>
  <si>
    <t xml:space="preserve">IN STOCK</t>
  </si>
  <si>
    <t xml:space="preserve">QUICK SHIP</t>
  </si>
  <si>
    <t xml:space="preserve">SPECIAL ORDER</t>
  </si>
  <si>
    <t xml:space="preserve">helper</t>
  </si>
  <si>
    <t xml:space="preserve">ARC-401</t>
  </si>
  <si>
    <t xml:space="preserve">Architrave Header Cap Moulding for door header 4-3/4" arc-401</t>
  </si>
  <si>
    <t xml:space="preserve">Architrave</t>
  </si>
  <si>
    <t xml:space="preserve">1-3/4 x 4-3/4</t>
  </si>
  <si>
    <t xml:space="preserve">wood</t>
  </si>
  <si>
    <t xml:space="preserve">X</t>
  </si>
  <si>
    <t xml:space="preserve">BAC-102</t>
  </si>
  <si>
    <t xml:space="preserve">Poplar Backband Trim bac-102</t>
  </si>
  <si>
    <t xml:space="preserve">Backband</t>
  </si>
  <si>
    <t xml:space="preserve">3/4 x 1-1/4</t>
  </si>
  <si>
    <t xml:space="preserve">BAC-121</t>
  </si>
  <si>
    <t xml:space="preserve">Coventry Backband Mould bac-121 York Region</t>
  </si>
  <si>
    <t xml:space="preserve">13/16 x 1-9/16</t>
  </si>
  <si>
    <t xml:space="preserve">BAC-154</t>
  </si>
  <si>
    <t xml:space="preserve">Contemporary Backband Trim for depth, character, and architectural detail</t>
  </si>
  <si>
    <t xml:space="preserve">Pine</t>
  </si>
  <si>
    <t xml:space="preserve">BAC-174</t>
  </si>
  <si>
    <t xml:space="preserve">Large Heritage Backband Moulding Poplar bac-174 Toronto</t>
  </si>
  <si>
    <t xml:space="preserve">1-5/8 x 1-5/8</t>
  </si>
  <si>
    <t xml:space="preserve">BAC-1D2</t>
  </si>
  <si>
    <t xml:space="preserve">Plain Bevel Backband Mould bac-1D2 York Region</t>
  </si>
  <si>
    <t xml:space="preserve">13/16 x 1-3/8</t>
  </si>
  <si>
    <t xml:space="preserve">BAC-1L0</t>
  </si>
  <si>
    <t xml:space="preserve">Large Poplar Backband 1L0 Primed</t>
  </si>
  <si>
    <t xml:space="preserve">1-5/16 x 1-5/16</t>
  </si>
  <si>
    <t xml:space="preserve">Primed wood</t>
  </si>
  <si>
    <t xml:space="preserve">CAP-104</t>
  </si>
  <si>
    <t xml:space="preserve">Poplar Cap Moulding with 5/8" offset also used as backband trim CAP-104</t>
  </si>
  <si>
    <t xml:space="preserve">1-1/8 x 1-3/8</t>
  </si>
  <si>
    <t xml:space="preserve">BAS-100</t>
  </si>
  <si>
    <t xml:space="preserve">Poplar Base Cap Moulding 100  York Region</t>
  </si>
  <si>
    <t xml:space="preserve">Base Cap</t>
  </si>
  <si>
    <t xml:space="preserve">3/4 x 1-1/2</t>
  </si>
  <si>
    <t xml:space="preserve">BAS-300</t>
  </si>
  <si>
    <t xml:space="preserve">Thin Colonial Baseboard Poplar 3-1/4" Bas-300</t>
  </si>
  <si>
    <t xml:space="preserve">Baseboard</t>
  </si>
  <si>
    <t xml:space="preserve">5/16 X 3-1/4</t>
  </si>
  <si>
    <t xml:space="preserve">BAS-301</t>
  </si>
  <si>
    <t xml:space="preserve">3-1/4" Thin Flat bullnose Baseboard 301</t>
  </si>
  <si>
    <t xml:space="preserve">5/15 x 3-1/4</t>
  </si>
  <si>
    <t xml:space="preserve">BAS-306</t>
  </si>
  <si>
    <t xml:space="preserve">3-1/2" Baseboard 306</t>
  </si>
  <si>
    <t xml:space="preserve">5/8 X 3-1/2</t>
  </si>
  <si>
    <t xml:space="preserve">discontinued</t>
  </si>
  <si>
    <t xml:space="preserve">BAS-3F0</t>
  </si>
  <si>
    <t xml:space="preserve">3-1/2" Baseboard 3f0</t>
  </si>
  <si>
    <t xml:space="preserve">1/2 X 3-1/2</t>
  </si>
  <si>
    <t xml:space="preserve">primed wood</t>
  </si>
  <si>
    <t xml:space="preserve">BAS-400</t>
  </si>
  <si>
    <t xml:space="preserve">Classic 4-1/4" tall Colonial Baseboard York Region Toronto</t>
  </si>
  <si>
    <t xml:space="preserve">5/8 X 4-1/4</t>
  </si>
  <si>
    <t xml:space="preserve">BAS-405</t>
  </si>
  <si>
    <t xml:space="preserve">4-1/4" Baseboard 405</t>
  </si>
  <si>
    <t xml:space="preserve">BAS-411</t>
  </si>
  <si>
    <t xml:space="preserve">4" Baseboard 411</t>
  </si>
  <si>
    <t xml:space="preserve">3/8 X 4"</t>
  </si>
  <si>
    <t xml:space="preserve">BAS-412</t>
  </si>
  <si>
    <t xml:space="preserve">Two Step Victorian Baseboard in Primed FJ Poplar 4-1/4" Bas-412</t>
  </si>
  <si>
    <t xml:space="preserve">BAS-508</t>
  </si>
  <si>
    <t xml:space="preserve">Plain Rounded Bevel 5-1/4" Baseboard Poplar bas-508 Toronto York Region</t>
  </si>
  <si>
    <t xml:space="preserve">5/8 x 5-1/4</t>
  </si>
  <si>
    <t xml:space="preserve">BAS-518</t>
  </si>
  <si>
    <t xml:space="preserve">Vintage 1867 Confederation Baseboard Poplar 5-1/4"  bas-518</t>
  </si>
  <si>
    <t xml:space="preserve">BAS-5AR</t>
  </si>
  <si>
    <t xml:space="preserve">Plain and Modern Profile eased edge Baseboard Wood and MDF Primed Bas-5AR</t>
  </si>
  <si>
    <t xml:space="preserve">BAS-5C9</t>
  </si>
  <si>
    <t xml:space="preserve">Poplar Regal Baseboard 5-1/4" Bas-5C9</t>
  </si>
  <si>
    <t xml:space="preserve">BAS-5E9</t>
  </si>
  <si>
    <t xml:space="preserve">5-1/4" Baseboard 5E9</t>
  </si>
  <si>
    <t xml:space="preserve">BAS-5Y0</t>
  </si>
  <si>
    <t xml:space="preserve">Ogee Baseboard 5-1/4 bas-5Y0 York Region</t>
  </si>
  <si>
    <t xml:space="preserve">11/16 X 5-1/4</t>
  </si>
  <si>
    <t xml:space="preserve">BAS-702</t>
  </si>
  <si>
    <t xml:space="preserve">1867 Heritage Baseboard Poplar 7-1/4" Bas-702</t>
  </si>
  <si>
    <t xml:space="preserve">11/16 x 7-1/4</t>
  </si>
  <si>
    <t xml:space="preserve">BAS-732</t>
  </si>
  <si>
    <t xml:space="preserve">Plain Bevel Baseboard Primed MDF, Poplar, 7-1/4" Bas732</t>
  </si>
  <si>
    <t xml:space="preserve">BAS-773</t>
  </si>
  <si>
    <t xml:space="preserve">7-1/4 Ornamental Poplar Baseboard bas-773</t>
  </si>
  <si>
    <t xml:space="preserve">13/16 x 7-1/4</t>
  </si>
  <si>
    <t xml:space="preserve">BAS-785</t>
  </si>
  <si>
    <t xml:space="preserve">7-1/4" Baseboard 785</t>
  </si>
  <si>
    <t xml:space="preserve">3/4 x 7-1/4</t>
  </si>
  <si>
    <t xml:space="preserve">BAS-7A1</t>
  </si>
  <si>
    <t xml:space="preserve">7-1/4" Regal Poplar Baseboard 7A1</t>
  </si>
  <si>
    <t xml:space="preserve">BAS-7K2</t>
  </si>
  <si>
    <t xml:space="preserve">Classic Ogee Profile Baseboard 7-1/4" Bas-7K2 GTA</t>
  </si>
  <si>
    <t xml:space="preserve">BAS-7K3</t>
  </si>
  <si>
    <t xml:space="preserve">Extra Step Bevel Base Trim Poplar 7-1/4" Baseboard 7K3</t>
  </si>
  <si>
    <t xml:space="preserve">BAS-7T2</t>
  </si>
  <si>
    <t xml:space="preserve">Plain Primed FJ Poplar and MDF Baseboard 7-1/4" Bas-7T2  Greater Toronto Area and Muskoka</t>
  </si>
  <si>
    <t xml:space="preserve">11/17 x 7-1/4</t>
  </si>
  <si>
    <t xml:space="preserve">BAS-803</t>
  </si>
  <si>
    <t xml:space="preserve">Tall Heritage 8-1/2" Baseboard Poplar Bas-803</t>
  </si>
  <si>
    <t xml:space="preserve">3/4 x 8-1/2</t>
  </si>
  <si>
    <t xml:space="preserve">BEA-001</t>
  </si>
  <si>
    <t xml:space="preserve">3/4" Bead Mould 001</t>
  </si>
  <si>
    <t xml:space="preserve">Bead</t>
  </si>
  <si>
    <t xml:space="preserve">3/8 x 3/4</t>
  </si>
  <si>
    <t xml:space="preserve">BEA-100</t>
  </si>
  <si>
    <t xml:space="preserve">1" Bead Mould 100</t>
  </si>
  <si>
    <t xml:space="preserve">1/2 x 1</t>
  </si>
  <si>
    <t xml:space="preserve">BEA-116</t>
  </si>
  <si>
    <t xml:space="preserve">1-1/2" Bead Mould 116</t>
  </si>
  <si>
    <t xml:space="preserve">1/2 x 1-1/2</t>
  </si>
  <si>
    <t xml:space="preserve">BUR-101</t>
  </si>
  <si>
    <t xml:space="preserve">1-1/4" Burlap 101</t>
  </si>
  <si>
    <t xml:space="preserve">Burlap</t>
  </si>
  <si>
    <t xml:space="preserve">5/16 x 1-1/4</t>
  </si>
  <si>
    <t xml:space="preserve">BUR-102</t>
  </si>
  <si>
    <t xml:space="preserve">1-1/4" Burlap 102</t>
  </si>
  <si>
    <t xml:space="preserve">BUR-105</t>
  </si>
  <si>
    <t xml:space="preserve">1-1/4" Burlap 105</t>
  </si>
  <si>
    <t xml:space="preserve">BUR-106</t>
  </si>
  <si>
    <t xml:space="preserve">1-5/8" Burlap 106</t>
  </si>
  <si>
    <t xml:space="preserve">5/16 x 1-5/8</t>
  </si>
  <si>
    <t xml:space="preserve">BUR-201</t>
  </si>
  <si>
    <t xml:space="preserve">2" Burlap 201</t>
  </si>
  <si>
    <t xml:space="preserve">5/16 x 2"</t>
  </si>
  <si>
    <t xml:space="preserve">CAP-100</t>
  </si>
  <si>
    <t xml:space="preserve">1-1/8" Cap Mould 100</t>
  </si>
  <si>
    <t xml:space="preserve">Cap Moulding</t>
  </si>
  <si>
    <t xml:space="preserve">3/4 x 1-1/8</t>
  </si>
  <si>
    <t xml:space="preserve">CAP-109</t>
  </si>
  <si>
    <t xml:space="preserve">Adjustable Cap Moulding 109</t>
  </si>
  <si>
    <t xml:space="preserve">3/4 x 1-5/8</t>
  </si>
  <si>
    <t xml:space="preserve">CAP-200</t>
  </si>
  <si>
    <t xml:space="preserve">3/4" Offset Header Cap Moulding 200</t>
  </si>
  <si>
    <t xml:space="preserve">1-5/8 X 2-1/4</t>
  </si>
  <si>
    <t xml:space="preserve">CAP-222</t>
  </si>
  <si>
    <t xml:space="preserve">3/4" Offset Header Cap Moulding 222</t>
  </si>
  <si>
    <t xml:space="preserve">1-1/4 X 2-1/4</t>
  </si>
  <si>
    <t xml:space="preserve">PIC-102</t>
  </si>
  <si>
    <t xml:space="preserve">small picture frame moulding</t>
  </si>
  <si>
    <t xml:space="preserve">13/16 x 1-1/2</t>
  </si>
  <si>
    <t xml:space="preserve">BRI-103</t>
  </si>
  <si>
    <t xml:space="preserve">Brick Moulding</t>
  </si>
  <si>
    <t xml:space="preserve">Casing</t>
  </si>
  <si>
    <t xml:space="preserve">1-1/4 x 1-5/8</t>
  </si>
  <si>
    <t xml:space="preserve">BRI-531</t>
  </si>
  <si>
    <t xml:space="preserve">Brick Moulding pvc</t>
  </si>
  <si>
    <t xml:space="preserve">1-1/4 x 2"</t>
  </si>
  <si>
    <t xml:space="preserve">CAS-203</t>
  </si>
  <si>
    <t xml:space="preserve">2-1/8" Casing 203</t>
  </si>
  <si>
    <t xml:space="preserve">3/8 x 2-1/8</t>
  </si>
  <si>
    <t xml:space="preserve">CAS-206</t>
  </si>
  <si>
    <t xml:space="preserve">2-1/2" Casing 206</t>
  </si>
  <si>
    <t xml:space="preserve">3/4 x 2-1/2</t>
  </si>
  <si>
    <t xml:space="preserve">CAS-208</t>
  </si>
  <si>
    <t xml:space="preserve">2-1/4" Casing 208</t>
  </si>
  <si>
    <t xml:space="preserve">3/8 X 2-1/4</t>
  </si>
  <si>
    <t xml:space="preserve">CAS-213</t>
  </si>
  <si>
    <t xml:space="preserve">2-1/4" Casing 213</t>
  </si>
  <si>
    <t xml:space="preserve">3/4 X 2-1/4</t>
  </si>
  <si>
    <t xml:space="preserve">CAS-214</t>
  </si>
  <si>
    <t xml:space="preserve">Plain straight bevel casing poplar 2-1/2" Cas-214</t>
  </si>
  <si>
    <t xml:space="preserve">3/4 X 2-1/2</t>
  </si>
  <si>
    <t xml:space="preserve">CAS-219</t>
  </si>
  <si>
    <t xml:space="preserve">2-3/4" Casing 219</t>
  </si>
  <si>
    <t xml:space="preserve">3/4 X 2-3/4</t>
  </si>
  <si>
    <t xml:space="preserve">CAS-255</t>
  </si>
  <si>
    <t xml:space="preserve">2-3/4" Colonial Casing 255</t>
  </si>
  <si>
    <t xml:space="preserve">CAS-2F2</t>
  </si>
  <si>
    <t xml:space="preserve">2-3/4" Casing 2F2</t>
  </si>
  <si>
    <t xml:space="preserve">CAS-2F3</t>
  </si>
  <si>
    <t xml:space="preserve">2-3/4" Casing 2F3</t>
  </si>
  <si>
    <t xml:space="preserve">CAS-2U4</t>
  </si>
  <si>
    <t xml:space="preserve">2-3/4" Casing 2U4</t>
  </si>
  <si>
    <t xml:space="preserve">CAS-2X5</t>
  </si>
  <si>
    <t xml:space="preserve">2-3/4" Casing 2X5</t>
  </si>
  <si>
    <t xml:space="preserve">CAS-305</t>
  </si>
  <si>
    <t xml:space="preserve">3-1/4" Casing 305</t>
  </si>
  <si>
    <t xml:space="preserve">3/4 X 3-1/4</t>
  </si>
  <si>
    <t xml:space="preserve">CAS-318</t>
  </si>
  <si>
    <t xml:space="preserve">3-1/2" Casing 1613</t>
  </si>
  <si>
    <t xml:space="preserve">3/4 X 3-1/2</t>
  </si>
  <si>
    <t xml:space="preserve">CAS-3EW</t>
  </si>
  <si>
    <t xml:space="preserve">Plain flat window and door trim 3-1/2" Casing 3EW  York Region</t>
  </si>
  <si>
    <t xml:space="preserve">CAS-3F5</t>
  </si>
  <si>
    <t xml:space="preserve">3-1/2" Casing 3F5</t>
  </si>
  <si>
    <t xml:space="preserve">CAS-3F6</t>
  </si>
  <si>
    <t xml:space="preserve">3-3/4" Casing 3F6</t>
  </si>
  <si>
    <t xml:space="preserve">3/4 X 3-3/4</t>
  </si>
  <si>
    <t xml:space="preserve">CAS-3J8</t>
  </si>
  <si>
    <t xml:space="preserve">3-1/4" Casing 3J8</t>
  </si>
  <si>
    <t xml:space="preserve">CAS-3T2</t>
  </si>
  <si>
    <t xml:space="preserve">Bevel Window and Door Trim Casing 3T2 York Region</t>
  </si>
  <si>
    <t xml:space="preserve">CAS-3V6</t>
  </si>
  <si>
    <t xml:space="preserve">3-1/2" Ogee Profile Casing 3V6</t>
  </si>
  <si>
    <t xml:space="preserve">wood &amp; MDF primed</t>
  </si>
  <si>
    <t xml:space="preserve">CAS-3X8</t>
  </si>
  <si>
    <t xml:space="preserve">3-1/2" Casing 3X8</t>
  </si>
  <si>
    <t xml:space="preserve">3/4 x 3-1/2</t>
  </si>
  <si>
    <t xml:space="preserve">CAS-400</t>
  </si>
  <si>
    <t xml:space="preserve">4" Casing 400</t>
  </si>
  <si>
    <t xml:space="preserve">3/4 X 4"</t>
  </si>
  <si>
    <t xml:space="preserve">CAS-445</t>
  </si>
  <si>
    <t xml:space="preserve">4-1/4" Casing 445</t>
  </si>
  <si>
    <t xml:space="preserve">1-5/16 X 4-1/4</t>
  </si>
  <si>
    <t xml:space="preserve">PIL-400</t>
  </si>
  <si>
    <t xml:space="preserve">4" Fluted Pilaster</t>
  </si>
  <si>
    <t xml:space="preserve">3/4 x 4"</t>
  </si>
  <si>
    <t xml:space="preserve">PIL-600</t>
  </si>
  <si>
    <t xml:space="preserve">6" Fluted Pilaster</t>
  </si>
  <si>
    <t xml:space="preserve">3/4 x 6"</t>
  </si>
  <si>
    <t xml:space="preserve">CHA-202</t>
  </si>
  <si>
    <t xml:space="preserve">2-1/8" Chair Rail 202</t>
  </si>
  <si>
    <t xml:space="preserve">Chair Rail</t>
  </si>
  <si>
    <t xml:space="preserve">3/4 x 2-1/8</t>
  </si>
  <si>
    <t xml:space="preserve">CHA-204</t>
  </si>
  <si>
    <t xml:space="preserve">2-1/2" Chair Rail 204</t>
  </si>
  <si>
    <t xml:space="preserve">13/16 x 2-1/2</t>
  </si>
  <si>
    <t xml:space="preserve">CHA-209</t>
  </si>
  <si>
    <t xml:space="preserve">2-1/4" Chair Rail 209</t>
  </si>
  <si>
    <t xml:space="preserve">3/4 x 2-1/4</t>
  </si>
  <si>
    <t xml:space="preserve">CHA-224</t>
  </si>
  <si>
    <t xml:space="preserve">2-1/2" Chair Rail 224</t>
  </si>
  <si>
    <t xml:space="preserve">1-1/16 x 2-1/2</t>
  </si>
  <si>
    <t xml:space="preserve">CHA-308</t>
  </si>
  <si>
    <t xml:space="preserve">3-1/2" Chair Rail 308</t>
  </si>
  <si>
    <t xml:space="preserve">1-1/16 x 3-1/2</t>
  </si>
  <si>
    <t xml:space="preserve">CHA-310</t>
  </si>
  <si>
    <t xml:space="preserve">3-1/4" Chair Rail 310</t>
  </si>
  <si>
    <t xml:space="preserve">13/16 x 3-1/4</t>
  </si>
  <si>
    <t xml:space="preserve">CHA-334</t>
  </si>
  <si>
    <t xml:space="preserve">3-1/8" Chair Rail 334</t>
  </si>
  <si>
    <t xml:space="preserve">7/8 x 3-1/8</t>
  </si>
  <si>
    <t xml:space="preserve">COV-001</t>
  </si>
  <si>
    <t xml:space="preserve">1/2" Cove Mould 001</t>
  </si>
  <si>
    <t xml:space="preserve">Cove</t>
  </si>
  <si>
    <t xml:space="preserve">1/2 x 1/2</t>
  </si>
  <si>
    <t xml:space="preserve">COV-003</t>
  </si>
  <si>
    <t xml:space="preserve">3/4" Cove Mould 003</t>
  </si>
  <si>
    <t xml:space="preserve">3/4 x 3/4</t>
  </si>
  <si>
    <t xml:space="preserve">COV-103</t>
  </si>
  <si>
    <t xml:space="preserve">1-1/16" Cove Mould 103</t>
  </si>
  <si>
    <t xml:space="preserve">1-1/16 x 1-1/16</t>
  </si>
  <si>
    <t xml:space="preserve">COV-221</t>
  </si>
  <si>
    <t xml:space="preserve">2-1/4" Cove Mould 221</t>
  </si>
  <si>
    <t xml:space="preserve">11/16 x 2-1/4</t>
  </si>
  <si>
    <t xml:space="preserve">BED-201</t>
  </si>
  <si>
    <t xml:space="preserve">2-1/2 Bed Moulding</t>
  </si>
  <si>
    <t xml:space="preserve">Crown</t>
  </si>
  <si>
    <t xml:space="preserve">COV-401</t>
  </si>
  <si>
    <t xml:space="preserve">4-1/4" Cove Mould 401</t>
  </si>
  <si>
    <t xml:space="preserve">1" x 4-1/4</t>
  </si>
  <si>
    <t xml:space="preserve">COV-509</t>
  </si>
  <si>
    <t xml:space="preserve">5-1/4" Cove Mould 509</t>
  </si>
  <si>
    <t xml:space="preserve">11/16 x 5-1/4</t>
  </si>
  <si>
    <t xml:space="preserve">CRO-202</t>
  </si>
  <si>
    <t xml:space="preserve">2-1/4" Crown 202</t>
  </si>
  <si>
    <t xml:space="preserve">CRO-300</t>
  </si>
  <si>
    <t xml:space="preserve">3-1/2" Crown 300</t>
  </si>
  <si>
    <t xml:space="preserve">CRO-301</t>
  </si>
  <si>
    <t xml:space="preserve">3-7/8" Crown 301</t>
  </si>
  <si>
    <t xml:space="preserve">11/16 x 3-7/8</t>
  </si>
  <si>
    <t xml:space="preserve">CRO-302</t>
  </si>
  <si>
    <t xml:space="preserve">3-1/4" Crown 302</t>
  </si>
  <si>
    <t xml:space="preserve">3/4 x 3-1/4</t>
  </si>
  <si>
    <t xml:space="preserve">CRO-314</t>
  </si>
  <si>
    <t xml:space="preserve">3-1/2" Crown Mould 314</t>
  </si>
  <si>
    <t xml:space="preserve">CRO-317</t>
  </si>
  <si>
    <t xml:space="preserve">3-5/8" Cabinet Crown 317</t>
  </si>
  <si>
    <t xml:space="preserve">13/16 x 3-5/8</t>
  </si>
  <si>
    <t xml:space="preserve">CRO-402</t>
  </si>
  <si>
    <t xml:space="preserve">4-15/16" Crown 402</t>
  </si>
  <si>
    <t xml:space="preserve">13/16 x 4-15/16</t>
  </si>
  <si>
    <t xml:space="preserve">CRO-501</t>
  </si>
  <si>
    <t xml:space="preserve">5-1/4" Crown 501</t>
  </si>
  <si>
    <t xml:space="preserve">3/4 x 5-1/4</t>
  </si>
  <si>
    <t xml:space="preserve">CRO-511</t>
  </si>
  <si>
    <t xml:space="preserve">5-1/4" Decorative Crown Moulding 511</t>
  </si>
  <si>
    <t xml:space="preserve">13/16 x 5-1/4</t>
  </si>
  <si>
    <t xml:space="preserve">CRO-623</t>
  </si>
  <si>
    <t xml:space="preserve">6-1/2" Crown Mould 623</t>
  </si>
  <si>
    <t xml:space="preserve">7/8 X 6-1/2</t>
  </si>
  <si>
    <t xml:space="preserve">WOOD</t>
  </si>
  <si>
    <t xml:space="preserve">CRO-705</t>
  </si>
  <si>
    <t xml:space="preserve">7-1/4" Crown Mould 705</t>
  </si>
  <si>
    <t xml:space="preserve">3/4 X 7-1/4</t>
  </si>
  <si>
    <t xml:space="preserve">Wood</t>
  </si>
  <si>
    <t xml:space="preserve">BAC-205</t>
  </si>
  <si>
    <t xml:space="preserve">2-1/2 backer strip 205</t>
  </si>
  <si>
    <t xml:space="preserve">Decorative</t>
  </si>
  <si>
    <t xml:space="preserve">1/2 x 2-1/2</t>
  </si>
  <si>
    <t xml:space="preserve">BAC-405</t>
  </si>
  <si>
    <t xml:space="preserve">4" Backer Strip 405</t>
  </si>
  <si>
    <t xml:space="preserve">1/2 x 4"</t>
  </si>
  <si>
    <t xml:space="preserve">BED-001</t>
  </si>
  <si>
    <t xml:space="preserve">3/8 Bed Moulding</t>
  </si>
  <si>
    <t xml:space="preserve">3/8 x 3/8</t>
  </si>
  <si>
    <t xml:space="preserve">BED-100</t>
  </si>
  <si>
    <t xml:space="preserve">1-1/2 Bed Moulding 100</t>
  </si>
  <si>
    <t xml:space="preserve">11/16 x 1-1/2</t>
  </si>
  <si>
    <t xml:space="preserve">CHA-106</t>
  </si>
  <si>
    <t xml:space="preserve">1-3/8" Chair Rail 106</t>
  </si>
  <si>
    <t xml:space="preserve">1/2 x 1-3/8</t>
  </si>
  <si>
    <t xml:space="preserve">CHA-110</t>
  </si>
  <si>
    <t xml:space="preserve">1-5/8" Chair Rail 110</t>
  </si>
  <si>
    <t xml:space="preserve">5/8 x 1-5/8</t>
  </si>
  <si>
    <t xml:space="preserve">DEC-005</t>
  </si>
  <si>
    <t xml:space="preserve">3/4" Decorative Mould 005</t>
  </si>
  <si>
    <t xml:space="preserve">3/8 X 3/4</t>
  </si>
  <si>
    <t xml:space="preserve">DEC-006</t>
  </si>
  <si>
    <t xml:space="preserve">3/4" Decorative Mould 006</t>
  </si>
  <si>
    <t xml:space="preserve">7/16 X 3/4</t>
  </si>
  <si>
    <t xml:space="preserve">DEC-007</t>
  </si>
  <si>
    <t xml:space="preserve">7/8" Decorative Mould 007</t>
  </si>
  <si>
    <t xml:space="preserve">1/2 X 7/8</t>
  </si>
  <si>
    <t xml:space="preserve">DEC-022</t>
  </si>
  <si>
    <t xml:space="preserve">11/16" Decorative Mould 022</t>
  </si>
  <si>
    <t xml:space="preserve">3/8 X 11/16</t>
  </si>
  <si>
    <t xml:space="preserve">DEC-065</t>
  </si>
  <si>
    <t xml:space="preserve">7/8" Decorative Mould 065</t>
  </si>
  <si>
    <t xml:space="preserve">DEC-066</t>
  </si>
  <si>
    <t xml:space="preserve">11/16" Decorative Mould 066</t>
  </si>
  <si>
    <t xml:space="preserve">7/16 X 11/16</t>
  </si>
  <si>
    <t xml:space="preserve">DEC-102</t>
  </si>
  <si>
    <t xml:space="preserve">1-1/4" Decorative Mould 102</t>
  </si>
  <si>
    <t xml:space="preserve">5/8 X 1-1/4</t>
  </si>
  <si>
    <t xml:space="preserve">DEC-103</t>
  </si>
  <si>
    <t xml:space="preserve">1-1/16" Decorative Mould 103</t>
  </si>
  <si>
    <t xml:space="preserve">7/16 X 1-1/16</t>
  </si>
  <si>
    <t xml:space="preserve">DEC-105</t>
  </si>
  <si>
    <t xml:space="preserve">1-5/8" Decorative Mould 105</t>
  </si>
  <si>
    <t xml:space="preserve">3/4 X 1-5/8</t>
  </si>
  <si>
    <t xml:space="preserve">DEC-194</t>
  </si>
  <si>
    <t xml:space="preserve">1-1/8" Decorative Mould 194</t>
  </si>
  <si>
    <t xml:space="preserve">1/2 X 1-1/8</t>
  </si>
  <si>
    <t xml:space="preserve">PRO-104</t>
  </si>
  <si>
    <t xml:space="preserve">1-1/4" Decorative Moulding 104</t>
  </si>
  <si>
    <t xml:space="preserve">7/16 x 1-1/4</t>
  </si>
  <si>
    <t xml:space="preserve">SCR-001</t>
  </si>
  <si>
    <t xml:space="preserve">3/4" Decorative Mould 001</t>
  </si>
  <si>
    <t xml:space="preserve">1/4 x 3/4</t>
  </si>
  <si>
    <t xml:space="preserve">SHI-002</t>
  </si>
  <si>
    <t xml:space="preserve">3/4" Decorative Shingle Mould 002</t>
  </si>
  <si>
    <t xml:space="preserve">1/2 x 3/4</t>
  </si>
  <si>
    <t xml:space="preserve">SHI-101</t>
  </si>
  <si>
    <t xml:space="preserve">1-5/8" Decorative Shingle Mould 101</t>
  </si>
  <si>
    <t xml:space="preserve">SHI-102</t>
  </si>
  <si>
    <t xml:space="preserve">1-1/4" Decorative Shingle Mould 102</t>
  </si>
  <si>
    <t xml:space="preserve">SHI-156</t>
  </si>
  <si>
    <t xml:space="preserve">1-5/8" Decorative Shingle Mould 156</t>
  </si>
  <si>
    <t xml:space="preserve">SHI-203</t>
  </si>
  <si>
    <t xml:space="preserve">2-1/4" Decorative Shingle Mould 203</t>
  </si>
  <si>
    <t xml:space="preserve">1-1/4 x 2-1/4</t>
  </si>
  <si>
    <t xml:space="preserve">SHI-214</t>
  </si>
  <si>
    <t xml:space="preserve">2-3/8" Decorative Shingle Mould 214</t>
  </si>
  <si>
    <t xml:space="preserve">1-5/16 x 2-3/8</t>
  </si>
  <si>
    <t xml:space="preserve">SHI-234</t>
  </si>
  <si>
    <t xml:space="preserve">2-1/2" Decorative Shingle Mould 234</t>
  </si>
  <si>
    <t xml:space="preserve">1-5/16 x 2-1/2</t>
  </si>
  <si>
    <t xml:space="preserve">SHI-308</t>
  </si>
  <si>
    <t xml:space="preserve">3-1/4" Decorative Shingle Mould 308</t>
  </si>
  <si>
    <t xml:space="preserve">1-1/4 x 3-1/4</t>
  </si>
  <si>
    <t xml:space="preserve">WIN-200</t>
  </si>
  <si>
    <t xml:space="preserve">2-7/8 wine glass holder</t>
  </si>
  <si>
    <t xml:space="preserve">3/4 x 2-7/8</t>
  </si>
  <si>
    <t xml:space="preserve">JAM-402</t>
  </si>
  <si>
    <t xml:space="preserve">4-5/8" Door Jamb 402</t>
  </si>
  <si>
    <t xml:space="preserve">Door Jamb</t>
  </si>
  <si>
    <t xml:space="preserve">4/5 x 4-5/8</t>
  </si>
  <si>
    <t xml:space="preserve">JAM-600</t>
  </si>
  <si>
    <t xml:space="preserve">6-5/8" Door Jamb 600</t>
  </si>
  <si>
    <t xml:space="preserve">3/4 x 6-5/6</t>
  </si>
  <si>
    <t xml:space="preserve">BAC-200</t>
  </si>
  <si>
    <t xml:space="preserve">2" Door Stop 200</t>
  </si>
  <si>
    <t xml:space="preserve">Door Stop</t>
  </si>
  <si>
    <t xml:space="preserve">1/2 x 2"</t>
  </si>
  <si>
    <t xml:space="preserve">STO-100</t>
  </si>
  <si>
    <t xml:space="preserve">1-1/4" Door Stop 100</t>
  </si>
  <si>
    <t xml:space="preserve">5/16 X 1-1/4</t>
  </si>
  <si>
    <t xml:space="preserve">STO-101</t>
  </si>
  <si>
    <t xml:space="preserve">1-5/8" Door Stop 101</t>
  </si>
  <si>
    <t xml:space="preserve">5/16 X 1-5/8</t>
  </si>
  <si>
    <t xml:space="preserve">STO-102</t>
  </si>
  <si>
    <t xml:space="preserve">1-1/2" Door Stop 102</t>
  </si>
  <si>
    <t xml:space="preserve">1/2 X 1-1/2</t>
  </si>
  <si>
    <t xml:space="preserve">STO-111</t>
  </si>
  <si>
    <t xml:space="preserve">1-1/4" Door Stop 111</t>
  </si>
  <si>
    <t xml:space="preserve">STO-112</t>
  </si>
  <si>
    <t xml:space="preserve">1-5/8" Door Stop 112</t>
  </si>
  <si>
    <t xml:space="preserve">STO-139</t>
  </si>
  <si>
    <t xml:space="preserve">1-1/4" Bevel Door Stop Shoe Mould 139</t>
  </si>
  <si>
    <t xml:space="preserve">STO-174</t>
  </si>
  <si>
    <t xml:space="preserve">Primed Poplar Door Stop Trim 174 GTA</t>
  </si>
  <si>
    <t xml:space="preserve">STO-196</t>
  </si>
  <si>
    <t xml:space="preserve">1" Door Stop 196</t>
  </si>
  <si>
    <t xml:space="preserve">3/8 X 1"</t>
  </si>
  <si>
    <t xml:space="preserve">HAL-001</t>
  </si>
  <si>
    <t xml:space="preserve">3/4" Half Round 001</t>
  </si>
  <si>
    <t xml:space="preserve">Half Round</t>
  </si>
  <si>
    <t xml:space="preserve">HAL-005</t>
  </si>
  <si>
    <t xml:space="preserve">1/2" Half Round 005</t>
  </si>
  <si>
    <t xml:space="preserve">1/4 X 1/2</t>
  </si>
  <si>
    <t xml:space="preserve">HAL-100</t>
  </si>
  <si>
    <t xml:space="preserve">1" Half Round 100</t>
  </si>
  <si>
    <t xml:space="preserve">1/2 X 1"</t>
  </si>
  <si>
    <t xml:space="preserve">HAL-101</t>
  </si>
  <si>
    <t xml:space="preserve">1-1/4" Half Round 101</t>
  </si>
  <si>
    <t xml:space="preserve">HAL-102</t>
  </si>
  <si>
    <t xml:space="preserve">1-5/8" Half Round 102</t>
  </si>
  <si>
    <t xml:space="preserve">13/16 X 1-5/8</t>
  </si>
  <si>
    <t xml:space="preserve">HAL-200</t>
  </si>
  <si>
    <t xml:space="preserve">2" Half Round 200</t>
  </si>
  <si>
    <t xml:space="preserve">1" X 2"</t>
  </si>
  <si>
    <t xml:space="preserve">HAL-300</t>
  </si>
  <si>
    <t xml:space="preserve">3" Half Round 300</t>
  </si>
  <si>
    <t xml:space="preserve">1-1/2 X 3"</t>
  </si>
  <si>
    <t xml:space="preserve">OUT-001</t>
  </si>
  <si>
    <t xml:space="preserve">3/4" Outside Corner 001</t>
  </si>
  <si>
    <t xml:space="preserve">Outside Corner</t>
  </si>
  <si>
    <t xml:space="preserve">OUT-007</t>
  </si>
  <si>
    <t xml:space="preserve">1" Outside Corner 007</t>
  </si>
  <si>
    <t xml:space="preserve">1" x 1"</t>
  </si>
  <si>
    <t xml:space="preserve">OUT-008</t>
  </si>
  <si>
    <t xml:space="preserve">1" Outside Corner 008</t>
  </si>
  <si>
    <t xml:space="preserve">OUT-105</t>
  </si>
  <si>
    <t xml:space="preserve">1-1/4" Outside Corner 105</t>
  </si>
  <si>
    <t xml:space="preserve">1-1/4 x 1-1/4</t>
  </si>
  <si>
    <t xml:space="preserve">OUT-116</t>
  </si>
  <si>
    <t xml:space="preserve">1-1/2" Outside Corner 116</t>
  </si>
  <si>
    <t xml:space="preserve">1-1/2 x 1-1/2</t>
  </si>
  <si>
    <t xml:space="preserve">PAN-001</t>
  </si>
  <si>
    <t xml:space="preserve">7/8" Panel Mould 001</t>
  </si>
  <si>
    <t xml:space="preserve">Panel Moulding</t>
  </si>
  <si>
    <t xml:space="preserve">1/2 x 7/8</t>
  </si>
  <si>
    <t xml:space="preserve">PAN-101</t>
  </si>
  <si>
    <t xml:space="preserve">1/2" Offset Panel Mould 101 Poplar</t>
  </si>
  <si>
    <t xml:space="preserve">PAN-103</t>
  </si>
  <si>
    <t xml:space="preserve">1-7/8" Panel Mould 103</t>
  </si>
  <si>
    <t xml:space="preserve">3/4 x 1-7/8</t>
  </si>
  <si>
    <t xml:space="preserve">PAN-142</t>
  </si>
  <si>
    <t xml:space="preserve">1" Panel Mould 142</t>
  </si>
  <si>
    <t xml:space="preserve">7/8 x 1"</t>
  </si>
  <si>
    <t xml:space="preserve">PlinthBlocks</t>
  </si>
  <si>
    <t xml:space="preserve">Plinth &amp;amp; Corner Blocks</t>
  </si>
  <si>
    <t xml:space="preserve">Plinth &amp; Corner Blocks</t>
  </si>
  <si>
    <t xml:space="preserve">QUA-001</t>
  </si>
  <si>
    <t xml:space="preserve">1/4" Quarter Round 001</t>
  </si>
  <si>
    <t xml:space="preserve">Quarter Round</t>
  </si>
  <si>
    <t xml:space="preserve">1/4 X 1/4</t>
  </si>
  <si>
    <t xml:space="preserve">QUA-003</t>
  </si>
  <si>
    <t xml:space="preserve">3/4" Quarter Round 003</t>
  </si>
  <si>
    <t xml:space="preserve">3/4 X 3/4</t>
  </si>
  <si>
    <t xml:space="preserve">QUA-004</t>
  </si>
  <si>
    <t xml:space="preserve">11/16" Quarter Round 004</t>
  </si>
  <si>
    <t xml:space="preserve">11/16 X 11/16</t>
  </si>
  <si>
    <t xml:space="preserve">QUA-006</t>
  </si>
  <si>
    <t xml:space="preserve">1/2" Quarter Round 006</t>
  </si>
  <si>
    <t xml:space="preserve">1/2 X 1/2</t>
  </si>
  <si>
    <t xml:space="preserve">QUA-009</t>
  </si>
  <si>
    <t xml:space="preserve">3/4" Quarter Round 009</t>
  </si>
  <si>
    <t xml:space="preserve">QUA-102</t>
  </si>
  <si>
    <t xml:space="preserve">1" Quarter Round 102</t>
  </si>
  <si>
    <t xml:space="preserve">1" X 1"</t>
  </si>
  <si>
    <t xml:space="preserve">SHO-001</t>
  </si>
  <si>
    <t xml:space="preserve">3/4 Shoe Mould 001</t>
  </si>
  <si>
    <t xml:space="preserve">1/2 X 3/4</t>
  </si>
  <si>
    <t xml:space="preserve">BAR-301</t>
  </si>
  <si>
    <t xml:space="preserve">3-5/8 Bar Rail</t>
  </si>
  <si>
    <t xml:space="preserve">Railings</t>
  </si>
  <si>
    <t xml:space="preserve">1-1/4 x 3-5/8</t>
  </si>
  <si>
    <t xml:space="preserve">BAR-501</t>
  </si>
  <si>
    <t xml:space="preserve">5-1/4 Bar Rail 501</t>
  </si>
  <si>
    <t xml:space="preserve">1-3/4 x 5-1/4</t>
  </si>
  <si>
    <t xml:space="preserve">HAN-200</t>
  </si>
  <si>
    <t xml:space="preserve">plain hand rail 200 2-1/2"</t>
  </si>
  <si>
    <t xml:space="preserve">1-1/4 X 2-1/2</t>
  </si>
  <si>
    <t xml:space="preserve">HAN-205F</t>
  </si>
  <si>
    <t xml:space="preserve">2-1/2" Hand Railing 205F</t>
  </si>
  <si>
    <t xml:space="preserve">1-3/4 X 2-1/2</t>
  </si>
  <si>
    <t xml:space="preserve">HAN-206</t>
  </si>
  <si>
    <t xml:space="preserve">2-5/8" Hand Railing 206</t>
  </si>
  <si>
    <t xml:space="preserve">1-5/16 X 2-5/8</t>
  </si>
  <si>
    <t xml:space="preserve">HAN-209</t>
  </si>
  <si>
    <t xml:space="preserve">2-1/2" Hand Railing 209</t>
  </si>
  <si>
    <t xml:space="preserve">1-5/16 X 2-1/2</t>
  </si>
  <si>
    <t xml:space="preserve">HAN-248</t>
  </si>
  <si>
    <t xml:space="preserve">2-3/4" Hand Railing 248</t>
  </si>
  <si>
    <t xml:space="preserve">1-3/4 X 2-3/4</t>
  </si>
  <si>
    <t xml:space="preserve">HAN-289F</t>
  </si>
  <si>
    <t xml:space="preserve">2-3/4" Hand Railing 289F</t>
  </si>
  <si>
    <t xml:space="preserve">HAN-297F</t>
  </si>
  <si>
    <t xml:space="preserve">2-3/4" Hand Railing 297F</t>
  </si>
  <si>
    <t xml:space="preserve">HAN-301F</t>
  </si>
  <si>
    <t xml:space="preserve">3" Hand Railing 301F</t>
  </si>
  <si>
    <t xml:space="preserve">2-1/4 X 3"</t>
  </si>
  <si>
    <t xml:space="preserve">HAN-305F</t>
  </si>
  <si>
    <t xml:space="preserve">3" Hand Railing 305F</t>
  </si>
  <si>
    <t xml:space="preserve">1-3/4 X 3"</t>
  </si>
  <si>
    <t xml:space="preserve">HAN-336</t>
  </si>
  <si>
    <t xml:space="preserve">3-1/2" Hand Railing 336</t>
  </si>
  <si>
    <t xml:space="preserve">1-5/8 X 3-1/2</t>
  </si>
  <si>
    <t xml:space="preserve">SHO-206F</t>
  </si>
  <si>
    <t xml:space="preserve">2-3/4 Shoe Mould 206f</t>
  </si>
  <si>
    <t xml:space="preserve">han-2e2</t>
  </si>
  <si>
    <t xml:space="preserve">2-1/2" Handrail 2E2</t>
  </si>
  <si>
    <t xml:space="preserve">1 - 3/4  X 2 1/2</t>
  </si>
  <si>
    <t xml:space="preserve">Stair Nosing to match 2-3/8" Stair Cover</t>
  </si>
  <si>
    <t xml:space="preserve">Stair Nosing</t>
  </si>
  <si>
    <t xml:space="preserve">NOS-305</t>
  </si>
  <si>
    <t xml:space="preserve">3-1/2" Floor &amp;amp; stair nosing 305</t>
  </si>
  <si>
    <t xml:space="preserve">NOS-400</t>
  </si>
  <si>
    <t xml:space="preserve">4-1/4" Floor &amp;amp; stair nosing 400</t>
  </si>
  <si>
    <t xml:space="preserve">1-1/16 x 4-1/4</t>
  </si>
  <si>
    <t xml:space="preserve">NOS-401</t>
  </si>
  <si>
    <t xml:space="preserve">4-1/4" Floor &amp;amp; stair nosing 401</t>
  </si>
  <si>
    <t xml:space="preserve">NOS-425</t>
  </si>
  <si>
    <t xml:space="preserve">4-1/2" Stair Nosing 425</t>
  </si>
  <si>
    <t xml:space="preserve">1-1/16 X 4-1/2</t>
  </si>
  <si>
    <t xml:space="preserve">NOS-602</t>
  </si>
  <si>
    <t xml:space="preserve">6-1/4" Floor &amp;amp; stair nosing 602</t>
  </si>
  <si>
    <t xml:space="preserve">1-1/16 x 6-1/4</t>
  </si>
  <si>
    <t xml:space="preserve">T&amp;G-300</t>
  </si>
  <si>
    <t xml:space="preserve">Beadboard Panelling 2-7/8" face poplar</t>
  </si>
  <si>
    <t xml:space="preserve">Tongue &amp; Groove</t>
  </si>
  <si>
    <t xml:space="preserve">3/8 X 2-7/8 face</t>
  </si>
  <si>
    <t xml:space="preserve">T&amp;G-305</t>
  </si>
  <si>
    <t xml:space="preserve">Clear Cedar V-Groove 3" T&amp;G-305</t>
  </si>
  <si>
    <t xml:space="preserve">5/8 x 3" face</t>
  </si>
  <si>
    <t xml:space="preserve">T&amp;G-409</t>
  </si>
  <si>
    <t xml:space="preserve">4" V-Groove Panelling primed Poplar 409</t>
  </si>
  <si>
    <t xml:space="preserve">5/8 x 4" face</t>
  </si>
  <si>
    <t xml:space="preserve">T&amp;G-500</t>
  </si>
  <si>
    <t xml:space="preserve">5-1/4" Tongue &amp; Groove 500</t>
  </si>
  <si>
    <t xml:space="preserve">9/16 x 5-1/4 face</t>
  </si>
  <si>
    <t xml:space="preserve">wood &amp; MDF</t>
  </si>
  <si>
    <t xml:space="preserve">T&amp;G-502</t>
  </si>
  <si>
    <t xml:space="preserve">5-1/4" Tongue &amp; Groove 502</t>
  </si>
  <si>
    <t xml:space="preserve">T&amp;G-509</t>
  </si>
  <si>
    <t xml:space="preserve">5" Tongue &amp; Groove 509</t>
  </si>
  <si>
    <t xml:space="preserve">5/8 x 5" face</t>
  </si>
  <si>
    <t xml:space="preserve">T&amp;G-537</t>
  </si>
  <si>
    <t xml:space="preserve">V-Groove Panelling 1x6 Primed Poplar FJ</t>
  </si>
  <si>
    <t xml:space="preserve">T&amp;G-AROMATIC</t>
  </si>
  <si>
    <t xml:space="preserve">3-5/8" Tongue &amp; Groove Aromatic Cedar</t>
  </si>
  <si>
    <t xml:space="preserve">1/4 x 3-3/4 face</t>
  </si>
  <si>
    <t xml:space="preserve">T&amp;G-NF32</t>
  </si>
  <si>
    <t xml:space="preserve">5" Tongue &amp; Groove NF32</t>
  </si>
  <si>
    <t xml:space="preserve">1-3/8 x 5" face</t>
  </si>
  <si>
    <t xml:space="preserve">RED-114</t>
  </si>
  <si>
    <t xml:space="preserve">1-7/16" Transition Strip 114</t>
  </si>
  <si>
    <t xml:space="preserve">Transition Strip</t>
  </si>
  <si>
    <t xml:space="preserve">1/2 X 1-7/16</t>
  </si>
  <si>
    <t xml:space="preserve">RED-116</t>
  </si>
  <si>
    <t xml:space="preserve">1-13/16" Transition Strip 116</t>
  </si>
  <si>
    <t xml:space="preserve">1/2 X 1-3/4</t>
  </si>
  <si>
    <t xml:space="preserve">RED-119</t>
  </si>
  <si>
    <t xml:space="preserve">1-13/16" Transition Strip 119</t>
  </si>
  <si>
    <t xml:space="preserve">1/2 X 1-3/16</t>
  </si>
  <si>
    <t xml:space="preserve">RED-122</t>
  </si>
  <si>
    <t xml:space="preserve">1-7/8" Transition Strip 122</t>
  </si>
  <si>
    <t xml:space="preserve">11/16 X 1-7/8</t>
  </si>
  <si>
    <t xml:space="preserve">RED-201</t>
  </si>
  <si>
    <t xml:space="preserve">2-1/2" Transition Strip 201</t>
  </si>
  <si>
    <t xml:space="preserve">RED-202</t>
  </si>
  <si>
    <t xml:space="preserve">2-1/4" Transition Strip 202</t>
  </si>
  <si>
    <t xml:space="preserve">RED-221</t>
  </si>
  <si>
    <t xml:space="preserve">2-1/4" Transition Strip 221</t>
  </si>
  <si>
    <t xml:space="preserve">1/2 X 2-1/4</t>
  </si>
  <si>
    <t xml:space="preserve">THR-501</t>
  </si>
  <si>
    <t xml:space="preserve">5-1/2" Transition Strip 501</t>
  </si>
  <si>
    <t xml:space="preserve">3/4 x 5-1/2</t>
  </si>
  <si>
    <t xml:space="preserve">SIL-103</t>
  </si>
  <si>
    <t xml:space="preserve">1-3/4" Window Sill 103</t>
  </si>
  <si>
    <t xml:space="preserve">Window Sill</t>
  </si>
  <si>
    <t xml:space="preserve">1-1/4 X 1-3/4</t>
  </si>
  <si>
    <t xml:space="preserve">SIL-202</t>
  </si>
  <si>
    <t xml:space="preserve">2-1/2" Window Sill 202</t>
  </si>
  <si>
    <t xml:space="preserve">SIL-203</t>
  </si>
  <si>
    <t xml:space="preserve">2-1/2" Window Sill 203</t>
  </si>
  <si>
    <t xml:space="preserve">SIL-219</t>
  </si>
  <si>
    <t xml:space="preserve">Window Stool sil219</t>
  </si>
  <si>
    <t xml:space="preserve">SIL-248</t>
  </si>
  <si>
    <t xml:space="preserve">2-1/4" Window Sill 248</t>
  </si>
  <si>
    <t xml:space="preserve">SIL-304</t>
  </si>
  <si>
    <t xml:space="preserve">3-1/2" Window Sill 304</t>
  </si>
  <si>
    <t xml:space="preserve">1-1/4 X 3-1/2</t>
  </si>
  <si>
    <t xml:space="preserve">SIL-305</t>
  </si>
  <si>
    <t xml:space="preserve">3-1/2" Window Sill 305</t>
  </si>
  <si>
    <t xml:space="preserve">SIL-306</t>
  </si>
  <si>
    <t xml:space="preserve">3-1/2" Window Sill 306</t>
  </si>
  <si>
    <t xml:space="preserve">SIL-502</t>
  </si>
  <si>
    <t xml:space="preserve">5-1/2" Window Sill 502</t>
  </si>
  <si>
    <t xml:space="preserve">3/4 X 5-1/2</t>
  </si>
  <si>
    <t xml:space="preserve">SIL-503</t>
  </si>
  <si>
    <t xml:space="preserve">5-1/2" Window Sill 503</t>
  </si>
  <si>
    <t xml:space="preserve">1-1/4 X 5-1/2</t>
  </si>
  <si>
    <t xml:space="preserve">SIL-702</t>
  </si>
  <si>
    <t xml:space="preserve">7-1/4" Window Sill 702</t>
  </si>
  <si>
    <t xml:space="preserve">Z Style Barn Door Fir</t>
  </si>
  <si>
    <t xml:space="preserve">Barn Door</t>
  </si>
  <si>
    <t xml:space="preserve">36",42",48" x 84", 96"</t>
  </si>
  <si>
    <t xml:space="preserve">Engineered Style &amp; Rail</t>
  </si>
  <si>
    <t xml:space="preserve">Z Style Barn Door Fir primed white</t>
  </si>
  <si>
    <t xml:space="preserve">Z Style Barn Door Knotty Alder</t>
  </si>
  <si>
    <t xml:space="preserve">Chalk Board Door</t>
  </si>
  <si>
    <t xml:space="preserve">Chalk Board</t>
  </si>
  <si>
    <t xml:space="preserve">1-Lite Interior French Door with Opaque Water Glass Primed White TrimLite</t>
  </si>
  <si>
    <t xml:space="preserve">French</t>
  </si>
  <si>
    <t xml:space="preserve">all standard sizes available</t>
  </si>
  <si>
    <t xml:space="preserve">Classic French Door with 15 lite panes, wood bars clear Glass York Region</t>
  </si>
  <si>
    <t xml:space="preserve">french door 1-lite fancy glass</t>
  </si>
  <si>
    <t xml:space="preserve">french door delta</t>
  </si>
  <si>
    <t xml:space="preserve">french door harlow</t>
  </si>
  <si>
    <t xml:space="preserve">french door heavy</t>
  </si>
  <si>
    <t xml:space="preserve">french door laundry</t>
  </si>
  <si>
    <t xml:space="preserve">french door leaf</t>
  </si>
  <si>
    <t xml:space="preserve">french door madison</t>
  </si>
  <si>
    <t xml:space="preserve">french door modena</t>
  </si>
  <si>
    <t xml:space="preserve">french door narrow</t>
  </si>
  <si>
    <t xml:space="preserve">french door pantry</t>
  </si>
  <si>
    <t xml:space="preserve">french door pinhead</t>
  </si>
  <si>
    <t xml:space="preserve">french door quattro</t>
  </si>
  <si>
    <t xml:space="preserve">french door riverton</t>
  </si>
  <si>
    <t xml:space="preserve">french door sable</t>
  </si>
  <si>
    <t xml:space="preserve">french door screendot</t>
  </si>
  <si>
    <t xml:space="preserve">french door seedy</t>
  </si>
  <si>
    <t xml:space="preserve">french door shaker</t>
  </si>
  <si>
    <t xml:space="preserve">french door travertine</t>
  </si>
  <si>
    <t xml:space="preserve">french door waterton</t>
  </si>
  <si>
    <t xml:space="preserve">french door wheat</t>
  </si>
  <si>
    <t xml:space="preserve">french door white laminate glass</t>
  </si>
  <si>
    <t xml:space="preserve">french door with tempered rain glass detail</t>
  </si>
  <si>
    <t xml:space="preserve">Adelaide</t>
  </si>
  <si>
    <t xml:space="preserve">TrimLite Adelaide Glass french interior door Toronto York Region</t>
  </si>
  <si>
    <t xml:space="preserve">Adelaide-8ft</t>
  </si>
  <si>
    <t xml:space="preserve">Adelaide Glass french door York Region</t>
  </si>
  <si>
    <t xml:space="preserve">Artisan</t>
  </si>
  <si>
    <t xml:space="preserve">Artisan Glass french interior door by TrimLite</t>
  </si>
  <si>
    <t xml:space="preserve">Artisan-8ft</t>
  </si>
  <si>
    <t xml:space="preserve">Artisan Frank Lloyde Wright style glass interior door Primed by TrimLite Door</t>
  </si>
  <si>
    <t xml:space="preserve">cs1000c</t>
  </si>
  <si>
    <t xml:space="preserve">Arch Top interior french door stain grade cs1000c Jeld-Wen</t>
  </si>
  <si>
    <t xml:space="preserve">cs1000s</t>
  </si>
  <si>
    <t xml:space="preserve">Roman Arch Top 1-Lite Glass french interior door cs1000s Jeld-Wen</t>
  </si>
  <si>
    <t xml:space="preserve">cs1010</t>
  </si>
  <si>
    <t xml:space="preserve">french door clear glass with bottom panel interior door cs1010</t>
  </si>
  <si>
    <t xml:space="preserve">cs1010c</t>
  </si>
  <si>
    <t xml:space="preserve">french door cs1010c</t>
  </si>
  <si>
    <t xml:space="preserve">cs1010s</t>
  </si>
  <si>
    <t xml:space="preserve">french door cs1010s</t>
  </si>
  <si>
    <t xml:space="preserve">cs101a</t>
  </si>
  <si>
    <t xml:space="preserve">Glass top bottom panel interior french door cs101a</t>
  </si>
  <si>
    <t xml:space="preserve">cs101ac</t>
  </si>
  <si>
    <t xml:space="preserve">french door cs101ac</t>
  </si>
  <si>
    <t xml:space="preserve">cs101as</t>
  </si>
  <si>
    <t xml:space="preserve">french door cs101as</t>
  </si>
  <si>
    <t xml:space="preserve">cs3030</t>
  </si>
  <si>
    <t xml:space="preserve">french door cs3030</t>
  </si>
  <si>
    <t xml:space="preserve">cs3030c</t>
  </si>
  <si>
    <t xml:space="preserve">french door cs3030c</t>
  </si>
  <si>
    <t xml:space="preserve">cs3030s</t>
  </si>
  <si>
    <t xml:space="preserve">french door cs3030s</t>
  </si>
  <si>
    <t xml:space="preserve">cs303l</t>
  </si>
  <si>
    <t xml:space="preserve">french door cs303l</t>
  </si>
  <si>
    <t xml:space="preserve">cs3040</t>
  </si>
  <si>
    <t xml:space="preserve">french door cs3040</t>
  </si>
  <si>
    <t xml:space="preserve">cs3040c</t>
  </si>
  <si>
    <t xml:space="preserve">french door cs3040c</t>
  </si>
  <si>
    <t xml:space="preserve">cs3040s</t>
  </si>
  <si>
    <t xml:space="preserve">french door cs3040s</t>
  </si>
  <si>
    <t xml:space="preserve">cs304a</t>
  </si>
  <si>
    <t xml:space="preserve">french door cs304a</t>
  </si>
  <si>
    <t xml:space="preserve">cs304ac</t>
  </si>
  <si>
    <t xml:space="preserve">french door cs304ac</t>
  </si>
  <si>
    <t xml:space="preserve">cs304as</t>
  </si>
  <si>
    <t xml:space="preserve">french door cs304as</t>
  </si>
  <si>
    <t xml:space="preserve">cs304l</t>
  </si>
  <si>
    <t xml:space="preserve">french door cs304l</t>
  </si>
  <si>
    <t xml:space="preserve">cs3050</t>
  </si>
  <si>
    <t xml:space="preserve">french door cs3050</t>
  </si>
  <si>
    <t xml:space="preserve">cs3050c</t>
  </si>
  <si>
    <t xml:space="preserve">french door cs3050c</t>
  </si>
  <si>
    <t xml:space="preserve">cs3050s</t>
  </si>
  <si>
    <t xml:space="preserve">french door cs3050s</t>
  </si>
  <si>
    <t xml:space="preserve">cs305l</t>
  </si>
  <si>
    <t xml:space="preserve">french door cs305l</t>
  </si>
  <si>
    <t xml:space="preserve">cs3060</t>
  </si>
  <si>
    <t xml:space="preserve">french door cs3060</t>
  </si>
  <si>
    <t xml:space="preserve">cs3060c</t>
  </si>
  <si>
    <t xml:space="preserve">french door cs3060c</t>
  </si>
  <si>
    <t xml:space="preserve">cs3060s</t>
  </si>
  <si>
    <t xml:space="preserve">french door cs3060s</t>
  </si>
  <si>
    <t xml:space="preserve">cs306y</t>
  </si>
  <si>
    <t xml:space="preserve">french door cs306y</t>
  </si>
  <si>
    <t xml:space="preserve">cs3080</t>
  </si>
  <si>
    <t xml:space="preserve">french door cs3080</t>
  </si>
  <si>
    <t xml:space="preserve">cs3080c</t>
  </si>
  <si>
    <t xml:space="preserve">french door cs3080c</t>
  </si>
  <si>
    <t xml:space="preserve">cs3080s</t>
  </si>
  <si>
    <t xml:space="preserve">french door cs3080s</t>
  </si>
  <si>
    <t xml:space="preserve">cs308a</t>
  </si>
  <si>
    <t xml:space="preserve">french door cs308a</t>
  </si>
  <si>
    <t xml:space="preserve">cs308ac</t>
  </si>
  <si>
    <t xml:space="preserve">french door cs308ac</t>
  </si>
  <si>
    <t xml:space="preserve">cs308as</t>
  </si>
  <si>
    <t xml:space="preserve">french door cs308as</t>
  </si>
  <si>
    <t xml:space="preserve">cs3090</t>
  </si>
  <si>
    <t xml:space="preserve">french door cs3090</t>
  </si>
  <si>
    <t xml:space="preserve">cs3090c</t>
  </si>
  <si>
    <t xml:space="preserve">french door cs3090c</t>
  </si>
  <si>
    <t xml:space="preserve">cs3090s</t>
  </si>
  <si>
    <t xml:space="preserve">french door cs3090s</t>
  </si>
  <si>
    <t xml:space="preserve">cs3093</t>
  </si>
  <si>
    <t xml:space="preserve">french door cs3093</t>
  </si>
  <si>
    <t xml:space="preserve">cs3100</t>
  </si>
  <si>
    <t xml:space="preserve">french door cs3100</t>
  </si>
  <si>
    <t xml:space="preserve">cs3100c</t>
  </si>
  <si>
    <t xml:space="preserve">french door cs3100c</t>
  </si>
  <si>
    <t xml:space="preserve">cs3100s</t>
  </si>
  <si>
    <t xml:space="preserve">french door cs3100s</t>
  </si>
  <si>
    <t xml:space="preserve">cs3120</t>
  </si>
  <si>
    <t xml:space="preserve">french door cs3120</t>
  </si>
  <si>
    <t xml:space="preserve">cs3120c</t>
  </si>
  <si>
    <t xml:space="preserve">french door cs3120c</t>
  </si>
  <si>
    <t xml:space="preserve">cs3120s</t>
  </si>
  <si>
    <t xml:space="preserve">french door cs3120s</t>
  </si>
  <si>
    <t xml:space="preserve">cs312a</t>
  </si>
  <si>
    <t xml:space="preserve">french door cs312a</t>
  </si>
  <si>
    <t xml:space="preserve">cs312ac</t>
  </si>
  <si>
    <t xml:space="preserve">french door cs312ac</t>
  </si>
  <si>
    <t xml:space="preserve">cs312as</t>
  </si>
  <si>
    <t xml:space="preserve">french door cs312as</t>
  </si>
  <si>
    <t xml:space="preserve">cs3150</t>
  </si>
  <si>
    <t xml:space="preserve">french door cs3150</t>
  </si>
  <si>
    <t xml:space="preserve">cs3150c</t>
  </si>
  <si>
    <t xml:space="preserve">french door cs3150c</t>
  </si>
  <si>
    <t xml:space="preserve">cs3150s</t>
  </si>
  <si>
    <t xml:space="preserve">french door cs3150s</t>
  </si>
  <si>
    <t xml:space="preserve">cs691a</t>
  </si>
  <si>
    <t xml:space="preserve">french door cs691a</t>
  </si>
  <si>
    <t xml:space="preserve">cs803l</t>
  </si>
  <si>
    <t xml:space="preserve">french door cs803l</t>
  </si>
  <si>
    <t xml:space="preserve">cs804l</t>
  </si>
  <si>
    <t xml:space="preserve">french door cs804l</t>
  </si>
  <si>
    <t xml:space="preserve">cs805l</t>
  </si>
  <si>
    <t xml:space="preserve">french door cs805l</t>
  </si>
  <si>
    <t xml:space="preserve">two panel louvered door</t>
  </si>
  <si>
    <t xml:space="preserve">Louvered</t>
  </si>
  <si>
    <t xml:space="preserve">inquire</t>
  </si>
  <si>
    <t xml:space="preserve">1 or 2 sided mirror door</t>
  </si>
  <si>
    <t xml:space="preserve">Mirror</t>
  </si>
  <si>
    <t xml:space="preserve">Fine Line Router Carved Mdf</t>
  </si>
  <si>
    <t xml:space="preserve">Moulded Panel</t>
  </si>
  <si>
    <t xml:space="preserve">Router Carved Solid MDF</t>
  </si>
  <si>
    <t xml:space="preserve">8 Panel Shaker Fir</t>
  </si>
  <si>
    <t xml:space="preserve">Shaker</t>
  </si>
  <si>
    <t xml:space="preserve">8401</t>
  </si>
  <si>
    <t xml:space="preserve">1 Panel Solid Shaker Interior Door primed 8401 in the GTA and Cottage Country</t>
  </si>
  <si>
    <t xml:space="preserve">standard and custom sizes available</t>
  </si>
  <si>
    <t xml:space="preserve">8401 French</t>
  </si>
  <si>
    <t xml:space="preserve">1 Lite Shaker interior door with white laminate glass</t>
  </si>
  <si>
    <t xml:space="preserve">8401fir</t>
  </si>
  <si>
    <t xml:space="preserve">1 Panel Shaker Fir</t>
  </si>
  <si>
    <t xml:space="preserve">8402</t>
  </si>
  <si>
    <t xml:space="preserve">2 Panel Solid Shaker primed interior Door York Region, GTA &amp; Barrie</t>
  </si>
  <si>
    <t xml:space="preserve">8402fir</t>
  </si>
  <si>
    <t xml:space="preserve">2 Panel Shaker Fir</t>
  </si>
  <si>
    <t xml:space="preserve">8402french</t>
  </si>
  <si>
    <t xml:space="preserve">2 Lite Shaker white laminate glass</t>
  </si>
  <si>
    <t xml:space="preserve">8403</t>
  </si>
  <si>
    <t xml:space="preserve">Craftsman Shaker primed</t>
  </si>
  <si>
    <t xml:space="preserve">8403fir</t>
  </si>
  <si>
    <t xml:space="preserve">Craftsman Shaker Fir</t>
  </si>
  <si>
    <t xml:space="preserve">8403french</t>
  </si>
  <si>
    <t xml:space="preserve">Craftsman Shaker white laminate glass</t>
  </si>
  <si>
    <t xml:space="preserve">8405</t>
  </si>
  <si>
    <t xml:space="preserve">5 Panel Solid Shaker Interior Door primed</t>
  </si>
  <si>
    <t xml:space="preserve">8405fir</t>
  </si>
  <si>
    <t xml:space="preserve">5 Panel Shaker Fir</t>
  </si>
  <si>
    <t xml:space="preserve">8405frenchclr</t>
  </si>
  <si>
    <t xml:space="preserve">5 Lite Shaker clear glass</t>
  </si>
  <si>
    <t xml:space="preserve">8405frenchdwl</t>
  </si>
  <si>
    <t xml:space="preserve">5 Lite Shaker Door white laminate glass DWL Toronto York Region</t>
  </si>
  <si>
    <t xml:space="preserve">8433</t>
  </si>
  <si>
    <t xml:space="preserve">3 Equal Panel Solid Shaker Interior Door primed York Region</t>
  </si>
  <si>
    <t xml:space="preserve">8433fir</t>
  </si>
  <si>
    <t xml:space="preserve">3 Panel Shaker Fir</t>
  </si>
  <si>
    <t xml:space="preserve">8433frenchclr</t>
  </si>
  <si>
    <t xml:space="preserve">3 Lite Shaker interior door with clear glass Toronto GTA York Region</t>
  </si>
  <si>
    <t xml:space="preserve">8433frenchdwl</t>
  </si>
  <si>
    <t xml:space="preserve">3 lite shaker white laminate glass</t>
  </si>
  <si>
    <t xml:space="preserve">8444</t>
  </si>
  <si>
    <t xml:space="preserve">4 Panel Solid Shaker Interior Door primed Toronto York Region and Muskoka</t>
  </si>
  <si>
    <t xml:space="preserve">8444frenchclr</t>
  </si>
  <si>
    <t xml:space="preserve">3 Lite Modern Shaker clear glass solid interior door</t>
  </si>
  <si>
    <t xml:space="preserve">8444frenchdwl</t>
  </si>
  <si>
    <t xml:space="preserve">4 Lite Shaker interior door white laminate glass</t>
  </si>
  <si>
    <t xml:space="preserve">DR-8404</t>
  </si>
  <si>
    <t xml:space="preserve">8 Panel Shaker French</t>
  </si>
  <si>
    <t xml:space="preserve">Engineered Style and Rail</t>
  </si>
  <si>
    <t xml:space="preserve">DR-8406</t>
  </si>
  <si>
    <t xml:space="preserve">6 Panel Shaker French</t>
  </si>
  <si>
    <t xml:space="preserve">Stain grade door pine-knotty-2-panel-square</t>
  </si>
  <si>
    <t xml:space="preserve">Stain Grade</t>
  </si>
  <si>
    <t xml:space="preserve">Stain grade door pine-knotty-2-panel-staved-arch</t>
  </si>
  <si>
    <t xml:space="preserve">2010</t>
  </si>
  <si>
    <t xml:space="preserve">Stain grade door 2010</t>
  </si>
  <si>
    <t xml:space="preserve">2010C</t>
  </si>
  <si>
    <t xml:space="preserve">Stain grade door 2010C</t>
  </si>
  <si>
    <t xml:space="preserve">2010S</t>
  </si>
  <si>
    <t xml:space="preserve">Stain grade door 2010S</t>
  </si>
  <si>
    <t xml:space="preserve">2020</t>
  </si>
  <si>
    <t xml:space="preserve">Stain grade door 2020</t>
  </si>
  <si>
    <t xml:space="preserve">2020C</t>
  </si>
  <si>
    <t xml:space="preserve">Stain grade door 2020C</t>
  </si>
  <si>
    <t xml:space="preserve">2020S</t>
  </si>
  <si>
    <t xml:space="preserve">Stain grade door 2020S</t>
  </si>
  <si>
    <t xml:space="preserve">202A</t>
  </si>
  <si>
    <t xml:space="preserve">Stain grade door 202A</t>
  </si>
  <si>
    <t xml:space="preserve">202AC</t>
  </si>
  <si>
    <t xml:space="preserve">Stain grade door 202AC</t>
  </si>
  <si>
    <t xml:space="preserve">202AS</t>
  </si>
  <si>
    <t xml:space="preserve">Stain grade door 202AS</t>
  </si>
  <si>
    <t xml:space="preserve">2035</t>
  </si>
  <si>
    <t xml:space="preserve">Stain grade door 2035</t>
  </si>
  <si>
    <t xml:space="preserve">2036</t>
  </si>
  <si>
    <t xml:space="preserve">Stain grade door 2036</t>
  </si>
  <si>
    <t xml:space="preserve">203A</t>
  </si>
  <si>
    <t xml:space="preserve">Stain grade door 203A</t>
  </si>
  <si>
    <t xml:space="preserve">203AC</t>
  </si>
  <si>
    <t xml:space="preserve">Stain grade door 203AC</t>
  </si>
  <si>
    <t xml:space="preserve">203AS</t>
  </si>
  <si>
    <t xml:space="preserve">Stain grade door 203AS</t>
  </si>
  <si>
    <t xml:space="preserve">203E</t>
  </si>
  <si>
    <t xml:space="preserve">Stain grade door 203E</t>
  </si>
  <si>
    <t xml:space="preserve">203H</t>
  </si>
  <si>
    <t xml:space="preserve">Stain grade door 203H</t>
  </si>
  <si>
    <t xml:space="preserve">203K</t>
  </si>
  <si>
    <t xml:space="preserve">Stain grade door 203K</t>
  </si>
  <si>
    <t xml:space="preserve">203KC</t>
  </si>
  <si>
    <t xml:space="preserve">Stain grade door 203KC</t>
  </si>
  <si>
    <t xml:space="preserve">203KS</t>
  </si>
  <si>
    <t xml:space="preserve">Stain grade door 203KS</t>
  </si>
  <si>
    <t xml:space="preserve">203L</t>
  </si>
  <si>
    <t xml:space="preserve">Stain grade door 203L</t>
  </si>
  <si>
    <t xml:space="preserve">203T</t>
  </si>
  <si>
    <t xml:space="preserve">Stain grade door 203T</t>
  </si>
  <si>
    <t xml:space="preserve">203TP</t>
  </si>
  <si>
    <t xml:space="preserve">Stain grade door 203TP</t>
  </si>
  <si>
    <t xml:space="preserve">2040</t>
  </si>
  <si>
    <t xml:space="preserve">Stain grade door 2040</t>
  </si>
  <si>
    <t xml:space="preserve">2040C</t>
  </si>
  <si>
    <t xml:space="preserve">Stain grade door 2040C</t>
  </si>
  <si>
    <t xml:space="preserve">2040S</t>
  </si>
  <si>
    <t xml:space="preserve">Stain grade door 2040S</t>
  </si>
  <si>
    <t xml:space="preserve">204F</t>
  </si>
  <si>
    <t xml:space="preserve">Stain grade door 204F</t>
  </si>
  <si>
    <t xml:space="preserve">204H</t>
  </si>
  <si>
    <t xml:space="preserve">Stain grade door 204H</t>
  </si>
  <si>
    <t xml:space="preserve">204L</t>
  </si>
  <si>
    <t xml:space="preserve">Stain grade door 204L</t>
  </si>
  <si>
    <t xml:space="preserve">204Z</t>
  </si>
  <si>
    <t xml:space="preserve">Stain grade door 204Z</t>
  </si>
  <si>
    <t xml:space="preserve">2050</t>
  </si>
  <si>
    <t xml:space="preserve">Stain grade door 2050</t>
  </si>
  <si>
    <t xml:space="preserve">205H</t>
  </si>
  <si>
    <t xml:space="preserve">Stain grade door 205H</t>
  </si>
  <si>
    <t xml:space="preserve">205L</t>
  </si>
  <si>
    <t xml:space="preserve">Stain grade door 205L</t>
  </si>
  <si>
    <t xml:space="preserve">2060</t>
  </si>
  <si>
    <t xml:space="preserve">Stain grade door 2060</t>
  </si>
  <si>
    <t xml:space="preserve">206R</t>
  </si>
  <si>
    <t xml:space="preserve">Stain grade door 206R</t>
  </si>
  <si>
    <t xml:space="preserve">206T</t>
  </si>
  <si>
    <t xml:space="preserve">Stain grade door 206T</t>
  </si>
  <si>
    <t xml:space="preserve">2080</t>
  </si>
  <si>
    <t xml:space="preserve">Stain grade door 2080</t>
  </si>
  <si>
    <t xml:space="preserve">792A</t>
  </si>
  <si>
    <t xml:space="preserve">Stain grade door 792A</t>
  </si>
  <si>
    <t xml:space="preserve">7935</t>
  </si>
  <si>
    <t xml:space="preserve">Stain grade door 7935</t>
  </si>
  <si>
    <t xml:space="preserve">7936</t>
  </si>
  <si>
    <t xml:space="preserve">Stain grade door 7936</t>
  </si>
  <si>
    <t xml:space="preserve">793A</t>
  </si>
  <si>
    <t xml:space="preserve">Stain grade door 793A</t>
  </si>
  <si>
    <t xml:space="preserve">793K</t>
  </si>
  <si>
    <t xml:space="preserve">Stain grade door 793K</t>
  </si>
  <si>
    <t xml:space="preserve">793L</t>
  </si>
  <si>
    <t xml:space="preserve">Stain grade door 793L</t>
  </si>
  <si>
    <t xml:space="preserve">793T</t>
  </si>
  <si>
    <t xml:space="preserve">Stain grade door 793T</t>
  </si>
  <si>
    <t xml:space="preserve">794F</t>
  </si>
  <si>
    <t xml:space="preserve">Stain grade door 794F</t>
  </si>
  <si>
    <t xml:space="preserve">794L</t>
  </si>
  <si>
    <t xml:space="preserve">Stain grade door 794L</t>
  </si>
  <si>
    <t xml:space="preserve">794Z</t>
  </si>
  <si>
    <t xml:space="preserve">Stain grade door 794Z</t>
  </si>
  <si>
    <t xml:space="preserve">795L</t>
  </si>
  <si>
    <t xml:space="preserve">Stain grade door 795L</t>
  </si>
  <si>
    <t xml:space="preserve">796R</t>
  </si>
  <si>
    <t xml:space="preserve">Stain grade door 796R</t>
  </si>
  <si>
    <t xml:space="preserve">796T</t>
  </si>
  <si>
    <t xml:space="preserve">Stain grade door 796T</t>
  </si>
  <si>
    <t xml:space="preserve">7980</t>
  </si>
  <si>
    <t xml:space="preserve">Stain grade door 7980</t>
  </si>
  <si>
    <t xml:space="preserve">DH-BDHMB-7</t>
  </si>
  <si>
    <t xml:space="preserve">Barn door track black</t>
  </si>
  <si>
    <t xml:space="preserve">Barn Door Hardware</t>
  </si>
  <si>
    <t xml:space="preserve">DH-BDHMB-8</t>
  </si>
  <si>
    <t xml:space="preserve">Barn door track black 8'</t>
  </si>
  <si>
    <t xml:space="preserve">DH-BDHSS-7</t>
  </si>
  <si>
    <t xml:space="preserve">Barn door track stainless 7'</t>
  </si>
  <si>
    <t xml:space="preserve">DH-BDHSS-8</t>
  </si>
  <si>
    <t xml:space="preserve">Barn door track stainless 8'</t>
  </si>
  <si>
    <t xml:space="preserve">DH-FTSC-MB</t>
  </si>
  <si>
    <t xml:space="preserve">Soft close barn door hardware</t>
  </si>
  <si>
    <t xml:space="preserve">DH-PULLNRD24US10B</t>
  </si>
  <si>
    <t xml:space="preserve">24</t>
  </si>
  <si>
    <t xml:space="preserve">3-1/2 Ball Bearing Sq Butt Hinge Nickel</t>
  </si>
  <si>
    <t xml:space="preserve">Hinges</t>
  </si>
  <si>
    <t xml:space="preserve">5/8 rad corner hinge black</t>
  </si>
  <si>
    <t xml:space="preserve">Radius corner butt hinge satin nickel</t>
  </si>
  <si>
    <t xml:space="preserve">Square corner butt hinge black</t>
  </si>
  <si>
    <t xml:space="preserve">DHT-25-PK8</t>
  </si>
  <si>
    <t xml:space="preserve">3 x 3 Square Corner Butt Hinge</t>
  </si>
  <si>
    <t xml:space="preserve">HON-41820NB-B</t>
  </si>
  <si>
    <t xml:space="preserve">3 x 3 Ball Bearing Hinge 5/8</t>
  </si>
  <si>
    <t xml:space="preserve">HON-4821</t>
  </si>
  <si>
    <t xml:space="preserve">3-1/2 Ball Bearing Sq Butt Hinge Black</t>
  </si>
  <si>
    <t xml:space="preserve">1948 Lever Black</t>
  </si>
  <si>
    <t xml:space="preserve">Levers and Knobs</t>
  </si>
  <si>
    <t xml:space="preserve">Barcelona Knob Black</t>
  </si>
  <si>
    <t xml:space="preserve">Barcelona Knob Nickel</t>
  </si>
  <si>
    <t xml:space="preserve">Equinox Lever Chrome</t>
  </si>
  <si>
    <t xml:space="preserve">Equinox Lever Satin Nickel</t>
  </si>
  <si>
    <t xml:space="preserve">Halifax Lever Flat Black</t>
  </si>
  <si>
    <t xml:space="preserve">Orleans Lever Oil Rubbed Bronze</t>
  </si>
  <si>
    <t xml:space="preserve">Silver Moon Lever builder lever</t>
  </si>
  <si>
    <t xml:space="preserve">Square Rosette Kit Black</t>
  </si>
  <si>
    <t xml:space="preserve">Square Rosette Kit Satin Nickel</t>
  </si>
  <si>
    <t xml:space="preserve">Vega Lever Black</t>
  </si>
  <si>
    <t xml:space="preserve">Vega Lever Nickel</t>
  </si>
  <si>
    <t xml:space="preserve">DH-HAL-PA-SN</t>
  </si>
  <si>
    <t xml:space="preserve">Halifax Lever Satin Nickel</t>
  </si>
  <si>
    <t xml:space="preserve">Satin Nickel Finish</t>
  </si>
  <si>
    <t xml:space="preserve">DHT-36-D8305SN</t>
  </si>
  <si>
    <t xml:space="preserve">Taymor Orleans Lever Passage Nickel</t>
  </si>
  <si>
    <t xml:space="preserve">Satin Nickel</t>
  </si>
  <si>
    <t xml:space="preserve">2-7/8″ Diecast Door Stop</t>
  </si>
  <si>
    <t xml:space="preserve">Misc. Hardware</t>
  </si>
  <si>
    <t xml:space="preserve">Open and Closed Flange Chrome for closet rods</t>
  </si>
  <si>
    <t xml:space="preserve">DHT-20-1412</t>
  </si>
  <si>
    <t xml:space="preserve">Ball Catch with Strike Plate</t>
  </si>
  <si>
    <t xml:space="preserve">DHT-25-P4634</t>
  </si>
  <si>
    <t xml:space="preserve">Hinge Pin Door Stop</t>
  </si>
  <si>
    <t xml:space="preserve">DHT-25-P4671</t>
  </si>
  <si>
    <t xml:space="preserve">3-1/8</t>
  </si>
  <si>
    <t xml:space="preserve">hmc-closetrod-</t>
  </si>
  <si>
    <t xml:space="preserve">Chrome Closet Rod 8 and 10 foot</t>
  </si>
  <si>
    <t xml:space="preserve">Rectangular Pocket Door Lock Black</t>
  </si>
  <si>
    <t xml:space="preserve">Pocket Door Hardware</t>
  </si>
  <si>
    <t xml:space="preserve">Rectangular Pocket Door Lock Satin Nickel</t>
  </si>
  <si>
    <t xml:space="preserve">Round Pocket Door Lock Black</t>
  </si>
  <si>
    <t xml:space="preserve">Round Pocket Door Lock Nickel</t>
  </si>
  <si>
    <t xml:space="preserve">DH-AUR23</t>
  </si>
  <si>
    <t xml:space="preserve">Finger pull</t>
  </si>
  <si>
    <t xml:space="preserve">DH-MR2199</t>
  </si>
  <si>
    <t xml:space="preserve">Pocket Door Pull</t>
  </si>
  <si>
    <t xml:space="preserve">HDA-C200-GUIDE</t>
  </si>
  <si>
    <t xml:space="preserve">Floor Guide for Recessed Track</t>
  </si>
  <si>
    <t xml:space="preserve">HDA-C201-TRACK</t>
  </si>
  <si>
    <t xml:space="preserve">5/8 8′ Recessed Channel Track</t>
  </si>
  <si>
    <t xml:space="preserve">HDA-C500-TRACK</t>
  </si>
  <si>
    <t xml:space="preserve">By-Passing Track for 1-3/4</t>
  </si>
  <si>
    <t xml:space="preserve">HMS-1102</t>
  </si>
  <si>
    <t xml:space="preserve">Screw type plate with Olive Guide</t>
  </si>
  <si>
    <t xml:space="preserve">HMS-1106-110</t>
  </si>
  <si>
    <t xml:space="preserve">Black PVC U Channel</t>
  </si>
  <si>
    <t xml:space="preserve">HMS-1109A/200</t>
  </si>
  <si>
    <t xml:space="preserve">Aluminum U-Channel</t>
  </si>
  <si>
    <t xml:space="preserve">HMS-11108/400</t>
  </si>
  <si>
    <t xml:space="preserve">Long Pocket Door Track 13'</t>
  </si>
  <si>
    <t xml:space="preserve">HMS-MA40A-190</t>
  </si>
  <si>
    <t xml:space="preserve">Sliding System Set for 88 lbs</t>
  </si>
  <si>
    <t xml:space="preserve">HMS-SAF40A-200</t>
  </si>
  <si>
    <t xml:space="preserve">Soft cose sliding System 88lbs</t>
  </si>
  <si>
    <t xml:space="preserve">HMS-SAF80-A</t>
  </si>
  <si>
    <t xml:space="preserve">Roller Kit (no track)</t>
  </si>
  <si>
    <t xml:space="preserve">HMS-SAF80A-200</t>
  </si>
  <si>
    <t xml:space="preserve">Soft close Sliding System 176 Lbs</t>
  </si>
  <si>
    <t xml:space="preserve">HTL-BDFDP</t>
  </si>
  <si>
    <t xml:space="preserve">pocket door pull</t>
  </si>
  <si>
    <t xml:space="preserve">c400-hanger</t>
  </si>
  <si>
    <t xml:space="preserve">Pocket Door Hanger 125lbs</t>
  </si>
  <si>
    <t xml:space="preserve">Handrail Bracket - Heavy Duty</t>
  </si>
  <si>
    <t xml:space="preserve">(none)</t>
  </si>
  <si>
    <t xml:space="preserve">Spindle - Black steel accessories</t>
  </si>
  <si>
    <t xml:space="preserve">Stair Nosing for tread cover</t>
  </si>
  <si>
    <t xml:space="preserve">Stair Tread Covers White Oak</t>
  </si>
  <si>
    <t xml:space="preserve">DHT-25-P6360</t>
  </si>
  <si>
    <t xml:space="preserve">Handrail Bracket</t>
  </si>
  <si>
    <t xml:space="preserve">HBR-DOWELSCREW-L</t>
  </si>
  <si>
    <t xml:space="preserve">Dowel Screws</t>
  </si>
  <si>
    <t xml:space="preserve">hvb-hw105</t>
  </si>
  <si>
    <t xml:space="preserve">Hanger Bolt, nut &amp;amp; washer</t>
  </si>
  <si>
    <t xml:space="preserve">sc-10-06-30</t>
  </si>
  <si>
    <t xml:space="preserve">Plain Black Metal Collar</t>
  </si>
  <si>
    <t xml:space="preserve">sc-10-17-30</t>
  </si>
  <si>
    <t xml:space="preserve">Black Angled Shoe</t>
  </si>
  <si>
    <t xml:space="preserve">sc-hn-</t>
  </si>
  <si>
    <t xml:space="preserve">Half Newel Posts</t>
  </si>
  <si>
    <t xml:space="preserve">sc-sp014-00c</t>
  </si>
  <si>
    <t xml:space="preserve">Newel Post Mounting Plate</t>
  </si>
  <si>
    <t xml:space="preserve">sc-sp031-00c</t>
  </si>
  <si>
    <t xml:space="preserve">Handrail Bolt Connector</t>
  </si>
  <si>
    <t xml:space="preserve">sc-sp037-00c</t>
  </si>
  <si>
    <t xml:space="preserve">Handrail &amp; Newel Connection Kit</t>
  </si>
  <si>
    <t xml:space="preserve">Newel Post Mounting Kit</t>
  </si>
  <si>
    <t xml:space="preserve">sc-ss142-laq</t>
  </si>
  <si>
    <t xml:space="preserve">Painted White Spindle Plain</t>
  </si>
  <si>
    <t xml:space="preserve">1-5/16\" x 36\" &amp; 42\"</t>
  </si>
  <si>
    <t xml:space="preserve">painted wood</t>
  </si>
  <si>
    <t xml:space="preserve">sc-tl-12x-30</t>
  </si>
  <si>
    <t xml:space="preserve">Plain Black Metal Spindle</t>
  </si>
  <si>
    <t xml:space="preserve">sc-tl-pin</t>
  </si>
  <si>
    <t xml:space="preserve">Spiral Pin</t>
  </si>
  <si>
    <t xml:space="preserve">sc-tl98-1-30</t>
  </si>
  <si>
    <t xml:space="preserve">Geo-1 Spindle Black</t>
  </si>
  <si>
    <t xml:space="preserve">sc-tl98-3-30</t>
  </si>
  <si>
    <t xml:space="preserve">Geo-3 Spindle Black</t>
  </si>
  <si>
    <t xml:space="preserve">sc-tlc</t>
  </si>
  <si>
    <t xml:space="preserve">Spindle Plug Connector</t>
  </si>
  <si>
    <t xml:space="preserve">sc-tlc-ss</t>
  </si>
  <si>
    <t xml:space="preserve">Connector Plug</t>
  </si>
  <si>
    <t xml:space="preserve">SHO-305F</t>
  </si>
  <si>
    <t xml:space="preserve">3" Shoe Mould 305F</t>
  </si>
  <si>
    <t xml:space="preserve">3/4 X 3"</t>
  </si>
  <si>
    <t xml:space="preserve">305 Shoe Rail</t>
  </si>
  <si>
    <t xml:space="preserve">item_id</t>
  </si>
  <si>
    <t xml:space="preserve">product_code</t>
  </si>
  <si>
    <t xml:space="preserve">product_name</t>
  </si>
  <si>
    <t xml:space="preserve">upcp_slug</t>
  </si>
  <si>
    <t xml:space="preserve">post_slug</t>
  </si>
  <si>
    <t xml:space="preserve">slug_mismatch</t>
  </si>
  <si>
    <t xml:space="preserve">has_post</t>
  </si>
  <si>
    <t xml:space="preserve">category</t>
  </si>
  <si>
    <t xml:space="preserve">subcategory</t>
  </si>
  <si>
    <t xml:space="preserve">new_url</t>
  </si>
  <si>
    <t xml:space="preserve">size_display</t>
  </si>
  <si>
    <t xml:space="preserve">thickness_in</t>
  </si>
  <si>
    <t xml:space="preserve">width_in</t>
  </si>
  <si>
    <t xml:space="preserve">material_raw</t>
  </si>
  <si>
    <t xml:space="preserve">species_PROPOSED</t>
  </si>
  <si>
    <t xml:space="preserve">construction</t>
  </si>
  <si>
    <t xml:space="preserve">finish</t>
  </si>
  <si>
    <t xml:space="preserve">desc_words</t>
  </si>
  <si>
    <t xml:space="preserve">views</t>
  </si>
  <si>
    <t xml:space="preserve">price</t>
  </si>
  <si>
    <t xml:space="preserve">yoast_title</t>
  </si>
  <si>
    <t xml:space="preserve">post_modified</t>
  </si>
  <si>
    <t xml:space="preserve">review_flags</t>
  </si>
  <si>
    <t xml:space="preserve">Colonist</t>
  </si>
  <si>
    <t xml:space="preserve">moulded-interior-door-six-panel-textured-colonist</t>
  </si>
  <si>
    <t xml:space="preserve">False</t>
  </si>
  <si>
    <t xml:space="preserve">True</t>
  </si>
  <si>
    <t xml:space="preserve">interior-doors</t>
  </si>
  <si>
    <t xml:space="preserve">/products/interior-doors/moulded-interior-door-six-panel-textured-colonist/</t>
  </si>
  <si>
    <t xml:space="preserve">most standard sizes available</t>
  </si>
  <si>
    <t xml:space="preserve">wood composite</t>
  </si>
  <si>
    <t xml:space="preserve">Wood Composite</t>
  </si>
  <si>
    <t xml:space="preserve">2017-08-09 21:30:25</t>
  </si>
  <si>
    <t xml:space="preserve">NO CODE</t>
  </si>
  <si>
    <t xml:space="preserve">Conmore</t>
  </si>
  <si>
    <t xml:space="preserve">moulded-interior-door-five-panel-smooth-conmore</t>
  </si>
  <si>
    <t xml:space="preserve">/products/interior-doors/moulded-interior-door-five-panel-smooth-conmore/</t>
  </si>
  <si>
    <t xml:space="preserve">Melrose</t>
  </si>
  <si>
    <t xml:space="preserve">moulded-interior-door-west-end-melrose</t>
  </si>
  <si>
    <t xml:space="preserve">/products/interior-doors/moulded-interior-door-west-end-melrose/</t>
  </si>
  <si>
    <t xml:space="preserve">Santa-fe</t>
  </si>
  <si>
    <t xml:space="preserve">moulded-interior-door-two-panel-arc-smooth-vgroove-santafe</t>
  </si>
  <si>
    <t xml:space="preserve">/products/interior-doors/moulded-interior-door-two-panel-arc-smooth-vgroove-santafe/</t>
  </si>
  <si>
    <t xml:space="preserve">Rockport</t>
  </si>
  <si>
    <t xml:space="preserve">moulded-interior-door-five-panel-smooth-rockport</t>
  </si>
  <si>
    <t xml:space="preserve">/products/interior-doors/moulded-interior-door-five-panel-smooth-rockport/</t>
  </si>
  <si>
    <t xml:space="preserve">Craftsman Interior Door - Smooth Skin Primed White</t>
  </si>
  <si>
    <t xml:space="preserve">moulded-interior-door-three-panel-smooth-craftsman</t>
  </si>
  <si>
    <t xml:space="preserve">/products/interior-doors/moulded-interior-door-three-panel-smooth-craftsman/</t>
  </si>
  <si>
    <t xml:space="preserve">Craftsman</t>
  </si>
  <si>
    <t xml:space="preserve">2026-06-15 14:21:45</t>
  </si>
  <si>
    <t xml:space="preserve">Madison</t>
  </si>
  <si>
    <t xml:space="preserve">one-panel-madison-door</t>
  </si>
  <si>
    <t xml:space="preserve">/products/interior-doors/one-panel-madison-door/</t>
  </si>
  <si>
    <t xml:space="preserve">Camden</t>
  </si>
  <si>
    <t xml:space="preserve">moulded-interior-door-two-panel-eyebrow-textured-camden</t>
  </si>
  <si>
    <t xml:space="preserve">/products/interior-doors/moulded-interior-door-two-panel-eyebrow-textured-camden/</t>
  </si>
  <si>
    <t xml:space="preserve">Monroe</t>
  </si>
  <si>
    <t xml:space="preserve">moulded-interior-door-two-panel-smooth-monroe</t>
  </si>
  <si>
    <t xml:space="preserve">/products/interior-doors/moulded-interior-door-two-panel-smooth-monroe/</t>
  </si>
  <si>
    <t xml:space="preserve">Princeton</t>
  </si>
  <si>
    <t xml:space="preserve">moulded-interior-door-two-panel-eyebrow-smooth</t>
  </si>
  <si>
    <t xml:space="preserve">/products/interior-doors/moulded-interior-door-two-panel-eyebrow-smooth/</t>
  </si>
  <si>
    <t xml:space="preserve">NO CODE | NO POST / NO INDEXABLE URL</t>
  </si>
  <si>
    <t xml:space="preserve">Spindle - Black Steel Geo</t>
  </si>
  <si>
    <t xml:space="preserve">spindle-black-steel</t>
  </si>
  <si>
    <t xml:space="preserve">stair-railing</t>
  </si>
  <si>
    <t xml:space="preserve">/products/stair-railing/spindle-black-steel/</t>
  </si>
  <si>
    <t xml:space="preserve">1/2 x 44"</t>
  </si>
  <si>
    <t xml:space="preserve">Continental</t>
  </si>
  <si>
    <t xml:space="preserve">moulded-interior-door-two-panel-arch-smooth-continental</t>
  </si>
  <si>
    <t xml:space="preserve">/products/interior-doors/moulded-interior-door-two-panel-arch-smooth-continental/</t>
  </si>
  <si>
    <t xml:space="preserve">Spindle - Metal</t>
  </si>
  <si>
    <t xml:space="preserve">spindle-metal</t>
  </si>
  <si>
    <t xml:space="preserve">/products/stair-railing/spindle-metal/</t>
  </si>
  <si>
    <t xml:space="preserve">1/2" x 44"</t>
  </si>
  <si>
    <t xml:space="preserve">RAB-002</t>
  </si>
  <si>
    <t xml:space="preserve">Contemporary Base Cap Backband</t>
  </si>
  <si>
    <t xml:space="preserve">contemporary-base-cap-backband</t>
  </si>
  <si>
    <t xml:space="preserve">trim-mouldings</t>
  </si>
  <si>
    <t xml:space="preserve">/products/trim-mouldings/contemporary-base-cap-backband/</t>
  </si>
  <si>
    <t xml:space="preserve">POPLAR</t>
  </si>
  <si>
    <t xml:space="preserve">2019-10-09 16:09:01</t>
  </si>
  <si>
    <t xml:space="preserve">NO DESCRIPTION</t>
  </si>
  <si>
    <t xml:space="preserve">Modern Base Cap Backband</t>
  </si>
  <si>
    <t xml:space="preserve">modern-base-cap-backband</t>
  </si>
  <si>
    <t xml:space="preserve">/products/trim-mouldings/modern-base-cap-backband/</t>
  </si>
  <si>
    <t xml:space="preserve">poplar</t>
  </si>
  <si>
    <t xml:space="preserve">2019-10-09 16:06:28</t>
  </si>
  <si>
    <t xml:space="preserve">STO-1M6</t>
  </si>
  <si>
    <t xml:space="preserve">Contemporary Door Stop 1M6</t>
  </si>
  <si>
    <t xml:space="preserve">contemporary-door-stop-1m6</t>
  </si>
  <si>
    <t xml:space="preserve">/products/trim-mouldings/contemporary-door-stop-1m6/</t>
  </si>
  <si>
    <t xml:space="preserve">Primed</t>
  </si>
  <si>
    <t xml:space="preserve">2026-01-19 15:39:15</t>
  </si>
  <si>
    <t xml:space="preserve">BAS-902</t>
  </si>
  <si>
    <t xml:space="preserve">9-1/4 bevelled bas-902 mdf</t>
  </si>
  <si>
    <t xml:space="preserve">9-14-bevelled-bas-902-mdf</t>
  </si>
  <si>
    <t xml:space="preserve">/products/trim-mouldings/9-14-bevelled-bas-902-mdf/</t>
  </si>
  <si>
    <t xml:space="preserve">3/4 X 9-1/4</t>
  </si>
  <si>
    <t xml:space="preserve">PRIMED MDF</t>
  </si>
  <si>
    <t xml:space="preserve">MDF</t>
  </si>
  <si>
    <t xml:space="preserve">2026-05-20 11:19:45</t>
  </si>
  <si>
    <t xml:space="preserve">HAN-2L1</t>
  </si>
  <si>
    <t xml:space="preserve">Modern Oak Handrail</t>
  </si>
  <si>
    <t xml:space="preserve">modern-oak-handrail-2l1</t>
  </si>
  <si>
    <t xml:space="preserve">/products/trim-mouldings/modern-oak-handrail-2l1/</t>
  </si>
  <si>
    <t xml:space="preserve">1-3/4 x 2-1/2</t>
  </si>
  <si>
    <t xml:space="preserve">OAK and Maple</t>
  </si>
  <si>
    <t xml:space="preserve">Oak (unspecified)|Maple</t>
  </si>
  <si>
    <t xml:space="preserve">2022-01-07 19:58:49</t>
  </si>
  <si>
    <t xml:space="preserve">BAC-1E5</t>
  </si>
  <si>
    <t xml:space="preserve">Square Backband 1E5</t>
  </si>
  <si>
    <t xml:space="preserve">square-backband-1e5</t>
  </si>
  <si>
    <t xml:space="preserve">/products/trim-mouldings/square-backband-1e5/</t>
  </si>
  <si>
    <t xml:space="preserve">13/16 X 1-1/4</t>
  </si>
  <si>
    <t xml:space="preserve">2022-01-07 20:00:50</t>
  </si>
  <si>
    <t xml:space="preserve">Birkdale</t>
  </si>
  <si>
    <t xml:space="preserve">birkdale-door</t>
  </si>
  <si>
    <t xml:space="preserve">/products/interior-doors/birkdale-door/</t>
  </si>
  <si>
    <t xml:space="preserve">2019-01-22 19:32:19</t>
  </si>
  <si>
    <t xml:space="preserve">NO DESCRIPTION | NO CODE</t>
  </si>
  <si>
    <t xml:space="preserve">BAS-3518</t>
  </si>
  <si>
    <t xml:space="preserve">5-1/4" Colonial Baseboard 3518 FJ Pine</t>
  </si>
  <si>
    <t xml:space="preserve">baseboard-colonial-builder-5-1/4</t>
  </si>
  <si>
    <t xml:space="preserve">baseboard-colonial-builder-5-1-4</t>
  </si>
  <si>
    <t xml:space="preserve">/products/trim-mouldings/baseboard-colonial-builder-5-1/4/</t>
  </si>
  <si>
    <t xml:space="preserve">7/16 X 5-1/4</t>
  </si>
  <si>
    <t xml:space="preserve">FJ-PINE</t>
  </si>
  <si>
    <t xml:space="preserve">FJ Pine</t>
  </si>
  <si>
    <t xml:space="preserve">5-1/4" Baseboard 3518</t>
  </si>
  <si>
    <t xml:space="preserve">2026-06-16 12:04:31</t>
  </si>
  <si>
    <t xml:space="preserve">NO DESCRIPTION | SLUG MISMATCH</t>
  </si>
  <si>
    <t xml:space="preserve">BAS-6749</t>
  </si>
  <si>
    <t xml:space="preserve">7-3/8" Baseboard 6749</t>
  </si>
  <si>
    <t xml:space="preserve">baseboard-imperial-7-inch-bas6749</t>
  </si>
  <si>
    <t xml:space="preserve">/products/trim-mouldings/baseboard-imperial-7-inch-bas6749/</t>
  </si>
  <si>
    <t xml:space="preserve">7/8 x 7-3/8</t>
  </si>
  <si>
    <t xml:space="preserve">NO POST / NO INDEXABLE URL</t>
  </si>
  <si>
    <t xml:space="preserve">BAS-0608</t>
  </si>
  <si>
    <t xml:space="preserve">4-1/8" Baseboard 0608</t>
  </si>
  <si>
    <t xml:space="preserve">baseboard-builder-colonial-4-inch-bas0608</t>
  </si>
  <si>
    <t xml:space="preserve">/products/trim-mouldings/baseboard-builder-colonial-4-inch-bas0608/</t>
  </si>
  <si>
    <t xml:space="preserve">3/8 x 4-1/8</t>
  </si>
  <si>
    <t xml:space="preserve">FJ-Pine</t>
  </si>
  <si>
    <t xml:space="preserve">ARC-596</t>
  </si>
  <si>
    <t xml:space="preserve">6</t>
  </si>
  <si>
    <t xml:space="preserve">architrave-mdf</t>
  </si>
  <si>
    <t xml:space="preserve">/products/trim-mouldings/architrave-mdf/</t>
  </si>
  <si>
    <t xml:space="preserve">2" x 5-7/8</t>
  </si>
  <si>
    <t xml:space="preserve">Mdf Primed</t>
  </si>
  <si>
    <t xml:space="preserve">sc-fn-shak-312</t>
  </si>
  <si>
    <t xml:space="preserve">Newel Post Shaker 1-Panel</t>
  </si>
  <si>
    <t xml:space="preserve">newel-post-shaker-1-panel</t>
  </si>
  <si>
    <t xml:space="preserve">/products/stair-railing/newel-post-shaker-1-panel/</t>
  </si>
  <si>
    <t xml:space="preserve">3-1/2" x 42"</t>
  </si>
  <si>
    <t xml:space="preserve">Oak and Maple</t>
  </si>
  <si>
    <t xml:space="preserve">sc-t42r-to</t>
  </si>
  <si>
    <t xml:space="preserve">Stair Tread - open stringer</t>
  </si>
  <si>
    <t xml:space="preserve">stair-tread-open-stringer</t>
  </si>
  <si>
    <t xml:space="preserve">/products/stair-railing/stair-tread-open-stringer/</t>
  </si>
  <si>
    <t xml:space="preserve">10-1/2 x 42</t>
  </si>
  <si>
    <t xml:space="preserve">COV-604</t>
  </si>
  <si>
    <t xml:space="preserve">6" Cove Crown 604</t>
  </si>
  <si>
    <t xml:space="preserve">cove-crown-moulding-cov604</t>
  </si>
  <si>
    <t xml:space="preserve">/products/trim-mouldings/cove-crown-moulding-cov604/</t>
  </si>
  <si>
    <t xml:space="preserve">1-5/8 x 6"</t>
  </si>
  <si>
    <t xml:space="preserve">wood &amp; Mdf</t>
  </si>
  <si>
    <t xml:space="preserve">CRO-6969</t>
  </si>
  <si>
    <t xml:space="preserve">5-7/8</t>
  </si>
  <si>
    <t xml:space="preserve">crown-moulding-cro6969</t>
  </si>
  <si>
    <t xml:space="preserve">/products/trim-mouldings/crown-moulding-cro6969/</t>
  </si>
  <si>
    <t xml:space="preserve">3/4 x 5-7/8</t>
  </si>
  <si>
    <t xml:space="preserve">CRO-712</t>
  </si>
  <si>
    <t xml:space="preserve">4-1/2" Crown 712</t>
  </si>
  <si>
    <t xml:space="preserve">crown-moulding-cro712</t>
  </si>
  <si>
    <t xml:space="preserve">/products/trim-mouldings/crown-moulding-cro712/</t>
  </si>
  <si>
    <t xml:space="preserve">5/8 x 4-1/2</t>
  </si>
  <si>
    <t xml:space="preserve">CAS-3F1</t>
  </si>
  <si>
    <t xml:space="preserve">3-1/2" Backband Casing 3F1</t>
  </si>
  <si>
    <t xml:space="preserve">3-12-backband-casing</t>
  </si>
  <si>
    <t xml:space="preserve">/products/trim-mouldings/3-12-backband-casing/</t>
  </si>
  <si>
    <t xml:space="preserve">1-1/8 X 3-1/2 X 16'</t>
  </si>
  <si>
    <t xml:space="preserve">Primed FJ Pine</t>
  </si>
  <si>
    <t xml:space="preserve">BAS-771</t>
  </si>
  <si>
    <t xml:space="preserve">7-1/4 Ornamental Base 771</t>
  </si>
  <si>
    <t xml:space="preserve">7-14-ornamental-base-771</t>
  </si>
  <si>
    <t xml:space="preserve">/products/trim-mouldings/7-14-ornamental-base-771/</t>
  </si>
  <si>
    <t xml:space="preserve">5/8 X 7-1/4</t>
  </si>
  <si>
    <t xml:space="preserve">sc-fn-flut</t>
  </si>
  <si>
    <t xml:space="preserve">Newel Post - Fluted</t>
  </si>
  <si>
    <t xml:space="preserve">newel-post-fluted</t>
  </si>
  <si>
    <t xml:space="preserve">/products/stair-railing/newel-post-fluted/</t>
  </si>
  <si>
    <t xml:space="preserve">3-1/2" x 48"</t>
  </si>
  <si>
    <t xml:space="preserve">sc-t242-ro</t>
  </si>
  <si>
    <t xml:space="preserve">Stair Tread closed stringer</t>
  </si>
  <si>
    <t xml:space="preserve">stair-tread</t>
  </si>
  <si>
    <t xml:space="preserve">/products/stair-railing/stair-tread/</t>
  </si>
  <si>
    <t xml:space="preserve">CRO-702</t>
  </si>
  <si>
    <t xml:space="preserve">7-1/4 CRO-702</t>
  </si>
  <si>
    <t xml:space="preserve">crown-moulding-cro702</t>
  </si>
  <si>
    <t xml:space="preserve">/products/trim-mouldings/crown-moulding-cro702/</t>
  </si>
  <si>
    <t xml:space="preserve">3/4 x 7-1/4 or 7\\\"</t>
  </si>
  <si>
    <t xml:space="preserve">wood and mdf</t>
  </si>
  <si>
    <t xml:space="preserve">2026-01-13 10:27:41</t>
  </si>
  <si>
    <t xml:space="preserve">SIZE MANUAL</t>
  </si>
  <si>
    <t xml:space="preserve">T&amp;G-727</t>
  </si>
  <si>
    <t xml:space="preserve">1x8 Shiplap Wall Ceiling Paneling Primed Mdf,  FJ Poplar, FJ Pine</t>
  </si>
  <si>
    <t xml:space="preserve">tongue-and-groove-tg727</t>
  </si>
  <si>
    <t xml:space="preserve">/products/trim-mouldings/tongue-and-groove-tg727/</t>
  </si>
  <si>
    <t xml:space="preserve">1/2 x 7" face 16' lengths available</t>
  </si>
  <si>
    <t xml:space="preserve">T&amp;G-727 Ship Lap</t>
  </si>
  <si>
    <t xml:space="preserve">2026-06-16 12:12:15</t>
  </si>
  <si>
    <t xml:space="preserve">HC-248-QT2-RO</t>
  </si>
  <si>
    <t xml:space="preserve">Quarter Turn Handrail</t>
  </si>
  <si>
    <t xml:space="preserve">quarter-turn-handrail</t>
  </si>
  <si>
    <t xml:space="preserve">/products/stair-railing/quarter-turn-handrail/</t>
  </si>
  <si>
    <t xml:space="preserve">2-1/2" radius</t>
  </si>
  <si>
    <t xml:space="preserve">Oak</t>
  </si>
  <si>
    <t xml:space="preserve">Oak (unspecified)</t>
  </si>
  <si>
    <t xml:space="preserve">2020-05-13 18:41:54</t>
  </si>
  <si>
    <t xml:space="preserve">hc-248-se4</t>
  </si>
  <si>
    <t xml:space="preserve">Side Easement Oak</t>
  </si>
  <si>
    <t xml:space="preserve">side-easement-oak</t>
  </si>
  <si>
    <t xml:space="preserve">/products/stair-railing/side-easement-oak/</t>
  </si>
  <si>
    <t xml:space="preserve">4" offset</t>
  </si>
  <si>
    <t xml:space="preserve">oak</t>
  </si>
  <si>
    <t xml:space="preserve">2020-05-13 18:43:35</t>
  </si>
  <si>
    <t xml:space="preserve">sc-fn-col</t>
  </si>
  <si>
    <t xml:space="preserve">Newel Post - Colonial</t>
  </si>
  <si>
    <t xml:space="preserve">newel-post-colonial</t>
  </si>
  <si>
    <t xml:space="preserve">/products/stair-railing/newel-post-colonial/</t>
  </si>
  <si>
    <t xml:space="preserve">2-3/4", 3-1/2" x 48"</t>
  </si>
  <si>
    <t xml:space="preserve">SIZE MANUAL | NO POST / NO INDEXABLE URL</t>
  </si>
  <si>
    <t xml:space="preserve">sc-fn-cham</t>
  </si>
  <si>
    <t xml:space="preserve">Newel Post - Chamfered</t>
  </si>
  <si>
    <t xml:space="preserve">newel-post-chamfered</t>
  </si>
  <si>
    <t xml:space="preserve">/products/stair-railing/newel-post-chamfered/</t>
  </si>
  <si>
    <t xml:space="preserve">3-1/2", and 4-1/2 x 48"</t>
  </si>
  <si>
    <t xml:space="preserve">sc-chm136</t>
  </si>
  <si>
    <t xml:space="preserve">Spindle - Chamfered</t>
  </si>
  <si>
    <t xml:space="preserve">spindle-chamfered</t>
  </si>
  <si>
    <t xml:space="preserve">/products/stair-railing/spindle-chamfered/</t>
  </si>
  <si>
    <t xml:space="preserve">1-5/16" x 36" and 39"</t>
  </si>
  <si>
    <t xml:space="preserve">sc-cs136</t>
  </si>
  <si>
    <t xml:space="preserve">Spindle - Colonial</t>
  </si>
  <si>
    <t xml:space="preserve">spindle-colonial</t>
  </si>
  <si>
    <t xml:space="preserve">/products/stair-railing/spindle-colonial/</t>
  </si>
  <si>
    <t xml:space="preserve">1-5/16", 1-3/4" x 36",39"</t>
  </si>
  <si>
    <t xml:space="preserve">Poplar &amp; Red Oak</t>
  </si>
  <si>
    <t xml:space="preserve">Red Oak|Poplar</t>
  </si>
  <si>
    <t xml:space="preserve">sc-fn-plain</t>
  </si>
  <si>
    <t xml:space="preserve">Newel Post - Plain Square Modern</t>
  </si>
  <si>
    <t xml:space="preserve">newel-post-plain-square-modern</t>
  </si>
  <si>
    <t xml:space="preserve">/products/stair-railing/newel-post-plain-square-modern/</t>
  </si>
  <si>
    <t xml:space="preserve">2-3/4", 3-1/2", 4", 4-1/2" x 48"</t>
  </si>
  <si>
    <t xml:space="preserve">Red Oak, White Oak, Maple, Poplar</t>
  </si>
  <si>
    <t xml:space="preserve">White Oak|Red Oak|Maple|Poplar</t>
  </si>
  <si>
    <t xml:space="preserve">sc-fn-sim</t>
  </si>
  <si>
    <t xml:space="preserve">Newel Post - Simcoe</t>
  </si>
  <si>
    <t xml:space="preserve">newel-post-simcoe</t>
  </si>
  <si>
    <t xml:space="preserve">/products/stair-railing/newel-post-simcoe/</t>
  </si>
  <si>
    <t xml:space="preserve">4", 6" x 48"</t>
  </si>
  <si>
    <t xml:space="preserve">sc-fn-shak</t>
  </si>
  <si>
    <t xml:space="preserve">Newel Post Shaker</t>
  </si>
  <si>
    <t xml:space="preserve">newel-post-shaker</t>
  </si>
  <si>
    <t xml:space="preserve">/products/stair-railing/newel-post-shaker/</t>
  </si>
  <si>
    <t xml:space="preserve">3-1/2", 4", 6" x 48"</t>
  </si>
  <si>
    <t xml:space="preserve">sc-ss136</t>
  </si>
  <si>
    <t xml:space="preserve">Spindle - Plain Square Modern</t>
  </si>
  <si>
    <t xml:space="preserve">spindle-plain-square-modern</t>
  </si>
  <si>
    <t xml:space="preserve">/products/stair-railing/spindle-plain-square-modern/</t>
  </si>
  <si>
    <t xml:space="preserve">1-5/16", 1-3/4" x 36",39",42"</t>
  </si>
  <si>
    <t xml:space="preserve">Painted White, Oak, Poplar</t>
  </si>
  <si>
    <t xml:space="preserve">Oak (unspecified)|Poplar</t>
  </si>
  <si>
    <t xml:space="preserve">Painted</t>
  </si>
  <si>
    <t xml:space="preserve">HMS-1103</t>
  </si>
  <si>
    <t xml:space="preserve">Bottom Guide</t>
  </si>
  <si>
    <t xml:space="preserve">bottom-guide</t>
  </si>
  <si>
    <t xml:space="preserve">door-hardware</t>
  </si>
  <si>
    <t xml:space="preserve">/products/door-hardware/bottom-guide/</t>
  </si>
  <si>
    <t xml:space="preserve">plastic</t>
  </si>
  <si>
    <t xml:space="preserve">2020-05-14 19:06:52</t>
  </si>
  <si>
    <t xml:space="preserve">SIZE MISSING</t>
  </si>
  <si>
    <t xml:space="preserve">Stair Tread Covers Hard Maple</t>
  </si>
  <si>
    <t xml:space="preserve">stair-tread-covers-hard-maple</t>
  </si>
  <si>
    <t xml:space="preserve">/products/stair-railing/stair-tread-covers-hard-maple/</t>
  </si>
  <si>
    <t xml:space="preserve">SIZE MISSING | NO CODE | NO POST / NO INDEXABLE URL</t>
  </si>
  <si>
    <t xml:space="preserve">Tread Cover - closed stringer</t>
  </si>
  <si>
    <t xml:space="preserve">tread-cover-closed-stringer</t>
  </si>
  <si>
    <t xml:space="preserve">/products/stair-railing/tread-cover-closed-stringer/</t>
  </si>
  <si>
    <t xml:space="preserve">Red Oak, White Oak, Maple</t>
  </si>
  <si>
    <t xml:space="preserve">White Oak|Red Oak|Maple</t>
  </si>
  <si>
    <t xml:space="preserve">Risers</t>
  </si>
  <si>
    <t xml:space="preserve">risers</t>
  </si>
  <si>
    <t xml:space="preserve">/products/stair-railing/risers/</t>
  </si>
  <si>
    <t xml:space="preserve">white oak, red oak, maple mdf</t>
  </si>
  <si>
    <t xml:space="preserve">White Oak|Red Oak|Maple|MDF</t>
  </si>
  <si>
    <t xml:space="preserve">Newel Caps</t>
  </si>
  <si>
    <t xml:space="preserve">newel-caps</t>
  </si>
  <si>
    <t xml:space="preserve">/products/stair-railing/newel-caps/</t>
  </si>
  <si>
    <t xml:space="preserve">sc-10-00-30</t>
  </si>
  <si>
    <t xml:space="preserve">Decorative Black Metal Shoe</t>
  </si>
  <si>
    <t xml:space="preserve">decorative-black-metal-shoe</t>
  </si>
  <si>
    <t xml:space="preserve">/products/stair-railing/decorative-black-metal-shoe/</t>
  </si>
  <si>
    <t xml:space="preserve">powder coated steel</t>
  </si>
  <si>
    <t xml:space="preserve">Powder Coated</t>
  </si>
  <si>
    <t xml:space="preserve">SIZE MISSING | NO POST / NO INDEXABLE URL</t>
  </si>
  <si>
    <t xml:space="preserve">sc-bc-01-30</t>
  </si>
  <si>
    <t xml:space="preserve">Fancy Black Collar</t>
  </si>
  <si>
    <t xml:space="preserve">fancy-black-collar</t>
  </si>
  <si>
    <t xml:space="preserve">/products/stair-railing/fancy-black-collar/</t>
  </si>
  <si>
    <t xml:space="preserve">sc-tccs-ro-e</t>
  </si>
  <si>
    <t xml:space="preserve">Stair Tread Cover - Econo Oak</t>
  </si>
  <si>
    <t xml:space="preserve">stair-tread-cover---econo-oak</t>
  </si>
  <si>
    <t xml:space="preserve">/products/stair-railing/stair-tread-cover---econo-oak/</t>
  </si>
  <si>
    <t xml:space="preserve">SC-TCB</t>
  </si>
  <si>
    <t xml:space="preserve">Bullnose Tread Cover Oak</t>
  </si>
  <si>
    <t xml:space="preserve">bullnose-tread-cover-oak</t>
  </si>
  <si>
    <t xml:space="preserve">/products/stair-railing/bullnose-tread-cover-oak/</t>
  </si>
  <si>
    <t xml:space="preserve">sc-cc12-30</t>
  </si>
  <si>
    <t xml:space="preserve">Plain Square Black Metal Spindle</t>
  </si>
  <si>
    <t xml:space="preserve">plain-square-black-metal-spindle</t>
  </si>
  <si>
    <t xml:space="preserve">/products/stair-railing/plain-square-black-metal-spindle/</t>
  </si>
  <si>
    <t xml:space="preserve">sc-10-10-30</t>
  </si>
  <si>
    <t xml:space="preserve">Plain Black Metal Shoe</t>
  </si>
  <si>
    <t xml:space="preserve">plain-black-metal-shoe</t>
  </si>
  <si>
    <t xml:space="preserve">/products/stair-railing/plain-black-metal-shoe/</t>
  </si>
  <si>
    <t xml:space="preserve">offset-panel-mould-pan142</t>
  </si>
  <si>
    <t xml:space="preserve">/products/trim-mouldings/offset-panel-mould-pan142/</t>
  </si>
  <si>
    <t xml:space="preserve">2022-05-24 13:08:43</t>
  </si>
  <si>
    <t xml:space="preserve">SPECIES</t>
  </si>
  <si>
    <t xml:space="preserve">threshold-transition-thr501</t>
  </si>
  <si>
    <t xml:space="preserve">/products/trim-mouldings/threshold-transition-thr501/</t>
  </si>
  <si>
    <t xml:space="preserve">2017-08-09 21:27:28</t>
  </si>
  <si>
    <t xml:space="preserve">offset-panel-mould-pan001</t>
  </si>
  <si>
    <t xml:space="preserve">/products/trim-mouldings/offset-panel-mould-pan001/</t>
  </si>
  <si>
    <t xml:space="preserve">2022-05-24 13:10:53</t>
  </si>
  <si>
    <t xml:space="preserve">tongue-and-groove-tg-aromatic-cedar</t>
  </si>
  <si>
    <t xml:space="preserve">/products/trim-mouldings/tongue-and-groove-tg-aromatic-cedar/</t>
  </si>
  <si>
    <t xml:space="preserve">2025-11-27 14:40:34</t>
  </si>
  <si>
    <t xml:space="preserve">door-stop-196</t>
  </si>
  <si>
    <t xml:space="preserve">/products/trim-mouldings/door-stop-196/</t>
  </si>
  <si>
    <t xml:space="preserve">2019-07-16 15:17:20</t>
  </si>
  <si>
    <t xml:space="preserve">outside-corner-mould-out116</t>
  </si>
  <si>
    <t xml:space="preserve">/products/trim-mouldings/outside-corner-mould-out116/</t>
  </si>
  <si>
    <t xml:space="preserve">tongue-and-groove-tg537</t>
  </si>
  <si>
    <t xml:space="preserve">/products/trim-mouldings/tongue-and-groove-tg537/</t>
  </si>
  <si>
    <t xml:space="preserve">5" Tongue &amp; Groove 537</t>
  </si>
  <si>
    <t xml:space="preserve">2025-11-27 14:38:58</t>
  </si>
  <si>
    <t xml:space="preserve">outside-corner-mould-out105</t>
  </si>
  <si>
    <t xml:space="preserve">/products/trim-mouldings/outside-corner-mould-out105/</t>
  </si>
  <si>
    <t xml:space="preserve">outside-corner-mould-out008</t>
  </si>
  <si>
    <t xml:space="preserve">/products/trim-mouldings/outside-corner-mould-out008/</t>
  </si>
  <si>
    <t xml:space="preserve">offset-panel-mould-pan103</t>
  </si>
  <si>
    <t xml:space="preserve">/products/trim-mouldings/offset-panel-mould-pan103/</t>
  </si>
  <si>
    <t xml:space="preserve">2022-05-24 13:09:46</t>
  </si>
  <si>
    <t xml:space="preserve">offset-panel-mould-pan101</t>
  </si>
  <si>
    <t xml:space="preserve">/products/trim-mouldings/offset-panel-mould-pan101/</t>
  </si>
  <si>
    <t xml:space="preserve">1-3/8" Panel Mould 101</t>
  </si>
  <si>
    <t xml:space="preserve">2026-06-22 14:20:38</t>
  </si>
  <si>
    <t xml:space="preserve">door-stop-sto102</t>
  </si>
  <si>
    <t xml:space="preserve">/products/trim-mouldings/door-stop-sto102/</t>
  </si>
  <si>
    <t xml:space="preserve">2022-05-24 11:54:46</t>
  </si>
  <si>
    <t xml:space="preserve">outside-corner-mould-out007</t>
  </si>
  <si>
    <t xml:space="preserve">/products/trim-mouldings/outside-corner-mould-out007/</t>
  </si>
  <si>
    <t xml:space="preserve">plain-handrail-han248</t>
  </si>
  <si>
    <t xml:space="preserve">/products/trim-mouldings/plain-handrail-han248/</t>
  </si>
  <si>
    <t xml:space="preserve">five-panel-shaker-door-8405</t>
  </si>
  <si>
    <t xml:space="preserve">/products/interior-doors/five-panel-shaker-door-8405/</t>
  </si>
  <si>
    <t xml:space="preserve">Engineered Stile &amp; Rail</t>
  </si>
  <si>
    <t xml:space="preserve">5 Panel Shaker primed</t>
  </si>
  <si>
    <t xml:space="preserve">2026-06-16 12:08:15</t>
  </si>
  <si>
    <t xml:space="preserve">four-panel-shaker-door-8444</t>
  </si>
  <si>
    <t xml:space="preserve">/products/interior-doors/four-panel-shaker-door-8444/</t>
  </si>
  <si>
    <t xml:space="preserve">4 Panel Shaker primed</t>
  </si>
  <si>
    <t xml:space="preserve">2026-06-15 16:06:10</t>
  </si>
  <si>
    <t xml:space="preserve">handrail-han289f</t>
  </si>
  <si>
    <t xml:space="preserve">/products/trim-mouldings/handrail-han289f/</t>
  </si>
  <si>
    <t xml:space="preserve">handrail-han297f</t>
  </si>
  <si>
    <t xml:space="preserve">/products/trim-mouldings/handrail-han297f/</t>
  </si>
  <si>
    <t xml:space="preserve">three-equal-panel-shaker-door-8433</t>
  </si>
  <si>
    <t xml:space="preserve">/products/interior-doors/three-equal-panel-shaker-door-8433/</t>
  </si>
  <si>
    <t xml:space="preserve">145</t>
  </si>
  <si>
    <t xml:space="preserve">3 Equal Panel Shaker primed</t>
  </si>
  <si>
    <t xml:space="preserve">2026-06-16 12:10:53</t>
  </si>
  <si>
    <t xml:space="preserve">decorative-provincial-moulding-pro104</t>
  </si>
  <si>
    <t xml:space="preserve">/products/trim-mouldings/decorative-provincial-moulding-pro104/</t>
  </si>
  <si>
    <t xml:space="preserve">decorative-handrail-han305f</t>
  </si>
  <si>
    <t xml:space="preserve">/products/trim-mouldings/decorative-handrail-han305f/</t>
  </si>
  <si>
    <t xml:space="preserve">one-panel-shaker-door-8401</t>
  </si>
  <si>
    <t xml:space="preserve">/products/interior-doors/one-panel-shaker-door-8401/</t>
  </si>
  <si>
    <t xml:space="preserve">Premium Interior Doors | Royal Wood Shop</t>
  </si>
  <si>
    <t xml:space="preserve">2026-06-16 12:09:58</t>
  </si>
  <si>
    <t xml:space="preserve">nosing-nos305</t>
  </si>
  <si>
    <t xml:space="preserve">/products/trim-mouldings/nosing-nos305/</t>
  </si>
  <si>
    <t xml:space="preserve">3-1/2" Floor &amp; stair nosing 305</t>
  </si>
  <si>
    <t xml:space="preserve">nosing-nos400</t>
  </si>
  <si>
    <t xml:space="preserve">/products/trim-mouldings/nosing-nos400/</t>
  </si>
  <si>
    <t xml:space="preserve">4-1/4" Floor &amp; stair nosing 400</t>
  </si>
  <si>
    <t xml:space="preserve">nosing-nos401</t>
  </si>
  <si>
    <t xml:space="preserve">/products/trim-mouldings/nosing-nos401/</t>
  </si>
  <si>
    <t xml:space="preserve">4-1/4" Floor &amp; stair nosing 401</t>
  </si>
  <si>
    <t xml:space="preserve">nosing-nos602</t>
  </si>
  <si>
    <t xml:space="preserve">/products/trim-mouldings/nosing-nos602/</t>
  </si>
  <si>
    <t xml:space="preserve">6-1/4" Floor &amp; stair nosing 602</t>
  </si>
  <si>
    <t xml:space="preserve">outside-corner-mould-out001</t>
  </si>
  <si>
    <t xml:space="preserve">/products/trim-mouldings/outside-corner-mould-out001/</t>
  </si>
  <si>
    <t xml:space="preserve">two-panel-shaker-door-8402</t>
  </si>
  <si>
    <t xml:space="preserve">/products/interior-doors/two-panel-shaker-door-8402/</t>
  </si>
  <si>
    <t xml:space="preserve">2 Panel Shaker primed</t>
  </si>
  <si>
    <t xml:space="preserve">2026-06-16 12:09:05</t>
  </si>
  <si>
    <t xml:space="preserve">crown-moulding-623-contemporary-6-inch</t>
  </si>
  <si>
    <t xml:space="preserve">/products/trim-mouldings/crown-moulding-623-contemporary-6-inch/</t>
  </si>
  <si>
    <t xml:space="preserve">2023-05-24 16:06:37</t>
  </si>
  <si>
    <t xml:space="preserve">primed-quarter-round-moulding-qua004</t>
  </si>
  <si>
    <t xml:space="preserve">/products/trim-mouldings/primed-quarter-round-moulding-qua004/</t>
  </si>
  <si>
    <t xml:space="preserve">2022-05-24 14:01:51</t>
  </si>
  <si>
    <t xml:space="preserve">door-stop-sto111</t>
  </si>
  <si>
    <t xml:space="preserve">/products/trim-mouldings/door-stop-sto111/</t>
  </si>
  <si>
    <t xml:space="preserve">window-sill-stool-sil103</t>
  </si>
  <si>
    <t xml:space="preserve">/products/trim-mouldings/window-sill-stool-sil103/</t>
  </si>
  <si>
    <t xml:space="preserve">2022-05-24 13:26:12</t>
  </si>
  <si>
    <t xml:space="preserve">window-sill-stool-sil202</t>
  </si>
  <si>
    <t xml:space="preserve">/products/trim-mouldings/window-sill-stool-sil202/</t>
  </si>
  <si>
    <t xml:space="preserve">2022-05-24 13:28:16</t>
  </si>
  <si>
    <t xml:space="preserve">window-sill-stool-sil203</t>
  </si>
  <si>
    <t xml:space="preserve">/products/trim-mouldings/window-sill-stool-sil203/</t>
  </si>
  <si>
    <t xml:space="preserve">2022-05-24 13:20:30</t>
  </si>
  <si>
    <t xml:space="preserve">window-sill-stool-sil219</t>
  </si>
  <si>
    <t xml:space="preserve">/products/trim-mouldings/window-sill-stool-sil219/</t>
  </si>
  <si>
    <t xml:space="preserve">tongue-and-groove-tg300</t>
  </si>
  <si>
    <t xml:space="preserve">/products/trim-mouldings/tongue-and-groove-tg300/</t>
  </si>
  <si>
    <t xml:space="preserve">2-7/8" Tongue &amp; Groove 300</t>
  </si>
  <si>
    <t xml:space="preserve">2026-04-14 16:21:36</t>
  </si>
  <si>
    <t xml:space="preserve">window-sill-stool-sil248</t>
  </si>
  <si>
    <t xml:space="preserve">/products/trim-mouldings/window-sill-stool-sil248/</t>
  </si>
  <si>
    <t xml:space="preserve">window-sill-stool-sil305</t>
  </si>
  <si>
    <t xml:space="preserve">/products/trim-mouldings/window-sill-stool-sil305/</t>
  </si>
  <si>
    <t xml:space="preserve">2022-05-24 13:22:18</t>
  </si>
  <si>
    <t xml:space="preserve">tongue-and-groove-tg305</t>
  </si>
  <si>
    <t xml:space="preserve">/products/trim-mouldings/tongue-and-groove-tg305/</t>
  </si>
  <si>
    <t xml:space="preserve">3" Tongue &amp; Groove 305</t>
  </si>
  <si>
    <t xml:space="preserve">2026-07-17 09:53:41</t>
  </si>
  <si>
    <t xml:space="preserve">window-sill-stool-sil306</t>
  </si>
  <si>
    <t xml:space="preserve">/products/trim-mouldings/window-sill-stool-sil306/</t>
  </si>
  <si>
    <t xml:space="preserve">2022-05-24 13:28:57</t>
  </si>
  <si>
    <t xml:space="preserve">window-sill-stool-sil502</t>
  </si>
  <si>
    <t xml:space="preserve">/products/trim-mouldings/window-sill-stool-sil502/</t>
  </si>
  <si>
    <t xml:space="preserve">2022-05-24 13:24:16</t>
  </si>
  <si>
    <t xml:space="preserve">window-sill-stool-sil503</t>
  </si>
  <si>
    <t xml:space="preserve">/products/trim-mouldings/window-sill-stool-sil503/</t>
  </si>
  <si>
    <t xml:space="preserve">2022-05-24 13:29:30</t>
  </si>
  <si>
    <t xml:space="preserve">door-stop-sto139</t>
  </si>
  <si>
    <t xml:space="preserve">/products/trim-mouldings/door-stop-sto139/</t>
  </si>
  <si>
    <t xml:space="preserve">1-1/4" Door Stop 139</t>
  </si>
  <si>
    <t xml:space="preserve">2026-06-16 12:45:31</t>
  </si>
  <si>
    <t xml:space="preserve">window-sill-stool-sil702</t>
  </si>
  <si>
    <t xml:space="preserve">/products/trim-mouldings/window-sill-stool-sil702/</t>
  </si>
  <si>
    <t xml:space="preserve">2022-05-24 13:24:58</t>
  </si>
  <si>
    <t xml:space="preserve">door-stop-sto100</t>
  </si>
  <si>
    <t xml:space="preserve">/products/trim-mouldings/door-stop-sto100/</t>
  </si>
  <si>
    <t xml:space="preserve">2022-05-24 11:52:42</t>
  </si>
  <si>
    <t xml:space="preserve">door-stop-sto112</t>
  </si>
  <si>
    <t xml:space="preserve">/products/trim-mouldings/door-stop-sto112/</t>
  </si>
  <si>
    <t xml:space="preserve">2025-01-09 10:21:54</t>
  </si>
  <si>
    <t xml:space="preserve">door-stop-sto101</t>
  </si>
  <si>
    <t xml:space="preserve">/products/trim-mouldings/door-stop-sto101/</t>
  </si>
  <si>
    <t xml:space="preserve">2022-05-24 11:53:39</t>
  </si>
  <si>
    <t xml:space="preserve">door-stop-sto174</t>
  </si>
  <si>
    <t xml:space="preserve">/products/trim-mouldings/door-stop-sto174/</t>
  </si>
  <si>
    <t xml:space="preserve">1-1/2" Door Stop 174</t>
  </si>
  <si>
    <t xml:space="preserve">2026-06-15 14:20:55</t>
  </si>
  <si>
    <t xml:space="preserve">crown-molding-cro-314</t>
  </si>
  <si>
    <t xml:space="preserve">/products/trim-mouldings/crown-molding-cro-314/</t>
  </si>
  <si>
    <t xml:space="preserve">2023-05-24 15:50:07</t>
  </si>
  <si>
    <t xml:space="preserve">decorative-shingle-moulding-shi234</t>
  </si>
  <si>
    <t xml:space="preserve">/products/trim-mouldings/decorative-shingle-moulding-shi234/</t>
  </si>
  <si>
    <t xml:space="preserve">2022-05-24 13:15:18</t>
  </si>
  <si>
    <t xml:space="preserve">large-decorative-shingle-moulding-shi203</t>
  </si>
  <si>
    <t xml:space="preserve">/products/trim-mouldings/large-decorative-shingle-moulding-shi203/</t>
  </si>
  <si>
    <t xml:space="preserve">tongue-and-groove-tg509</t>
  </si>
  <si>
    <t xml:space="preserve">/products/trim-mouldings/tongue-and-groove-tg509/</t>
  </si>
  <si>
    <t xml:space="preserve">2025-11-27 14:34:16</t>
  </si>
  <si>
    <t xml:space="preserve">half-inch-quarter-round-moulding-qua006</t>
  </si>
  <si>
    <t xml:space="preserve">/products/trim-mouldings/half-inch-quarter-round-moulding-qua006/</t>
  </si>
  <si>
    <t xml:space="preserve">2022-05-24 14:00:52</t>
  </si>
  <si>
    <t xml:space="preserve">three-quarter-inch-quarter-round-moulding-qua009</t>
  </si>
  <si>
    <t xml:space="preserve">/products/trim-mouldings/three-quarter-inch-quarter-round-moulding-qua009/</t>
  </si>
  <si>
    <t xml:space="preserve">2022-05-24 14:01:23</t>
  </si>
  <si>
    <t xml:space="preserve">large-quarter-round-moulding-qua102</t>
  </si>
  <si>
    <t xml:space="preserve">/products/trim-mouldings/large-quarter-round-moulding-qua102/</t>
  </si>
  <si>
    <t xml:space="preserve">2022-05-24 14:02:21</t>
  </si>
  <si>
    <t xml:space="preserve">transition-strip-reducer-red114</t>
  </si>
  <si>
    <t xml:space="preserve">/products/trim-mouldings/transition-strip-reducer-red114/</t>
  </si>
  <si>
    <t xml:space="preserve">nos-425-stair-nosing</t>
  </si>
  <si>
    <t xml:space="preserve">/products/trim-mouldings/nos-425-stair-nosing/</t>
  </si>
  <si>
    <t xml:space="preserve">2018-03-15 15:55:49</t>
  </si>
  <si>
    <t xml:space="preserve">transition-strip-reducer-red119</t>
  </si>
  <si>
    <t xml:space="preserve">/products/trim-mouldings/transition-strip-reducer-red119/</t>
  </si>
  <si>
    <t xml:space="preserve">tongue-and-groove-tg409</t>
  </si>
  <si>
    <t xml:space="preserve">/products/trim-mouldings/tongue-and-groove-tg409/</t>
  </si>
  <si>
    <t xml:space="preserve">4" Tongue &amp; Groove 409</t>
  </si>
  <si>
    <t xml:space="preserve">2025-11-27 14:41:32</t>
  </si>
  <si>
    <t xml:space="preserve">transition-strip-reducer-red122</t>
  </si>
  <si>
    <t xml:space="preserve">/products/trim-mouldings/transition-strip-reducer-red122/</t>
  </si>
  <si>
    <t xml:space="preserve">transition-strip-reducer-red202</t>
  </si>
  <si>
    <t xml:space="preserve">/products/trim-mouldings/transition-strip-reducer-red202/</t>
  </si>
  <si>
    <t xml:space="preserve">tongue-and-groove-tg502</t>
  </si>
  <si>
    <t xml:space="preserve">/products/trim-mouldings/tongue-and-groove-tg502/</t>
  </si>
  <si>
    <t xml:space="preserve">2025-11-27 14:33:02</t>
  </si>
  <si>
    <t xml:space="preserve">decorative-shingle-moulding-shi002</t>
  </si>
  <si>
    <t xml:space="preserve">/products/trim-mouldings/decorative-shingle-moulding-shi002/</t>
  </si>
  <si>
    <t xml:space="preserve">2022-05-24 13:12:50</t>
  </si>
  <si>
    <t xml:space="preserve">decorative-shingle-moulding-shi101</t>
  </si>
  <si>
    <t xml:space="preserve">/products/trim-mouldings/decorative-shingle-moulding-shi101/</t>
  </si>
  <si>
    <t xml:space="preserve">decorative-shingle-moulding-shi102</t>
  </si>
  <si>
    <t xml:space="preserve">/products/trim-mouldings/decorative-shingle-moulding-shi102/</t>
  </si>
  <si>
    <t xml:space="preserve">2022-05-24 13:13:25</t>
  </si>
  <si>
    <t xml:space="preserve">tongue-and-groove-tg500</t>
  </si>
  <si>
    <t xml:space="preserve">/products/trim-mouldings/tongue-and-groove-tg500/</t>
  </si>
  <si>
    <t xml:space="preserve">2026-03-31 10:54:29</t>
  </si>
  <si>
    <t xml:space="preserve">decorative-transitional-shingle-moulding-shi156</t>
  </si>
  <si>
    <t xml:space="preserve">/products/trim-mouldings/decorative-transitional-shingle-moulding-shi156/</t>
  </si>
  <si>
    <t xml:space="preserve">2022-05-24 13:14:51</t>
  </si>
  <si>
    <t xml:space="preserve">1-lite-shaker-white-laminate-glass</t>
  </si>
  <si>
    <t xml:space="preserve">/products/interior-doors/1-lite-shaker-white-laminate-glass/</t>
  </si>
  <si>
    <t xml:space="preserve">1 Lite Shaker white laminate glass</t>
  </si>
  <si>
    <t xml:space="preserve">2026-06-16 12:52:16</t>
  </si>
  <si>
    <t xml:space="preserve">french-door-8444-4-lite-shaker-white-lam-glass</t>
  </si>
  <si>
    <t xml:space="preserve">/products/interior-doors/french-door-8444-4-lite-shaker-white-lam-glass/</t>
  </si>
  <si>
    <t xml:space="preserve">4 Lite Shaker white laminate glass</t>
  </si>
  <si>
    <t xml:space="preserve">2026-06-15 16:22:18</t>
  </si>
  <si>
    <t xml:space="preserve">symmetrical-decorative-moulding-dec105</t>
  </si>
  <si>
    <t xml:space="preserve">/products/trim-mouldings/symmetrical-decorative-moulding-dec105/</t>
  </si>
  <si>
    <t xml:space="preserve">2022-05-24 13:35:29</t>
  </si>
  <si>
    <t xml:space="preserve">plain-handrail-han-200</t>
  </si>
  <si>
    <t xml:space="preserve">/products/trim-mouldings/plain-handrail-han-200/</t>
  </si>
  <si>
    <t xml:space="preserve">bedmould-bed100</t>
  </si>
  <si>
    <t xml:space="preserve">/products/trim-mouldings/bedmould-bed100/</t>
  </si>
  <si>
    <t xml:space="preserve">2023-05-24 16:04:05</t>
  </si>
  <si>
    <t xml:space="preserve">bedmould-bed201</t>
  </si>
  <si>
    <t xml:space="preserve">/products/trim-mouldings/bedmould-bed201/</t>
  </si>
  <si>
    <t xml:space="preserve">2023-05-24 16:05:11</t>
  </si>
  <si>
    <t xml:space="preserve">brickmould-bri103</t>
  </si>
  <si>
    <t xml:space="preserve">/products/trim-mouldings/brickmould-bri103/</t>
  </si>
  <si>
    <t xml:space="preserve">brickmould-bri531-pvc</t>
  </si>
  <si>
    <t xml:space="preserve">/products/trim-mouldings/brickmould-bri531-pvc/</t>
  </si>
  <si>
    <t xml:space="preserve">burlap-decorative-bur101</t>
  </si>
  <si>
    <t xml:space="preserve">/products/trim-mouldings/burlap-decorative-bur101/</t>
  </si>
  <si>
    <t xml:space="preserve">2025-06-13 09:35:42</t>
  </si>
  <si>
    <t xml:space="preserve">burlap-bullnose-bur105</t>
  </si>
  <si>
    <t xml:space="preserve">/products/trim-mouldings/burlap-bullnose-bur105/</t>
  </si>
  <si>
    <t xml:space="preserve">2025-06-13 09:38:41</t>
  </si>
  <si>
    <t xml:space="preserve">burlap-bullnose-bur106</t>
  </si>
  <si>
    <t xml:space="preserve">/products/trim-mouldings/burlap-bullnose-bur106/</t>
  </si>
  <si>
    <t xml:space="preserve">2025-06-13 09:38:58</t>
  </si>
  <si>
    <t xml:space="preserve">cap-mould-cap100</t>
  </si>
  <si>
    <t xml:space="preserve">/products/trim-mouldings/cap-mould-cap100/</t>
  </si>
  <si>
    <t xml:space="preserve">cap-mould-cap104</t>
  </si>
  <si>
    <t xml:space="preserve">/products/trim-mouldings/cap-mould-cap104/</t>
  </si>
  <si>
    <t xml:space="preserve">1-3/8" Cap Mould 104</t>
  </si>
  <si>
    <t xml:space="preserve">2026-06-15 15:44:34</t>
  </si>
  <si>
    <t xml:space="preserve">cap-mould-cap200</t>
  </si>
  <si>
    <t xml:space="preserve">/products/trim-mouldings/cap-mould-cap200/</t>
  </si>
  <si>
    <t xml:space="preserve">cap-mould-cap222</t>
  </si>
  <si>
    <t xml:space="preserve">/products/trim-mouldings/cap-mould-cap222/</t>
  </si>
  <si>
    <t xml:space="preserve">backband-moulding-bac1d2</t>
  </si>
  <si>
    <t xml:space="preserve">/products/trim-mouldings/backband-moulding-bac1d2/</t>
  </si>
  <si>
    <t xml:space="preserve">1-3/8" Backband Mould 1D2</t>
  </si>
  <si>
    <t xml:space="preserve">2026-06-16 11:26:05</t>
  </si>
  <si>
    <t xml:space="preserve">casing-regal-cas2f2</t>
  </si>
  <si>
    <t xml:space="preserve">/products/trim-mouldings/casing-regal-cas2f2/</t>
  </si>
  <si>
    <t xml:space="preserve">2022-05-24 11:32:50</t>
  </si>
  <si>
    <t xml:space="preserve">casing-ogee-cas2u4</t>
  </si>
  <si>
    <t xml:space="preserve">/products/trim-mouldings/casing-ogee-cas2u4/</t>
  </si>
  <si>
    <t xml:space="preserve">2022-05-24 10:40:03</t>
  </si>
  <si>
    <t xml:space="preserve">casing-plain-cas2x5</t>
  </si>
  <si>
    <t xml:space="preserve">/products/trim-mouldings/casing-plain-cas2x5/</t>
  </si>
  <si>
    <t xml:space="preserve">2022-05-24 10:33:18</t>
  </si>
  <si>
    <t xml:space="preserve">casing-plain-cas3ew</t>
  </si>
  <si>
    <t xml:space="preserve">/products/trim-mouldings/casing-plain-cas3ew/</t>
  </si>
  <si>
    <t xml:space="preserve">3-1/2" Casing 3EW</t>
  </si>
  <si>
    <t xml:space="preserve">2026-06-16 11:33:13</t>
  </si>
  <si>
    <t xml:space="preserve">casing-ornamental-cas-3f5</t>
  </si>
  <si>
    <t xml:space="preserve">/products/trim-mouldings/casing-ornamental-cas-3f5/</t>
  </si>
  <si>
    <t xml:space="preserve">decorative-handrail-han205f</t>
  </si>
  <si>
    <t xml:space="preserve">/products/trim-mouldings/decorative-handrail-han205f/</t>
  </si>
  <si>
    <t xml:space="preserve">architrave-pediment-arc401</t>
  </si>
  <si>
    <t xml:space="preserve">/products/trim-mouldings/architrave-pediment-arc401/</t>
  </si>
  <si>
    <t xml:space="preserve">4-3/4" Architrave 401</t>
  </si>
  <si>
    <t xml:space="preserve">2026-06-15 15:32:05</t>
  </si>
  <si>
    <t xml:space="preserve">bedmould-bed001</t>
  </si>
  <si>
    <t xml:space="preserve">/products/trim-mouldings/bedmould-bed001/</t>
  </si>
  <si>
    <t xml:space="preserve">2023-05-24 16:02:51</t>
  </si>
  <si>
    <t xml:space="preserve">casing-antique-cas3f6</t>
  </si>
  <si>
    <t xml:space="preserve">/products/trim-mouldings/casing-antique-cas3f6/</t>
  </si>
  <si>
    <t xml:space="preserve">2026-02-19 11:48:19</t>
  </si>
  <si>
    <t xml:space="preserve">beadmould-bea116</t>
  </si>
  <si>
    <t xml:space="preserve">/products/trim-mouldings/beadmould-bea116/</t>
  </si>
  <si>
    <t xml:space="preserve">beadmould-bea001</t>
  </si>
  <si>
    <t xml:space="preserve">/products/trim-mouldings/beadmould-bea001/</t>
  </si>
  <si>
    <t xml:space="preserve">2022-05-24 13:43:16</t>
  </si>
  <si>
    <t xml:space="preserve">backband-moulding-modern-transitional-bac154</t>
  </si>
  <si>
    <t xml:space="preserve">/products/trim-mouldings/backband-moulding-modern-transitional-bac154/</t>
  </si>
  <si>
    <t xml:space="preserve">1-1/4" Backband Mould 154</t>
  </si>
  <si>
    <t xml:space="preserve">2026-06-15 16:26:23</t>
  </si>
  <si>
    <t xml:space="preserve">backband-moulding-large-traditional-heritage-bac-174</t>
  </si>
  <si>
    <t xml:space="preserve">/products/trim-mouldings/backband-moulding-large-traditional-heritage-bac-174/</t>
  </si>
  <si>
    <t xml:space="preserve">1-5/8" Backband Mould 174</t>
  </si>
  <si>
    <t xml:space="preserve">2026-06-16 12:30:08</t>
  </si>
  <si>
    <t xml:space="preserve">two-inch-door-stop-moulding-bac200</t>
  </si>
  <si>
    <t xml:space="preserve">/products/trim-mouldings/two-inch-door-stop-moulding-bac200/</t>
  </si>
  <si>
    <t xml:space="preserve">baseboard-plain-5-inch-bas5ar</t>
  </si>
  <si>
    <t xml:space="preserve">/products/trim-mouldings/baseboard-plain-5-inch-bas5ar/</t>
  </si>
  <si>
    <t xml:space="preserve">5-1/4" Baseboard 5AR</t>
  </si>
  <si>
    <t xml:space="preserve">2026-06-15 15:41:44</t>
  </si>
  <si>
    <t xml:space="preserve">baseboard-regal-5-inch-bas5c9</t>
  </si>
  <si>
    <t xml:space="preserve">/products/trim-mouldings/baseboard-regal-5-inch-bas5c9/</t>
  </si>
  <si>
    <t xml:space="preserve">5-1/4" Baseboard 5C9</t>
  </si>
  <si>
    <t xml:space="preserve">2026-06-15 14:40:46</t>
  </si>
  <si>
    <t xml:space="preserve">baseboard-ogee-5-inch-bas5y0</t>
  </si>
  <si>
    <t xml:space="preserve">/products/trim-mouldings/baseboard-ogee-5-inch-bas5y0/</t>
  </si>
  <si>
    <t xml:space="preserve">5-1/4" Baseboard 5Y0</t>
  </si>
  <si>
    <t xml:space="preserve">2026-06-16 11:21:52</t>
  </si>
  <si>
    <t xml:space="preserve">baseboard-regal-7-inch-bas7a1</t>
  </si>
  <si>
    <t xml:space="preserve">/products/trim-mouldings/baseboard-regal-7-inch-bas7a1/</t>
  </si>
  <si>
    <t xml:space="preserve">7-1/4" Baseboard 7A1</t>
  </si>
  <si>
    <t xml:space="preserve">2026-06-16 12:44:20</t>
  </si>
  <si>
    <t xml:space="preserve">baseboard-ogee-7-inch-bas7k2</t>
  </si>
  <si>
    <t xml:space="preserve">/products/trim-mouldings/baseboard-ogee-7-inch-bas7k2/</t>
  </si>
  <si>
    <t xml:space="preserve">7-1/4" Baseboard 7K2</t>
  </si>
  <si>
    <t xml:space="preserve">2026-06-16 12:43:22</t>
  </si>
  <si>
    <t xml:space="preserve">baseboard-modern-7-inch-bas7k3</t>
  </si>
  <si>
    <t xml:space="preserve">/products/trim-mouldings/baseboard-modern-7-inch-bas7k3/</t>
  </si>
  <si>
    <t xml:space="preserve">7-1/4" Baseboard 7K3</t>
  </si>
  <si>
    <t xml:space="preserve">2026-06-16 12:41:35</t>
  </si>
  <si>
    <t xml:space="preserve">baseboard-colonial-3-inch-bas300</t>
  </si>
  <si>
    <t xml:space="preserve">/products/trim-mouldings/baseboard-colonial-3-inch-bas300/</t>
  </si>
  <si>
    <t xml:space="preserve">3-1/4" Baseboard 300</t>
  </si>
  <si>
    <t xml:space="preserve">2026-06-15 16:16:27</t>
  </si>
  <si>
    <t xml:space="preserve">baseboard-colonial-4-inch-bas400</t>
  </si>
  <si>
    <t xml:space="preserve">/products/trim-mouldings/baseboard-colonial-4-inch-bas400/</t>
  </si>
  <si>
    <t xml:space="preserve">4-1/4" Baseboard 400</t>
  </si>
  <si>
    <t xml:space="preserve">2026-06-15 15:34:14</t>
  </si>
  <si>
    <t xml:space="preserve">baseboard-2-step-4-inch-bas412</t>
  </si>
  <si>
    <t xml:space="preserve">/products/trim-mouldings/baseboard-2-step-4-inch-bas412/</t>
  </si>
  <si>
    <t xml:space="preserve">4-1/4" Baseboard 412</t>
  </si>
  <si>
    <t xml:space="preserve">2026-06-15 16:11:34</t>
  </si>
  <si>
    <t xml:space="preserve">large-modern-transitional-backband-moulding-bac1l0</t>
  </si>
  <si>
    <t xml:space="preserve">/products/trim-mouldings/large-modern-transitional-backband-moulding-bac1l0/</t>
  </si>
  <si>
    <t xml:space="preserve">1-5/16" Backband Mould 1L0</t>
  </si>
  <si>
    <t xml:space="preserve">2026-06-15 14:22:33</t>
  </si>
  <si>
    <t xml:space="preserve">baseboard-bevel-5-inch-bas508</t>
  </si>
  <si>
    <t xml:space="preserve">/products/trim-mouldings/baseboard-bevel-5-inch-bas508/</t>
  </si>
  <si>
    <t xml:space="preserve">5-1/4" Baseboard 508</t>
  </si>
  <si>
    <t xml:space="preserve">2026-06-15 15:20:20</t>
  </si>
  <si>
    <t xml:space="preserve">baseboard-1867-5-inch-bas518</t>
  </si>
  <si>
    <t xml:space="preserve">/products/trim-mouldings/baseboard-1867-5-inch-bas518/</t>
  </si>
  <si>
    <t xml:space="preserve">5-1/4" Baseboard 518</t>
  </si>
  <si>
    <t xml:space="preserve">2026-06-15 14:35:57</t>
  </si>
  <si>
    <t xml:space="preserve">baseboard-1867-7-inch-bas702</t>
  </si>
  <si>
    <t xml:space="preserve">/products/trim-mouldings/baseboard-1867-7-inch-bas702/</t>
  </si>
  <si>
    <t xml:space="preserve">7-1/4" Baseboard 702</t>
  </si>
  <si>
    <t xml:space="preserve">2026-06-16 12:15:18</t>
  </si>
  <si>
    <t xml:space="preserve">baseboard-sharp-bevel-7-inch-bas712</t>
  </si>
  <si>
    <t xml:space="preserve">/products/trim-mouldings/baseboard-sharp-bevel-7-inch-bas712/</t>
  </si>
  <si>
    <t xml:space="preserve">7-1/4" Baseboard 732</t>
  </si>
  <si>
    <t xml:space="preserve">2026-06-15 15:08:12</t>
  </si>
  <si>
    <t xml:space="preserve">baseboard-ornamental-7-inch-bas773</t>
  </si>
  <si>
    <t xml:space="preserve">/products/trim-mouldings/baseboard-ornamental-7-inch-bas773/</t>
  </si>
  <si>
    <t xml:space="preserve">7-1/4" Baseboard 773</t>
  </si>
  <si>
    <t xml:space="preserve">2026-06-16 12:40:06</t>
  </si>
  <si>
    <t xml:space="preserve">baseboard-provincial-8-inch-bas803</t>
  </si>
  <si>
    <t xml:space="preserve">/products/trim-mouldings/baseboard-provincial-8-inch-bas803/</t>
  </si>
  <si>
    <t xml:space="preserve">8-1/2" Baseboard 803</t>
  </si>
  <si>
    <t xml:space="preserve">2026-06-16 12:06:36</t>
  </si>
  <si>
    <t xml:space="preserve">beadmould-bea100</t>
  </si>
  <si>
    <t xml:space="preserve">/products/trim-mouldings/beadmould-bea100/</t>
  </si>
  <si>
    <t xml:space="preserve">backband-moulding-colonial-bac121</t>
  </si>
  <si>
    <t xml:space="preserve">/products/trim-mouldings/backband-moulding-colonial-bac121/</t>
  </si>
  <si>
    <t xml:space="preserve">1-9/16" Backband Mould 121</t>
  </si>
  <si>
    <t xml:space="preserve">2026-06-16 11:24:27</t>
  </si>
  <si>
    <t xml:space="preserve">casing-regal-cas3j8</t>
  </si>
  <si>
    <t xml:space="preserve">/products/trim-mouldings/casing-regal-cas3j8/</t>
  </si>
  <si>
    <t xml:space="preserve">2022-05-24 11:33:25</t>
  </si>
  <si>
    <t xml:space="preserve">casing-ogee-cas3v6</t>
  </si>
  <si>
    <t xml:space="preserve">/products/trim-mouldings/casing-ogee-cas3v6/</t>
  </si>
  <si>
    <t xml:space="preserve">3-1/2" Ogee Window Trim Casing 3V6</t>
  </si>
  <si>
    <t xml:space="preserve">2026-07-17 15:10:15</t>
  </si>
  <si>
    <t xml:space="preserve">crown-moulding-cov509</t>
  </si>
  <si>
    <t xml:space="preserve">/products/trim-mouldings/crown-moulding-cov509/</t>
  </si>
  <si>
    <t xml:space="preserve">2023-05-24 16:11:21</t>
  </si>
  <si>
    <t xml:space="preserve">small-crown-moulding-cro-202</t>
  </si>
  <si>
    <t xml:space="preserve">/products/trim-mouldings/small-crown-moulding-cro-202/</t>
  </si>
  <si>
    <t xml:space="preserve">2023-05-24 15:38:07</t>
  </si>
  <si>
    <t xml:space="preserve">crown-moulding-cro300</t>
  </si>
  <si>
    <t xml:space="preserve">/products/trim-mouldings/crown-moulding-cro300/</t>
  </si>
  <si>
    <t xml:space="preserve">2023-05-24 15:46:20</t>
  </si>
  <si>
    <t xml:space="preserve">small-crown-moulding-cro-302</t>
  </si>
  <si>
    <t xml:space="preserve">/products/trim-mouldings/small-crown-moulding-cro-302/</t>
  </si>
  <si>
    <t xml:space="preserve">2023-05-24 15:40:35</t>
  </si>
  <si>
    <t xml:space="preserve">crown-moulding-cro-402</t>
  </si>
  <si>
    <t xml:space="preserve">/products/trim-mouldings/crown-moulding-cro-402/</t>
  </si>
  <si>
    <t xml:space="preserve">2023-05-24 16:01:45</t>
  </si>
  <si>
    <t xml:space="preserve">crown-moulding-cro501</t>
  </si>
  <si>
    <t xml:space="preserve">/products/trim-mouldings/crown-moulding-cro501/</t>
  </si>
  <si>
    <t xml:space="preserve">2023-05-24 15:47:49</t>
  </si>
  <si>
    <t xml:space="preserve">crown-moulding-cro511</t>
  </si>
  <si>
    <t xml:space="preserve">/products/trim-mouldings/crown-moulding-cro511/</t>
  </si>
  <si>
    <t xml:space="preserve">5-1/4" Crown 511</t>
  </si>
  <si>
    <t xml:space="preserve">2026-06-17 15:21:47</t>
  </si>
  <si>
    <t xml:space="preserve">symmetrical-decorative-moulding-dec005</t>
  </si>
  <si>
    <t xml:space="preserve">/products/trim-mouldings/symmetrical-decorative-moulding-dec005/</t>
  </si>
  <si>
    <t xml:space="preserve">2022-05-24 13:33:55</t>
  </si>
  <si>
    <t xml:space="preserve">decorative-moulding-dec006</t>
  </si>
  <si>
    <t xml:space="preserve">/products/trim-mouldings/decorative-moulding-dec006/</t>
  </si>
  <si>
    <t xml:space="preserve">inset-decorative-panel-moulding-dec007</t>
  </si>
  <si>
    <t xml:space="preserve">/products/trim-mouldings/inset-decorative-panel-moulding-dec007/</t>
  </si>
  <si>
    <t xml:space="preserve">decorative-moulding-dec065</t>
  </si>
  <si>
    <t xml:space="preserve">/products/trim-mouldings/decorative-moulding-dec065/</t>
  </si>
  <si>
    <t xml:space="preserve">transitional-decorative-moulding-dec066</t>
  </si>
  <si>
    <t xml:space="preserve">/products/trim-mouldings/transitional-decorative-moulding-dec066/</t>
  </si>
  <si>
    <t xml:space="preserve">symmetrical-decorative-moulding-de102</t>
  </si>
  <si>
    <t xml:space="preserve">/products/trim-mouldings/symmetrical-decorative-moulding-de102/</t>
  </si>
  <si>
    <t xml:space="preserve">2022-05-24 13:34:34</t>
  </si>
  <si>
    <t xml:space="preserve">decorative-moulding-dec103</t>
  </si>
  <si>
    <t xml:space="preserve">/products/trim-mouldings/decorative-moulding-dec103/</t>
  </si>
  <si>
    <t xml:space="preserve">half-round-moulding-hal001</t>
  </si>
  <si>
    <t xml:space="preserve">/products/trim-mouldings/half-round-moulding-hal001/</t>
  </si>
  <si>
    <t xml:space="preserve">2022-05-24 14:06:22</t>
  </si>
  <si>
    <t xml:space="preserve">half-round-moulding-hal005</t>
  </si>
  <si>
    <t xml:space="preserve">/products/trim-mouldings/half-round-moulding-hal005/</t>
  </si>
  <si>
    <t xml:space="preserve">2022-05-24 14:04:41</t>
  </si>
  <si>
    <t xml:space="preserve">half-round-moulding-hal100</t>
  </si>
  <si>
    <t xml:space="preserve">/products/trim-mouldings/half-round-moulding-hal100/</t>
  </si>
  <si>
    <t xml:space="preserve">2022-05-24 14:14:42</t>
  </si>
  <si>
    <t xml:space="preserve">half-round-moulding-hal101</t>
  </si>
  <si>
    <t xml:space="preserve">/products/trim-mouldings/half-round-moulding-hal101/</t>
  </si>
  <si>
    <t xml:space="preserve">2022-05-24 14:15:40</t>
  </si>
  <si>
    <t xml:space="preserve">half-round-moulding-hal102</t>
  </si>
  <si>
    <t xml:space="preserve">/products/trim-mouldings/half-round-moulding-hal102/</t>
  </si>
  <si>
    <t xml:space="preserve">2022-05-24 14:16:47</t>
  </si>
  <si>
    <t xml:space="preserve">four-inch-cove-crown-moulding-cov401</t>
  </si>
  <si>
    <t xml:space="preserve">/products/trim-mouldings/four-inch-cove-crown-moulding-cov401/</t>
  </si>
  <si>
    <t xml:space="preserve">2023-05-24 16:07:56</t>
  </si>
  <si>
    <t xml:space="preserve">casing-bevel-cas3t2</t>
  </si>
  <si>
    <t xml:space="preserve">/products/trim-mouldings/casing-bevel-cas3t2/</t>
  </si>
  <si>
    <t xml:space="preserve">3-1/2" Casing 3T2</t>
  </si>
  <si>
    <t xml:space="preserve">2026-06-16 12:34:30</t>
  </si>
  <si>
    <t xml:space="preserve">decorative-cove-moulding-cov221</t>
  </si>
  <si>
    <t xml:space="preserve">/products/trim-mouldings/decorative-cove-moulding-cov221/</t>
  </si>
  <si>
    <t xml:space="preserve">2023-05-24 16:08:56</t>
  </si>
  <si>
    <t xml:space="preserve">three-quarter-cove-mould-cov003</t>
  </si>
  <si>
    <t xml:space="preserve">/products/trim-mouldings/three-quarter-cove-mould-cov003/</t>
  </si>
  <si>
    <t xml:space="preserve">2022-05-24 13:48:01</t>
  </si>
  <si>
    <t xml:space="preserve">casing-modern-linear-cas3x8</t>
  </si>
  <si>
    <t xml:space="preserve">/products/trim-mouldings/casing-modern-linear-cas3x8/</t>
  </si>
  <si>
    <t xml:space="preserve">casing-colonial-cas206</t>
  </si>
  <si>
    <t xml:space="preserve">/products/trim-mouldings/casing-colonial-cas206/</t>
  </si>
  <si>
    <t xml:space="preserve">2022-05-24 13:07:02</t>
  </si>
  <si>
    <t xml:space="preserve">casing-2-step-cas213</t>
  </si>
  <si>
    <t xml:space="preserve">/products/trim-mouldings/casing-2-step-cas213/</t>
  </si>
  <si>
    <t xml:space="preserve">2022-05-24 10:47:46</t>
  </si>
  <si>
    <t xml:space="preserve">casing-bevel-cas214</t>
  </si>
  <si>
    <t xml:space="preserve">/products/trim-mouldings/casing-bevel-cas214/</t>
  </si>
  <si>
    <t xml:space="preserve">2-1/2" Casing 214</t>
  </si>
  <si>
    <t xml:space="preserve">2026-06-15 14:39:57</t>
  </si>
  <si>
    <t xml:space="preserve">casing-two-step-tudor-cas219</t>
  </si>
  <si>
    <t xml:space="preserve">/products/trim-mouldings/casing-two-step-tudor-cas219/</t>
  </si>
  <si>
    <t xml:space="preserve">2025-12-12 15:18:35</t>
  </si>
  <si>
    <t xml:space="preserve">casing-colonial-cas255</t>
  </si>
  <si>
    <t xml:space="preserve">/products/trim-mouldings/casing-colonial-cas255/</t>
  </si>
  <si>
    <t xml:space="preserve">2-3/4" Casing 255</t>
  </si>
  <si>
    <t xml:space="preserve">2026-06-16 12:38:45</t>
  </si>
  <si>
    <t xml:space="preserve">casing-symmetrical-heritage-cas305</t>
  </si>
  <si>
    <t xml:space="preserve">/products/trim-mouldings/casing-symmetrical-heritage-cas305/</t>
  </si>
  <si>
    <t xml:space="preserve">2022-05-24 11:41:55</t>
  </si>
  <si>
    <t xml:space="preserve">cove-moulding-cov103</t>
  </si>
  <si>
    <t xml:space="preserve">/products/trim-mouldings/cove-moulding-cov103/</t>
  </si>
  <si>
    <t xml:space="preserve">2022-05-24 13:48:24</t>
  </si>
  <si>
    <t xml:space="preserve">casing-symmetrical-heritage-cas400</t>
  </si>
  <si>
    <t xml:space="preserve">/products/trim-mouldings/casing-symmetrical-heritage-cas400/</t>
  </si>
  <si>
    <t xml:space="preserve">2022-05-24 11:43:46</t>
  </si>
  <si>
    <t xml:space="preserve">casing-1867-cas318</t>
  </si>
  <si>
    <t xml:space="preserve">/products/trim-mouldings/casing-1867-cas318/</t>
  </si>
  <si>
    <t xml:space="preserve">2025-02-12 11:22:24</t>
  </si>
  <si>
    <t xml:space="preserve">chair-rail-decorative-moulding-cha110</t>
  </si>
  <si>
    <t xml:space="preserve">/products/trim-mouldings/chair-rail-decorative-moulding-cha110/</t>
  </si>
  <si>
    <t xml:space="preserve">2026-03-11 16:07:02</t>
  </si>
  <si>
    <t xml:space="preserve">chair-rail-cha202</t>
  </si>
  <si>
    <t xml:space="preserve">/products/trim-mouldings/chair-rail-cha202/</t>
  </si>
  <si>
    <t xml:space="preserve">2026-03-11 16:03:51</t>
  </si>
  <si>
    <t xml:space="preserve">chair-rail-cha204</t>
  </si>
  <si>
    <t xml:space="preserve">/products/trim-mouldings/chair-rail-cha204/</t>
  </si>
  <si>
    <t xml:space="preserve">2026-03-11 16:02:18</t>
  </si>
  <si>
    <t xml:space="preserve">chair-rail-cha209</t>
  </si>
  <si>
    <t xml:space="preserve">/products/trim-mouldings/chair-rail-cha209/</t>
  </si>
  <si>
    <t xml:space="preserve">2026-03-11 16:02:40</t>
  </si>
  <si>
    <t xml:space="preserve">chair-rail-large-cha308</t>
  </si>
  <si>
    <t xml:space="preserve">/products/trim-mouldings/chair-rail-large-cha308/</t>
  </si>
  <si>
    <t xml:space="preserve">2026-03-11 16:03:28</t>
  </si>
  <si>
    <t xml:space="preserve">chair-rail-cha310</t>
  </si>
  <si>
    <t xml:space="preserve">/products/trim-mouldings/chair-rail-cha310/</t>
  </si>
  <si>
    <t xml:space="preserve">2026-03-11 16:01:49</t>
  </si>
  <si>
    <t xml:space="preserve">chair-rail-cha334</t>
  </si>
  <si>
    <t xml:space="preserve">/products/trim-mouldings/chair-rail-cha334/</t>
  </si>
  <si>
    <t xml:space="preserve">2026-03-11 16:01:10</t>
  </si>
  <si>
    <t xml:space="preserve">small-cove-moulding-cov001</t>
  </si>
  <si>
    <t xml:space="preserve">/products/trim-mouldings/small-cove-moulding-cov001/</t>
  </si>
  <si>
    <t xml:space="preserve">2022-05-24 13:47:34</t>
  </si>
  <si>
    <t xml:space="preserve">chair-rail-decorative-moulding-cha106</t>
  </si>
  <si>
    <t xml:space="preserve">/products/trim-mouldings/chair-rail-decorative-moulding-cha106/</t>
  </si>
  <si>
    <t xml:space="preserve">2026-03-11 16:04:48</t>
  </si>
  <si>
    <t xml:space="preserve">backband-moulding-bac102</t>
  </si>
  <si>
    <t xml:space="preserve">/products/trim-mouldings/backband-moulding-bac102/</t>
  </si>
  <si>
    <t xml:space="preserve">1-1/4" Backband Mould 102</t>
  </si>
  <si>
    <t xml:space="preserve">2026-06-16 11:14:32</t>
  </si>
  <si>
    <t xml:space="preserve">one-or-two-sided-mirror-door</t>
  </si>
  <si>
    <t xml:space="preserve">/products/interior-doors/one-or-two-sided-mirror-door/</t>
  </si>
  <si>
    <t xml:space="preserve">SPECIES | NO CODE</t>
  </si>
  <si>
    <t xml:space="preserve">french-door-8402-2-lite-shaker-white-lam-glass</t>
  </si>
  <si>
    <t xml:space="preserve">/products/interior-doors/french-door-8402-2-lite-shaker-white-lam-glass/</t>
  </si>
  <si>
    <t xml:space="preserve">SPECIES | NO DESCRIPTION</t>
  </si>
  <si>
    <t xml:space="preserve">fir-shaker-door-8402</t>
  </si>
  <si>
    <t xml:space="preserve">/products/interior-doors/fir-shaker-door-8402/</t>
  </si>
  <si>
    <t xml:space="preserve">2026-05-27 11:47:16</t>
  </si>
  <si>
    <t xml:space="preserve">fir-shaker-door-8401</t>
  </si>
  <si>
    <t xml:space="preserve">/products/interior-doors/fir-shaker-door-8401/</t>
  </si>
  <si>
    <t xml:space="preserve">2026-05-27 11:43:02</t>
  </si>
  <si>
    <t xml:space="preserve">french-door-8433-3-equal-lite-shaker-white-lam-glass</t>
  </si>
  <si>
    <t xml:space="preserve">/products/interior-doors/french-door-8433-3-equal-lite-shaker-white-lam-glass/</t>
  </si>
  <si>
    <t xml:space="preserve">french-door-8405-5-lite-shaker-white-lam-glass</t>
  </si>
  <si>
    <t xml:space="preserve">/products/interior-doors/french-door-8405-5-lite-shaker-white-lam-glass/</t>
  </si>
  <si>
    <t xml:space="preserve">5 Lite Shaker white laminate glass</t>
  </si>
  <si>
    <t xml:space="preserve">2026-06-15 15:07:13</t>
  </si>
  <si>
    <t xml:space="preserve">french-door-8433-3-equal-lite-shaker-clear-glass</t>
  </si>
  <si>
    <t xml:space="preserve">/products/interior-doors/french-door-8433-3-equal-lite-shaker-clear-glass/</t>
  </si>
  <si>
    <t xml:space="preserve">3 Lite Shaker clear glass</t>
  </si>
  <si>
    <t xml:space="preserve">2026-06-15 15:11:59</t>
  </si>
  <si>
    <t xml:space="preserve">french-door-8444-4-lite-shaker-clear-glass</t>
  </si>
  <si>
    <t xml:space="preserve">/products/interior-doors/french-door-8444-4-lite-shaker-clear-glass/</t>
  </si>
  <si>
    <t xml:space="preserve">2026-06-15 16:13:08</t>
  </si>
  <si>
    <t xml:space="preserve">sho-moulding-sho001</t>
  </si>
  <si>
    <t xml:space="preserve">/products/trim-mouldings/sho-moulding-sho001/</t>
  </si>
  <si>
    <t xml:space="preserve">fir-shaker-door-8405</t>
  </si>
  <si>
    <t xml:space="preserve">/products/interior-doors/fir-shaker-door-8405/</t>
  </si>
  <si>
    <t xml:space="preserve">2026-05-27 11:48:06</t>
  </si>
  <si>
    <t xml:space="preserve">french-door-8405-5-lite-shaker-clear-glass</t>
  </si>
  <si>
    <t xml:space="preserve">/products/interior-doors/french-door-8405-5-lite-shaker-clear-glass/</t>
  </si>
  <si>
    <t xml:space="preserve">fir-shaker-door-8433</t>
  </si>
  <si>
    <t xml:space="preserve">/products/interior-doors/fir-shaker-door-8433/</t>
  </si>
  <si>
    <t xml:space="preserve">2026-05-27 11:47:44</t>
  </si>
  <si>
    <t xml:space="preserve">sho-moulding-sho305f</t>
  </si>
  <si>
    <t xml:space="preserve">UNASSIGNED</t>
  </si>
  <si>
    <t xml:space="preserve">/products/UNASSIGNED/sho-moulding-sho305f/</t>
  </si>
  <si>
    <t xml:space="preserve">SPECIES | NO DESCRIPTION | NO CATEGORY | NO POST / NO INDEXABLE URL | DUPLICATE SLUG</t>
  </si>
  <si>
    <t xml:space="preserve">sho-moulding-sho305f-2</t>
  </si>
  <si>
    <t xml:space="preserve">SPECIES | NO DESCRIPTION | NO CATEGORY | SLUG MISMATCH | DUPLICATE SLUG</t>
  </si>
  <si>
    <t xml:space="preserve">louvered-door1</t>
  </si>
  <si>
    <t xml:space="preserve">/products/interior-doors/louvered-door1/</t>
  </si>
  <si>
    <t xml:space="preserve">SPECIES | NO DESCRIPTION | NO CODE</t>
  </si>
  <si>
    <t xml:space="preserve">Stain-grade-wood-door- pine-knotty-2-panel-staved-arch</t>
  </si>
  <si>
    <t xml:space="preserve">/products/interior-doors/Stain-grade-wood-door- pine-knotty-2-panel-staved-arch/</t>
  </si>
  <si>
    <t xml:space="preserve">SPECIES | NO DESCRIPTION | NO CODE | NO POST / NO INDEXABLE URL</t>
  </si>
  <si>
    <t xml:space="preserve">french-door-waterton.png</t>
  </si>
  <si>
    <t xml:space="preserve">/products/interior-doors/french-door-waterton.png/</t>
  </si>
  <si>
    <t xml:space="preserve">french-door-riverton-clear.tif</t>
  </si>
  <si>
    <t xml:space="preserve">french-door-riverton-clear-tif</t>
  </si>
  <si>
    <t xml:space="preserve">/products/interior-doors/french-door-riverton-clear.tif/</t>
  </si>
  <si>
    <t xml:space="preserve">SPECIES | NO DESCRIPTION | NO CODE | SLUG MISMATCH</t>
  </si>
  <si>
    <t xml:space="preserve">french-door-harlow-8ft.tif</t>
  </si>
  <si>
    <t xml:space="preserve">french-door-harlow-8ft-tif</t>
  </si>
  <si>
    <t xml:space="preserve">/products/interior-doors/french-door-harlow-8ft.tif/</t>
  </si>
  <si>
    <t xml:space="preserve">french-door-diffused-white-lam.tif</t>
  </si>
  <si>
    <t xml:space="preserve">french-door-diffused-white-lam-tif</t>
  </si>
  <si>
    <t xml:space="preserve">/products/interior-doors/french-door-diffused-white-lam.tif/</t>
  </si>
  <si>
    <t xml:space="preserve">french-door-delta-frost.tif</t>
  </si>
  <si>
    <t xml:space="preserve">french-door-delta-frost-tif</t>
  </si>
  <si>
    <t xml:space="preserve">/products/interior-doors/french-door-delta-frost.tif/</t>
  </si>
  <si>
    <t xml:space="preserve">french-door-riverton-obscure.tif</t>
  </si>
  <si>
    <t xml:space="preserve">french-door-riverton-obscure-tif</t>
  </si>
  <si>
    <t xml:space="preserve">/products/interior-doors/french-door-riverton-obscure.tif/</t>
  </si>
  <si>
    <t xml:space="preserve">french-door-rooftop.tif</t>
  </si>
  <si>
    <t xml:space="preserve">french-door-rooftop-tif</t>
  </si>
  <si>
    <t xml:space="preserve">/products/interior-doors/french-door-rooftop.tif/</t>
  </si>
  <si>
    <t xml:space="preserve">french door rooftop</t>
  </si>
  <si>
    <t xml:space="preserve">2026-03-23 16:16:29</t>
  </si>
  <si>
    <t xml:space="preserve">french-door-sable.tif</t>
  </si>
  <si>
    <t xml:space="preserve">french-door-sable-tif</t>
  </si>
  <si>
    <t xml:space="preserve">/products/interior-doors/french-door-sable.tif/</t>
  </si>
  <si>
    <t xml:space="preserve">french-door-seedy-baroque.tif</t>
  </si>
  <si>
    <t xml:space="preserve">french-door-seedy-baroque-tif</t>
  </si>
  <si>
    <t xml:space="preserve">/products/interior-doors/french-door-seedy-baroque.tif/</t>
  </si>
  <si>
    <t xml:space="preserve">french-door-harlow.tif</t>
  </si>
  <si>
    <t xml:space="preserve">french-door-harlow-tif</t>
  </si>
  <si>
    <t xml:space="preserve">/products/interior-doors/french-door-harlow.tif/</t>
  </si>
  <si>
    <t xml:space="preserve">french-door-shaker-8401-1-lite-clear-glass.jpg</t>
  </si>
  <si>
    <t xml:space="preserve">french-door-shaker-8401-1-lite-clear-glass-jpg</t>
  </si>
  <si>
    <t xml:space="preserve">/products/interior-doors/french-door-shaker-8401-1-lite-clear-glass.jpg/</t>
  </si>
  <si>
    <t xml:space="preserve">french-door-travertine.tif</t>
  </si>
  <si>
    <t xml:space="preserve">french-door-travertine-tif</t>
  </si>
  <si>
    <t xml:space="preserve">/products/interior-doors/french-door-travertine.tif/</t>
  </si>
  <si>
    <t xml:space="preserve">french-door-wheat.tif</t>
  </si>
  <si>
    <t xml:space="preserve">french-door-wheat-tif</t>
  </si>
  <si>
    <t xml:space="preserve">/products/interior-doors/french-door-wheat.tif/</t>
  </si>
  <si>
    <t xml:space="preserve">french-door-rain.tif</t>
  </si>
  <si>
    <t xml:space="preserve">french-door-rain-tif</t>
  </si>
  <si>
    <t xml:space="preserve">/products/interior-doors/french-door-rain.tif/</t>
  </si>
  <si>
    <t xml:space="preserve">french door rain</t>
  </si>
  <si>
    <t xml:space="preserve">2026-06-15 14:23:13</t>
  </si>
  <si>
    <t xml:space="preserve">french-door-screendot.tif</t>
  </si>
  <si>
    <t xml:space="preserve">french-door-screendot-tif</t>
  </si>
  <si>
    <t xml:space="preserve">/products/interior-doors/french-door-screendot.tif/</t>
  </si>
  <si>
    <t xml:space="preserve">2026-04-02 08:42:59</t>
  </si>
  <si>
    <t xml:space="preserve">french-door-heavy-water.tif</t>
  </si>
  <si>
    <t xml:space="preserve">french-door-heavy-water-tif</t>
  </si>
  <si>
    <t xml:space="preserve">/products/interior-doors/french-door-heavy-water.tif/</t>
  </si>
  <si>
    <t xml:space="preserve">french-door-double-water.tif</t>
  </si>
  <si>
    <t xml:space="preserve">french-door-double-water-tif</t>
  </si>
  <si>
    <t xml:space="preserve">/products/interior-doors/french-door-double-water.tif/</t>
  </si>
  <si>
    <t xml:space="preserve">french door double</t>
  </si>
  <si>
    <t xml:space="preserve">2026-06-16 12:54:41</t>
  </si>
  <si>
    <t xml:space="preserve">french-door-leaf-large.tif</t>
  </si>
  <si>
    <t xml:space="preserve">french-door-leaf-large-tif</t>
  </si>
  <si>
    <t xml:space="preserve">/products/interior-doors/french-door-leaf-large.tif/</t>
  </si>
  <si>
    <t xml:space="preserve">french-door-leaf-small.tif</t>
  </si>
  <si>
    <t xml:space="preserve">french-door-leaf-small-tif</t>
  </si>
  <si>
    <t xml:space="preserve">/products/interior-doors/french-door-leaf-small.tif/</t>
  </si>
  <si>
    <t xml:space="preserve">french-door-madison.tif</t>
  </si>
  <si>
    <t xml:space="preserve">french-door-madison-tif</t>
  </si>
  <si>
    <t xml:space="preserve">/products/interior-doors/french-door-madison.tif/</t>
  </si>
  <si>
    <t xml:space="preserve">french-door-modena-8ft.tif</t>
  </si>
  <si>
    <t xml:space="preserve">french-door-modena-8ft-tif</t>
  </si>
  <si>
    <t xml:space="preserve">/products/interior-doors/french-door-modena-8ft.tif/</t>
  </si>
  <si>
    <t xml:space="preserve">Stain-grade-wood-door- pine-knotty-2-panel-square</t>
  </si>
  <si>
    <t xml:space="preserve">stain-grade-wood-door-pine-knotty-2-panel-square</t>
  </si>
  <si>
    <t xml:space="preserve">/products/interior-doors/Stain-grade-wood-door- pine-knotty-2-panel-square/</t>
  </si>
  <si>
    <t xml:space="preserve">french-door-classic-15lite-woodbar.tif</t>
  </si>
  <si>
    <t xml:space="preserve">french-door-classic-15lite-woodbar-tif</t>
  </si>
  <si>
    <t xml:space="preserve">/products/interior-doors/french-door-classic-15lite-woodbar.tif/</t>
  </si>
  <si>
    <t xml:space="preserve">Classic 15 lite wood bar french door</t>
  </si>
  <si>
    <t xml:space="preserve">2026-06-15 16:04:54</t>
  </si>
  <si>
    <t xml:space="preserve">french-door-modena.tif</t>
  </si>
  <si>
    <t xml:space="preserve">french-door-modena-tif</t>
  </si>
  <si>
    <t xml:space="preserve">/products/interior-doors/french-door-modena.tif/</t>
  </si>
  <si>
    <t xml:space="preserve">french-door-narrow-reed.tif</t>
  </si>
  <si>
    <t xml:space="preserve">french-door-narrow-reed-tif</t>
  </si>
  <si>
    <t xml:space="preserve">/products/interior-doors/french-door-narrow-reed.tif/</t>
  </si>
  <si>
    <t xml:space="preserve">french-door-pantry.tif</t>
  </si>
  <si>
    <t xml:space="preserve">french-door-pantry-tif</t>
  </si>
  <si>
    <t xml:space="preserve">/products/interior-doors/french-door-pantry.tif/</t>
  </si>
  <si>
    <t xml:space="preserve">french-door-pinhead.tif</t>
  </si>
  <si>
    <t xml:space="preserve">french-door-pinhead-tif</t>
  </si>
  <si>
    <t xml:space="preserve">/products/interior-doors/french-door-pinhead.tif/</t>
  </si>
  <si>
    <t xml:space="preserve">french-door-quattro.tif</t>
  </si>
  <si>
    <t xml:space="preserve">french-door-quattro-tif</t>
  </si>
  <si>
    <t xml:space="preserve">/products/interior-doors/french-door-quattro.tif/</t>
  </si>
  <si>
    <t xml:space="preserve">french-door-laundry.tif</t>
  </si>
  <si>
    <t xml:space="preserve">french-door-laundry-tif</t>
  </si>
  <si>
    <t xml:space="preserve">/products/interior-doors/french-door-laundry.tif/</t>
  </si>
  <si>
    <t xml:space="preserve">french-door-8403-3-lite-shaker-craftsman-white-lam-glass</t>
  </si>
  <si>
    <t xml:space="preserve">/products/interior-doors/french-door-8403-3-lite-shaker-craftsman-white-lam-glass/</t>
  </si>
  <si>
    <t xml:space="preserve">SPECIES | NO DESCRIPTION | NO POST / NO INDEXABLE URL</t>
  </si>
  <si>
    <t xml:space="preserve">sho-moulding-sho206f</t>
  </si>
  <si>
    <t xml:space="preserve">/products/trim-mouldings/sho-moulding-sho206f/</t>
  </si>
  <si>
    <t xml:space="preserve">fir-shaker-door-craftsman</t>
  </si>
  <si>
    <t xml:space="preserve">/products/interior-doors/fir-shaker-door-craftsman/</t>
  </si>
  <si>
    <t xml:space="preserve">Stain-grade-wood-door-2010</t>
  </si>
  <si>
    <t xml:space="preserve">stain-grade-wood-door-2010</t>
  </si>
  <si>
    <t xml:space="preserve">/products/interior-doors/Stain-grade-wood-door-2010/</t>
  </si>
  <si>
    <t xml:space="preserve">SPECIES | NO DESCRIPTION | SLUG MISMATCH</t>
  </si>
  <si>
    <t xml:space="preserve">Stain-grade-wood-door- 2010C</t>
  </si>
  <si>
    <t xml:space="preserve">stain-grade-wood-door-2010c</t>
  </si>
  <si>
    <t xml:space="preserve">/products/interior-doors/Stain-grade-wood-door- 2010C/</t>
  </si>
  <si>
    <t xml:space="preserve">Stain-grade-wood-door- 2010S</t>
  </si>
  <si>
    <t xml:space="preserve">stain-grade-wood-door-2010s</t>
  </si>
  <si>
    <t xml:space="preserve">/products/interior-doors/Stain-grade-wood-door- 2010S/</t>
  </si>
  <si>
    <t xml:space="preserve">Stain-grade-wood-door- 2020</t>
  </si>
  <si>
    <t xml:space="preserve">stain-grade-wood-door-2020</t>
  </si>
  <si>
    <t xml:space="preserve">/products/interior-doors/Stain-grade-wood-door- 2020/</t>
  </si>
  <si>
    <t xml:space="preserve">Stain-grade-wood-door- 2020C</t>
  </si>
  <si>
    <t xml:space="preserve">stain-grade-wood-door-2020c</t>
  </si>
  <si>
    <t xml:space="preserve">/products/interior-doors/Stain-grade-wood-door- 2020C/</t>
  </si>
  <si>
    <t xml:space="preserve">Stain-grade-wood-door- 2020S</t>
  </si>
  <si>
    <t xml:space="preserve">stain-grade-wood-door-2020s</t>
  </si>
  <si>
    <t xml:space="preserve">/products/interior-doors/Stain-grade-wood-door- 2020S/</t>
  </si>
  <si>
    <t xml:space="preserve">Stain-grade-wood-door- 202A</t>
  </si>
  <si>
    <t xml:space="preserve">stain-grade-wood-door-202a</t>
  </si>
  <si>
    <t xml:space="preserve">/products/interior-doors/Stain-grade-wood-door- 202A/</t>
  </si>
  <si>
    <t xml:space="preserve">Stain-grade-wood-door- 2036</t>
  </si>
  <si>
    <t xml:space="preserve">stain-grade-wood-door-2036</t>
  </si>
  <si>
    <t xml:space="preserve">/products/interior-doors/Stain-grade-wood-door- 2036/</t>
  </si>
  <si>
    <t xml:space="preserve">Stain-grade-wood-door- 202AC</t>
  </si>
  <si>
    <t xml:space="preserve">stain-grade-wood-door-202ac</t>
  </si>
  <si>
    <t xml:space="preserve">/products/interior-doors/Stain-grade-wood-door- 202AC/</t>
  </si>
  <si>
    <t xml:space="preserve">Stain-grade-wood-door- 202AS</t>
  </si>
  <si>
    <t xml:space="preserve">stain-grade-wood-door-202as</t>
  </si>
  <si>
    <t xml:space="preserve">/products/interior-doors/Stain-grade-wood-door- 202AS/</t>
  </si>
  <si>
    <t xml:space="preserve">Stain-grade-wood-door- 203A</t>
  </si>
  <si>
    <t xml:space="preserve">stain-grade-wood-door-203a</t>
  </si>
  <si>
    <t xml:space="preserve">/products/interior-doors/Stain-grade-wood-door- 203A/</t>
  </si>
  <si>
    <t xml:space="preserve">Stain-grade-wood-door- 794L</t>
  </si>
  <si>
    <t xml:space="preserve">stain-grade-wood-door-794l</t>
  </si>
  <si>
    <t xml:space="preserve">/products/interior-doors/Stain-grade-wood-door- 794L/</t>
  </si>
  <si>
    <t xml:space="preserve">Stain-grade-wood-door- 203AS</t>
  </si>
  <si>
    <t xml:space="preserve">stain-grade-wood-door-203as</t>
  </si>
  <si>
    <t xml:space="preserve">/products/interior-doors/Stain-grade-wood-door- 203AS/</t>
  </si>
  <si>
    <t xml:space="preserve">Stain-grade-wood-door- 206T</t>
  </si>
  <si>
    <t xml:space="preserve">stain-grade-wood-door-206t</t>
  </si>
  <si>
    <t xml:space="preserve">/products/interior-doors/Stain-grade-wood-door- 206T/</t>
  </si>
  <si>
    <t xml:space="preserve">Stain-grade-wood-door- 2080</t>
  </si>
  <si>
    <t xml:space="preserve">stain-grade-wood-door-2080</t>
  </si>
  <si>
    <t xml:space="preserve">/products/interior-doors/Stain-grade-wood-door- 2080/</t>
  </si>
  <si>
    <t xml:space="preserve">Stain-grade-wood-door- 792A</t>
  </si>
  <si>
    <t xml:space="preserve">stain-grade-wood-door-792a</t>
  </si>
  <si>
    <t xml:space="preserve">/products/interior-doors/Stain-grade-wood-door- 792A/</t>
  </si>
  <si>
    <t xml:space="preserve">Stain-grade-wood-door- 7935</t>
  </si>
  <si>
    <t xml:space="preserve">stain-grade-wood-door-7935</t>
  </si>
  <si>
    <t xml:space="preserve">/products/interior-doors/Stain-grade-wood-door- 7935/</t>
  </si>
  <si>
    <t xml:space="preserve">Stain-grade-wood-door- 7936</t>
  </si>
  <si>
    <t xml:space="preserve">stain-grade-wood-door-7936</t>
  </si>
  <si>
    <t xml:space="preserve">/products/interior-doors/Stain-grade-wood-door- 7936/</t>
  </si>
  <si>
    <t xml:space="preserve">Stain-grade-wood-door- 793A</t>
  </si>
  <si>
    <t xml:space="preserve">stain-grade-wood-door-793a</t>
  </si>
  <si>
    <t xml:space="preserve">/products/interior-doors/Stain-grade-wood-door- 793A/</t>
  </si>
  <si>
    <t xml:space="preserve">Stain-grade-wood-door- 793K</t>
  </si>
  <si>
    <t xml:space="preserve">stain-grade-wood-door-793k</t>
  </si>
  <si>
    <t xml:space="preserve">/products/interior-doors/Stain-grade-wood-door- 793K/</t>
  </si>
  <si>
    <t xml:space="preserve">Stain-grade-wood-door- 793L</t>
  </si>
  <si>
    <t xml:space="preserve">stain-grade-wood-door-793l</t>
  </si>
  <si>
    <t xml:space="preserve">/products/interior-doors/Stain-grade-wood-door- 793L/</t>
  </si>
  <si>
    <t xml:space="preserve">Stain-grade-wood-door- 793T</t>
  </si>
  <si>
    <t xml:space="preserve">stain-grade-wood-door-793t</t>
  </si>
  <si>
    <t xml:space="preserve">/products/interior-doors/Stain-grade-wood-door- 793T/</t>
  </si>
  <si>
    <t xml:space="preserve">Stain-grade-wood-door- 794F</t>
  </si>
  <si>
    <t xml:space="preserve">stain-grade-wood-door-794f</t>
  </si>
  <si>
    <t xml:space="preserve">/products/interior-doors/Stain-grade-wood-door- 794F/</t>
  </si>
  <si>
    <t xml:space="preserve">Stain-grade-wood-door- 794Z</t>
  </si>
  <si>
    <t xml:space="preserve">stain-grade-wood-door-794z</t>
  </si>
  <si>
    <t xml:space="preserve">/products/interior-doors/Stain-grade-wood-door- 794Z/</t>
  </si>
  <si>
    <t xml:space="preserve">Stain-grade-wood-door- 795L</t>
  </si>
  <si>
    <t xml:space="preserve">stain-grade-wood-door-795l</t>
  </si>
  <si>
    <t xml:space="preserve">/products/interior-doors/Stain-grade-wood-door- 795L/</t>
  </si>
  <si>
    <t xml:space="preserve">Stain-grade-wood-door- 796R</t>
  </si>
  <si>
    <t xml:space="preserve">stain-grade-wood-door-796r</t>
  </si>
  <si>
    <t xml:space="preserve">/products/interior-doors/Stain-grade-wood-door- 796R/</t>
  </si>
  <si>
    <t xml:space="preserve">Stain-grade-wood-door- 796T</t>
  </si>
  <si>
    <t xml:space="preserve">stain-grade-wood-door-796t</t>
  </si>
  <si>
    <t xml:space="preserve">/products/interior-doors/Stain-grade-wood-door- 796T/</t>
  </si>
  <si>
    <t xml:space="preserve">Stain-grade-wood-door- 7980</t>
  </si>
  <si>
    <t xml:space="preserve">stain-grade-wood-door-7980</t>
  </si>
  <si>
    <t xml:space="preserve">/products/interior-doors/Stain-grade-wood-door- 7980/</t>
  </si>
  <si>
    <t xml:space="preserve">Stain-grade-wood-door- 206R</t>
  </si>
  <si>
    <t xml:space="preserve">stain-grade-wood-door-206r</t>
  </si>
  <si>
    <t xml:space="preserve">/products/interior-doors/Stain-grade-wood-door- 206R/</t>
  </si>
  <si>
    <t xml:space="preserve">Stain-grade-wood-door- 203AC</t>
  </si>
  <si>
    <t xml:space="preserve">stain-grade-wood-door-203ac</t>
  </si>
  <si>
    <t xml:space="preserve">/products/interior-doors/Stain-grade-wood-door- 203AC/</t>
  </si>
  <si>
    <t xml:space="preserve">Stain-grade-wood-door- 2060</t>
  </si>
  <si>
    <t xml:space="preserve">stain-grade-wood-door-2060</t>
  </si>
  <si>
    <t xml:space="preserve">/products/interior-doors/Stain-grade-wood-door- 2060/</t>
  </si>
  <si>
    <t xml:space="preserve">Stain-grade-wood-door- 205H</t>
  </si>
  <si>
    <t xml:space="preserve">stain-grade-wood-door-205h</t>
  </si>
  <si>
    <t xml:space="preserve">/products/interior-doors/Stain-grade-wood-door- 205H/</t>
  </si>
  <si>
    <t xml:space="preserve">Stain-grade-wood-door- 203E</t>
  </si>
  <si>
    <t xml:space="preserve">stain-grade-wood-door-203e</t>
  </si>
  <si>
    <t xml:space="preserve">/products/interior-doors/Stain-grade-wood-door- 203E/</t>
  </si>
  <si>
    <t xml:space="preserve">Stain-grade-wood-door- 203H</t>
  </si>
  <si>
    <t xml:space="preserve">stain-grade-wood-door-203h</t>
  </si>
  <si>
    <t xml:space="preserve">/products/interior-doors/Stain-grade-wood-door- 203H/</t>
  </si>
  <si>
    <t xml:space="preserve">Stain-grade-wood-door- 203KC</t>
  </si>
  <si>
    <t xml:space="preserve">stain-grade-wood-door-203kc</t>
  </si>
  <si>
    <t xml:space="preserve">/products/interior-doors/Stain-grade-wood-door- 203KC/</t>
  </si>
  <si>
    <t xml:space="preserve">Stain-grade-wood-door- 203KS</t>
  </si>
  <si>
    <t xml:space="preserve">stain-grade-wood-door-203ks</t>
  </si>
  <si>
    <t xml:space="preserve">/products/interior-doors/Stain-grade-wood-door- 203KS/</t>
  </si>
  <si>
    <t xml:space="preserve">Stain-grade-wood-door- 203L</t>
  </si>
  <si>
    <t xml:space="preserve">stain-grade-wood-door-203l</t>
  </si>
  <si>
    <t xml:space="preserve">/products/interior-doors/Stain-grade-wood-door- 203L/</t>
  </si>
  <si>
    <t xml:space="preserve">Stain-grade-wood-door- 203T</t>
  </si>
  <si>
    <t xml:space="preserve">stain-grade-wood-door-203t</t>
  </si>
  <si>
    <t xml:space="preserve">/products/interior-doors/Stain-grade-wood-door- 203T/</t>
  </si>
  <si>
    <t xml:space="preserve">Stain-grade-wood-door- 203TP</t>
  </si>
  <si>
    <t xml:space="preserve">stain-grade-wood-door-203tp</t>
  </si>
  <si>
    <t xml:space="preserve">/products/interior-doors/Stain-grade-wood-door- 203TP/</t>
  </si>
  <si>
    <t xml:space="preserve">Stain-grade-wood-door-2040</t>
  </si>
  <si>
    <t xml:space="preserve">stain-grade-wood-door-2040</t>
  </si>
  <si>
    <t xml:space="preserve">/products/interior-doors/Stain-grade-wood-door-2040/</t>
  </si>
  <si>
    <t xml:space="preserve">Stain-grade-wood-door- 2040C</t>
  </si>
  <si>
    <t xml:space="preserve">stain-grade-wood-door-2040c</t>
  </si>
  <si>
    <t xml:space="preserve">/products/interior-doors/Stain-grade-wood-door- 2040C/</t>
  </si>
  <si>
    <t xml:space="preserve">Stain-grade-wood-door- 2040S</t>
  </si>
  <si>
    <t xml:space="preserve">stain-grade-wood-door-2040s</t>
  </si>
  <si>
    <t xml:space="preserve">/products/interior-doors/Stain-grade-wood-door- 2040S/</t>
  </si>
  <si>
    <t xml:space="preserve">Stain-grade-wood-door- 204F</t>
  </si>
  <si>
    <t xml:space="preserve">stain-grade-wood-door-204f</t>
  </si>
  <si>
    <t xml:space="preserve">/products/interior-doors/Stain-grade-wood-door- 204F/</t>
  </si>
  <si>
    <t xml:space="preserve">Stain-grade-wood-door- 204H</t>
  </si>
  <si>
    <t xml:space="preserve">stain-grade-wood-door-204h</t>
  </si>
  <si>
    <t xml:space="preserve">/products/interior-doors/Stain-grade-wood-door- 204H/</t>
  </si>
  <si>
    <t xml:space="preserve">Stain-grade-wood-door- 204L</t>
  </si>
  <si>
    <t xml:space="preserve">stain-grade-wood-door-204l</t>
  </si>
  <si>
    <t xml:space="preserve">/products/interior-doors/Stain-grade-wood-door- 204L/</t>
  </si>
  <si>
    <t xml:space="preserve">Stain-grade-wood-door- 204Z</t>
  </si>
  <si>
    <t xml:space="preserve">stain-grade-wood-door-204z</t>
  </si>
  <si>
    <t xml:space="preserve">/products/interior-doors/Stain-grade-wood-door- 204Z/</t>
  </si>
  <si>
    <t xml:space="preserve">Stain-grade-wood-door- 2050</t>
  </si>
  <si>
    <t xml:space="preserve">stain-grade-wood-door-2050</t>
  </si>
  <si>
    <t xml:space="preserve">/products/interior-doors/Stain-grade-wood-door- 2050/</t>
  </si>
  <si>
    <t xml:space="preserve">Stain-grade-wood-door- 205L</t>
  </si>
  <si>
    <t xml:space="preserve">stain-grade-wood-door-205l</t>
  </si>
  <si>
    <t xml:space="preserve">/products/interior-doors/Stain-grade-wood-door- 205L/</t>
  </si>
  <si>
    <t xml:space="preserve">Stain-grade-wood-door- 203K</t>
  </si>
  <si>
    <t xml:space="preserve">stain-grade-wood-door-203k</t>
  </si>
  <si>
    <t xml:space="preserve">/products/interior-doors/Stain-grade-wood-door- 203K/</t>
  </si>
  <si>
    <t xml:space="preserve">french-door-cs3030s.jpg</t>
  </si>
  <si>
    <t xml:space="preserve">french-door-cs3030s-jpg</t>
  </si>
  <si>
    <t xml:space="preserve">/products/interior-doors/french-door-cs3030s.jpg/</t>
  </si>
  <si>
    <t xml:space="preserve">french-door-cs804l.jpg</t>
  </si>
  <si>
    <t xml:space="preserve">french-door-cs804l-jpg</t>
  </si>
  <si>
    <t xml:space="preserve">/products/interior-doors/french-door-cs804l.jpg/</t>
  </si>
  <si>
    <t xml:space="preserve">french-door-cs3060.jpg</t>
  </si>
  <si>
    <t xml:space="preserve">french-door-cs3060-jpg</t>
  </si>
  <si>
    <t xml:space="preserve">/products/interior-doors/french-door-cs3060.jpg/</t>
  </si>
  <si>
    <t xml:space="preserve">french-door-cs305l.jpg</t>
  </si>
  <si>
    <t xml:space="preserve">french-door-cs305l-jpg</t>
  </si>
  <si>
    <t xml:space="preserve">/products/interior-doors/french-door-cs305l.jpg/</t>
  </si>
  <si>
    <t xml:space="preserve">french-door-cs3050s.jpg</t>
  </si>
  <si>
    <t xml:space="preserve">french-door-cs3050s-jpg</t>
  </si>
  <si>
    <t xml:space="preserve">/products/interior-doors/french-door-cs3050s.jpg/</t>
  </si>
  <si>
    <t xml:space="preserve">french-door-cs3050c.jpg</t>
  </si>
  <si>
    <t xml:space="preserve">french-door-cs3050c-jpg</t>
  </si>
  <si>
    <t xml:space="preserve">/products/interior-doors/french-door-cs3050c.jpg/</t>
  </si>
  <si>
    <t xml:space="preserve">french-door-cs3050.jpg</t>
  </si>
  <si>
    <t xml:space="preserve">french-door-cs3050-jpg</t>
  </si>
  <si>
    <t xml:space="preserve">/products/interior-doors/french-door-cs3050.jpg/</t>
  </si>
  <si>
    <t xml:space="preserve">french-door-cs304l.jpg</t>
  </si>
  <si>
    <t xml:space="preserve">french-door-cs304l-jpg</t>
  </si>
  <si>
    <t xml:space="preserve">/products/interior-doors/french-door-cs304l.jpg/</t>
  </si>
  <si>
    <t xml:space="preserve">french-door-cs304as.jpg</t>
  </si>
  <si>
    <t xml:space="preserve">french-door-cs304as-jpg</t>
  </si>
  <si>
    <t xml:space="preserve">/products/interior-doors/french-door-cs304as.jpg/</t>
  </si>
  <si>
    <t xml:space="preserve">french-door-cs304ac.jpg</t>
  </si>
  <si>
    <t xml:space="preserve">french-door-cs304ac-jpg</t>
  </si>
  <si>
    <t xml:space="preserve">/products/interior-doors/french-door-cs304ac.jpg/</t>
  </si>
  <si>
    <t xml:space="preserve">french-door-cs304a.jpg</t>
  </si>
  <si>
    <t xml:space="preserve">french-door-cs304a-jpg</t>
  </si>
  <si>
    <t xml:space="preserve">/products/interior-doors/french-door-cs304a.jpg/</t>
  </si>
  <si>
    <t xml:space="preserve">french-door-cs3040s.jpg</t>
  </si>
  <si>
    <t xml:space="preserve">french-door-cs3040s-jpg</t>
  </si>
  <si>
    <t xml:space="preserve">/products/interior-doors/french-door-cs3040s.jpg/</t>
  </si>
  <si>
    <t xml:space="preserve">french-door-cs3040.jpg</t>
  </si>
  <si>
    <t xml:space="preserve">french-door-cs3040-jpg</t>
  </si>
  <si>
    <t xml:space="preserve">/products/interior-doors/french-door-cs3040.jpg/</t>
  </si>
  <si>
    <t xml:space="preserve">french-door-cs303l.jpg</t>
  </si>
  <si>
    <t xml:space="preserve">french-door-cs303l-jpg</t>
  </si>
  <si>
    <t xml:space="preserve">/products/interior-doors/french-door-cs303l.jpg/</t>
  </si>
  <si>
    <t xml:space="preserve">french-door-cs3030c.jpg</t>
  </si>
  <si>
    <t xml:space="preserve">french-door-cs3030c-jpg</t>
  </si>
  <si>
    <t xml:space="preserve">/products/interior-doors/french-door-cs3030c.jpg/</t>
  </si>
  <si>
    <t xml:space="preserve">french-door-cs3030.jpg</t>
  </si>
  <si>
    <t xml:space="preserve">french-door-cs3030-jpg</t>
  </si>
  <si>
    <t xml:space="preserve">/products/interior-doors/french-door-cs3030.jpg/</t>
  </si>
  <si>
    <t xml:space="preserve">french-door-cs101as.jpg</t>
  </si>
  <si>
    <t xml:space="preserve">french-door-cs101as-jpg</t>
  </si>
  <si>
    <t xml:space="preserve">/products/interior-doors/french-door-cs101as.jpg/</t>
  </si>
  <si>
    <t xml:space="preserve">french-door-cs101ac.jpg</t>
  </si>
  <si>
    <t xml:space="preserve">french-door-cs101ac-jpg</t>
  </si>
  <si>
    <t xml:space="preserve">/products/interior-doors/french-door-cs101ac.jpg/</t>
  </si>
  <si>
    <t xml:space="preserve">french-door-cs101a.jpg</t>
  </si>
  <si>
    <t xml:space="preserve">french-door-cs101a-jpg</t>
  </si>
  <si>
    <t xml:space="preserve">/products/interior-doors/french-door-cs101a.jpg/</t>
  </si>
  <si>
    <t xml:space="preserve">french door glass top and bottom panel cs101a</t>
  </si>
  <si>
    <t xml:space="preserve">2026-06-16 11:18:51</t>
  </si>
  <si>
    <t xml:space="preserve">french-door-cs1010s.jpg</t>
  </si>
  <si>
    <t xml:space="preserve">french-door-cs1010s-jpg</t>
  </si>
  <si>
    <t xml:space="preserve">/products/interior-doors/french-door-cs1010s.jpg/</t>
  </si>
  <si>
    <t xml:space="preserve">french-door-cs1010c.jpg</t>
  </si>
  <si>
    <t xml:space="preserve">french-door-cs1010c-jpg</t>
  </si>
  <si>
    <t xml:space="preserve">/products/interior-doors/french-door-cs1010c.jpg/</t>
  </si>
  <si>
    <t xml:space="preserve">french-door-cs1000s.jpg</t>
  </si>
  <si>
    <t xml:space="preserve">french-door-cs1000s-jpg</t>
  </si>
  <si>
    <t xml:space="preserve">/products/interior-doors/french-door-cs1000s.jpg/</t>
  </si>
  <si>
    <t xml:space="preserve">french door cs1000s</t>
  </si>
  <si>
    <t xml:space="preserve">2026-06-16 11:41:07</t>
  </si>
  <si>
    <t xml:space="preserve">french-door-cs1000c.jpg</t>
  </si>
  <si>
    <t xml:space="preserve">french-door-cs1000c-jpg</t>
  </si>
  <si>
    <t xml:space="preserve">/products/interior-doors/french-door-cs1000c.jpg/</t>
  </si>
  <si>
    <t xml:space="preserve">french door cs1000c</t>
  </si>
  <si>
    <t xml:space="preserve">2026-06-16 11:16:43</t>
  </si>
  <si>
    <t xml:space="preserve">french-door-artisan.tif</t>
  </si>
  <si>
    <t xml:space="preserve">french-door-artisan-tif</t>
  </si>
  <si>
    <t xml:space="preserve">/products/interior-doors/french-door-artisan.tif/</t>
  </si>
  <si>
    <t xml:space="preserve">Artisan french door</t>
  </si>
  <si>
    <t xml:space="preserve">2026-06-16 11:15:43</t>
  </si>
  <si>
    <t xml:space="preserve">french-door-cs805l.jpg</t>
  </si>
  <si>
    <t xml:space="preserve">french-door-cs805l-jpg</t>
  </si>
  <si>
    <t xml:space="preserve">/products/interior-doors/french-door-cs805l.jpg/</t>
  </si>
  <si>
    <t xml:space="preserve">french-door-cs3060c.jpg</t>
  </si>
  <si>
    <t xml:space="preserve">french-door-cs3060c-jpg</t>
  </si>
  <si>
    <t xml:space="preserve">/products/interior-doors/french-door-cs3060c.jpg/</t>
  </si>
  <si>
    <t xml:space="preserve">french-door-cs3060s.jpg</t>
  </si>
  <si>
    <t xml:space="preserve">french-door-cs3060s-jpg</t>
  </si>
  <si>
    <t xml:space="preserve">/products/interior-doors/french-door-cs3060s.jpg/</t>
  </si>
  <si>
    <t xml:space="preserve">french-door-cs3040c.jpg</t>
  </si>
  <si>
    <t xml:space="preserve">french-door-cs3040c-jpg</t>
  </si>
  <si>
    <t xml:space="preserve">/products/interior-doors/french-door-cs3040c.jpg/</t>
  </si>
  <si>
    <t xml:space="preserve">french-door-cs3080.jpg</t>
  </si>
  <si>
    <t xml:space="preserve">french-door-cs3080-jpg</t>
  </si>
  <si>
    <t xml:space="preserve">/products/interior-doors/french-door-cs3080.jpg/</t>
  </si>
  <si>
    <t xml:space="preserve">french-door-cs803l.jpg</t>
  </si>
  <si>
    <t xml:space="preserve">french-door-cs803l-jpg</t>
  </si>
  <si>
    <t xml:space="preserve">/products/interior-doors/french-door-cs803l.jpg/</t>
  </si>
  <si>
    <t xml:space="preserve">french-door-cs306y.jpg</t>
  </si>
  <si>
    <t xml:space="preserve">french-door-cs306y-jpg</t>
  </si>
  <si>
    <t xml:space="preserve">/products/interior-doors/french-door-cs306y.jpg/</t>
  </si>
  <si>
    <t xml:space="preserve">french-door-cs3150s.jpg</t>
  </si>
  <si>
    <t xml:space="preserve">french-door-cs3150s-jpg</t>
  </si>
  <si>
    <t xml:space="preserve">/products/interior-doors/french-door-cs3150s.jpg/</t>
  </si>
  <si>
    <t xml:space="preserve">french-door-cs3150c.jpg</t>
  </si>
  <si>
    <t xml:space="preserve">french-door-cs3150c-jpg</t>
  </si>
  <si>
    <t xml:space="preserve">/products/interior-doors/french-door-cs3150c.jpg/</t>
  </si>
  <si>
    <t xml:space="preserve">french-door-cs3150.jpg</t>
  </si>
  <si>
    <t xml:space="preserve">french-door-cs3150-jpg</t>
  </si>
  <si>
    <t xml:space="preserve">/products/interior-doors/french-door-cs3150.jpg/</t>
  </si>
  <si>
    <t xml:space="preserve">french-door-cs312as.jpg</t>
  </si>
  <si>
    <t xml:space="preserve">french-door-cs312as-jpg</t>
  </si>
  <si>
    <t xml:space="preserve">/products/interior-doors/french-door-cs312as.jpg/</t>
  </si>
  <si>
    <t xml:space="preserve">french-door-cs312ac.jpg</t>
  </si>
  <si>
    <t xml:space="preserve">french-door-cs312ac-jpg</t>
  </si>
  <si>
    <t xml:space="preserve">/products/interior-doors/french-door-cs312ac.jpg/</t>
  </si>
  <si>
    <t xml:space="preserve">french-door-cs312a.jpg</t>
  </si>
  <si>
    <t xml:space="preserve">french-door-cs312a-jpg</t>
  </si>
  <si>
    <t xml:space="preserve">/products/interior-doors/french-door-cs312a.jpg/</t>
  </si>
  <si>
    <t xml:space="preserve">french-door-cs3120s.jpg</t>
  </si>
  <si>
    <t xml:space="preserve">french-door-cs3120s-jpg</t>
  </si>
  <si>
    <t xml:space="preserve">/products/interior-doors/french-door-cs3120s.jpg/</t>
  </si>
  <si>
    <t xml:space="preserve">french-door-cs3120c.jpg</t>
  </si>
  <si>
    <t xml:space="preserve">french-door-cs3120c-jpg</t>
  </si>
  <si>
    <t xml:space="preserve">/products/interior-doors/french-door-cs3120c.jpg/</t>
  </si>
  <si>
    <t xml:space="preserve">french-door-cs3120.jpg</t>
  </si>
  <si>
    <t xml:space="preserve">french-door-cs3120-jpg</t>
  </si>
  <si>
    <t xml:space="preserve">/products/interior-doors/french-door-cs3120.jpg/</t>
  </si>
  <si>
    <t xml:space="preserve">french-door-cs3100s.jpg</t>
  </si>
  <si>
    <t xml:space="preserve">french-door-cs3100s-jpg</t>
  </si>
  <si>
    <t xml:space="preserve">/products/interior-doors/french-door-cs3100s.jpg/</t>
  </si>
  <si>
    <t xml:space="preserve">french-door-cs691a.jpg</t>
  </si>
  <si>
    <t xml:space="preserve">french-door-cs691a-jpg</t>
  </si>
  <si>
    <t xml:space="preserve">/products/interior-doors/french-door-cs691a.jpg/</t>
  </si>
  <si>
    <t xml:space="preserve">french-door-cs308a.jpg</t>
  </si>
  <si>
    <t xml:space="preserve">french-door-cs308a-jpg</t>
  </si>
  <si>
    <t xml:space="preserve">/products/interior-doors/french-door-cs308a.jpg/</t>
  </si>
  <si>
    <t xml:space="preserve">french-door-cs3080c.jpg</t>
  </si>
  <si>
    <t xml:space="preserve">french-door-cs3080c-jpg</t>
  </si>
  <si>
    <t xml:space="preserve">/products/interior-doors/french-door-cs3080c.jpg/</t>
  </si>
  <si>
    <t xml:space="preserve">french-door-cs3100.jpg</t>
  </si>
  <si>
    <t xml:space="preserve">french-door-cs3100-jpg</t>
  </si>
  <si>
    <t xml:space="preserve">/products/interior-doors/french-door-cs3100.jpg/</t>
  </si>
  <si>
    <t xml:space="preserve">french-door-cs3093.jpg</t>
  </si>
  <si>
    <t xml:space="preserve">french-door-cs3093-jpg</t>
  </si>
  <si>
    <t xml:space="preserve">/products/interior-doors/french-door-cs3093.jpg/</t>
  </si>
  <si>
    <t xml:space="preserve">french-door-cs3090s.jpg</t>
  </si>
  <si>
    <t xml:space="preserve">french-door-cs3090s-jpg</t>
  </si>
  <si>
    <t xml:space="preserve">/products/interior-doors/french-door-cs3090s.jpg/</t>
  </si>
  <si>
    <t xml:space="preserve">french-door-cs3090c.jpg</t>
  </si>
  <si>
    <t xml:space="preserve">french-door-cs3090c-jpg</t>
  </si>
  <si>
    <t xml:space="preserve">/products/interior-doors/french-door-cs3090c.jpg/</t>
  </si>
  <si>
    <t xml:space="preserve">french-door-cs3090.jpg</t>
  </si>
  <si>
    <t xml:space="preserve">french-door-cs3090-jpg</t>
  </si>
  <si>
    <t xml:space="preserve">/products/interior-doors/french-door-cs3090.jpg/</t>
  </si>
  <si>
    <t xml:space="preserve">french-door-cs308as.jpg</t>
  </si>
  <si>
    <t xml:space="preserve">french-door-cs308as-jpg</t>
  </si>
  <si>
    <t xml:space="preserve">/products/interior-doors/french-door-cs308as.jpg/</t>
  </si>
  <si>
    <t xml:space="preserve">french-door-cs3100c.jpg</t>
  </si>
  <si>
    <t xml:space="preserve">french-door-cs3100c-jpg</t>
  </si>
  <si>
    <t xml:space="preserve">/products/interior-doors/french-door-cs3100c.jpg/</t>
  </si>
  <si>
    <t xml:space="preserve">french-door-cs308ac.jpg</t>
  </si>
  <si>
    <t xml:space="preserve">french-door-cs308ac-jpg</t>
  </si>
  <si>
    <t xml:space="preserve">/products/interior-doors/french-door-cs308ac.jpg/</t>
  </si>
  <si>
    <t xml:space="preserve">french-door-cs3080s.jpg</t>
  </si>
  <si>
    <t xml:space="preserve">french-door-cs3080s-jpg</t>
  </si>
  <si>
    <t xml:space="preserve">/products/interior-doors/french-door-cs3080s.jpg/</t>
  </si>
  <si>
    <t xml:space="preserve">crown-moulding-cro301</t>
  </si>
  <si>
    <t xml:space="preserve">/products/trim-mouldings/crown-moulding-cro301/</t>
  </si>
  <si>
    <t xml:space="preserve">SPECIES | NO POST / NO INDEXABLE URL</t>
  </si>
  <si>
    <t xml:space="preserve">crown-moulding-cro-317</t>
  </si>
  <si>
    <t xml:space="preserve">/products/trim-mouldings/crown-moulding-cro-317/</t>
  </si>
  <si>
    <t xml:space="preserve">decorative-moulding-dec022</t>
  </si>
  <si>
    <t xml:space="preserve">/products/trim-mouldings/decorative-moulding-dec022/</t>
  </si>
  <si>
    <t xml:space="preserve">transitional-decorative-moulding-dec194</t>
  </si>
  <si>
    <t xml:space="preserve">/products/trim-mouldings/transitional-decorative-moulding-dec194/</t>
  </si>
  <si>
    <t xml:space="preserve">picture-frame-mould-pic102</t>
  </si>
  <si>
    <t xml:space="preserve">/products/trim-mouldings/picture-frame-mould-pic102/</t>
  </si>
  <si>
    <t xml:space="preserve">half-round-moulding-hal300</t>
  </si>
  <si>
    <t xml:space="preserve">/products/trim-mouldings/half-round-moulding-hal300/</t>
  </si>
  <si>
    <t xml:space="preserve">handrail-han206</t>
  </si>
  <si>
    <t xml:space="preserve">/products/trim-mouldings/handrail-han206/</t>
  </si>
  <si>
    <t xml:space="preserve">casing-4-inch-cas445</t>
  </si>
  <si>
    <t xml:space="preserve">/products/trim-mouldings/casing-4-inch-cas445/</t>
  </si>
  <si>
    <t xml:space="preserve">handrail-han209</t>
  </si>
  <si>
    <t xml:space="preserve">/products/trim-mouldings/handrail-han209/</t>
  </si>
  <si>
    <t xml:space="preserve">handrail-han301f</t>
  </si>
  <si>
    <t xml:space="preserve">/products/trim-mouldings/handrail-han301f/</t>
  </si>
  <si>
    <t xml:space="preserve">handrail-han336</t>
  </si>
  <si>
    <t xml:space="preserve">/products/trim-mouldings/handrail-han336/</t>
  </si>
  <si>
    <t xml:space="preserve">half-round-moulding-hal200</t>
  </si>
  <si>
    <t xml:space="preserve">/products/trim-mouldings/half-round-moulding-hal200/</t>
  </si>
  <si>
    <t xml:space="preserve">casing-bevel-cas208</t>
  </si>
  <si>
    <t xml:space="preserve">/products/trim-mouldings/casing-bevel-cas208/</t>
  </si>
  <si>
    <t xml:space="preserve">burlap-decorative-bur102</t>
  </si>
  <si>
    <t xml:space="preserve">/products/trim-mouldings/burlap-decorative-bur102/</t>
  </si>
  <si>
    <t xml:space="preserve">casing-cove-cas2f3</t>
  </si>
  <si>
    <t xml:space="preserve">/products/trim-mouldings/casing-cove-cas2f3/</t>
  </si>
  <si>
    <t xml:space="preserve">cap-mould-cap109</t>
  </si>
  <si>
    <t xml:space="preserve">/products/trim-mouldings/cap-mould-cap109/</t>
  </si>
  <si>
    <t xml:space="preserve">burlap-decorative-bur201</t>
  </si>
  <si>
    <t xml:space="preserve">/products/trim-mouldings/burlap-decorative-bur201/</t>
  </si>
  <si>
    <t xml:space="preserve">baseboard-antique-7-inch-bas-785</t>
  </si>
  <si>
    <t xml:space="preserve">/products/trim-mouldings/baseboard-antique-7-inch-bas-785/</t>
  </si>
  <si>
    <t xml:space="preserve">baseboard-plain-flat-4-inch-bas411</t>
  </si>
  <si>
    <t xml:space="preserve">/products/trim-mouldings/baseboard-plain-flat-4-inch-bas411/</t>
  </si>
  <si>
    <t xml:space="preserve">baseboard-contemporary-4-inch-bas405</t>
  </si>
  <si>
    <t xml:space="preserve">/products/trim-mouldings/baseboard-contemporary-4-inch-bas405/</t>
  </si>
  <si>
    <t xml:space="preserve">baseboard-two-step-3-inch-bas306</t>
  </si>
  <si>
    <t xml:space="preserve">/products/trim-mouldings/baseboard-two-step-3-inch-bas306/</t>
  </si>
  <si>
    <t xml:space="preserve">baseboard-ornamental-5-inch-bas5e9</t>
  </si>
  <si>
    <t xml:space="preserve">/products/trim-mouldings/baseboard-ornamental-5-inch-bas5e9/</t>
  </si>
  <si>
    <t xml:space="preserve">bar-railing-bar501</t>
  </si>
  <si>
    <t xml:space="preserve">/products/trim-mouldings/bar-railing-bar501/</t>
  </si>
  <si>
    <t xml:space="preserve">bar-railing-bar301</t>
  </si>
  <si>
    <t xml:space="preserve">/products/trim-mouldings/bar-railing-bar301/</t>
  </si>
  <si>
    <t xml:space="preserve">backerstrip-bac205</t>
  </si>
  <si>
    <t xml:space="preserve">/products/trim-mouldings/backerstrip-bac205/</t>
  </si>
  <si>
    <t xml:space="preserve">backerstrip-bac405</t>
  </si>
  <si>
    <t xml:space="preserve">/products/trim-mouldings/backerstrip-bac405/</t>
  </si>
  <si>
    <t xml:space="preserve">casing-builder-thin-colonial-cas203</t>
  </si>
  <si>
    <t xml:space="preserve">/products/trim-mouldings/casing-builder-thin-colonial-cas203/</t>
  </si>
  <si>
    <t xml:space="preserve">fluted-pilaster-mould-pil400</t>
  </si>
  <si>
    <t xml:space="preserve">/products/trim-mouldings/fluted-pilaster-mould-pil400/</t>
  </si>
  <si>
    <t xml:space="preserve">chair-rail-or-picture-frame-moulding-cha224</t>
  </si>
  <si>
    <t xml:space="preserve">/products/trim-mouldings/chair-rail-or-picture-frame-moulding-cha224/</t>
  </si>
  <si>
    <t xml:space="preserve">three-panel-craftsman-shaker-door-8403</t>
  </si>
  <si>
    <t xml:space="preserve">/products/interior-doors/three-panel-craftsman-shaker-door-8403/</t>
  </si>
  <si>
    <t xml:space="preserve">decorative-shingle-moulding-shi308</t>
  </si>
  <si>
    <t xml:space="preserve">/products/trim-mouldings/decorative-shingle-moulding-shi308/</t>
  </si>
  <si>
    <t xml:space="preserve">window-sill-stool-sil304</t>
  </si>
  <si>
    <t xml:space="preserve">/products/trim-mouldings/window-sill-stool-sil304/</t>
  </si>
  <si>
    <t xml:space="preserve">fluted-pilaster-mould-pil600</t>
  </si>
  <si>
    <t xml:space="preserve">/products/trim-mouldings/fluted-pilaster-mould-pil600/</t>
  </si>
  <si>
    <t xml:space="preserve">tongue-and-groove-porch-flooring-tgnf32</t>
  </si>
  <si>
    <t xml:space="preserve">/products/trim-mouldings/tongue-and-groove-porch-flooring-tgnf32/</t>
  </si>
  <si>
    <t xml:space="preserve">screen-moulding-scr001</t>
  </si>
  <si>
    <t xml:space="preserve">/products/trim-mouldings/screen-moulding-scr001/</t>
  </si>
  <si>
    <t xml:space="preserve">transition-strip-reducer-red221</t>
  </si>
  <si>
    <t xml:space="preserve">/products/trim-mouldings/transition-strip-reducer-red221/</t>
  </si>
  <si>
    <t xml:space="preserve">decorative-shingle-moulding-shi214</t>
  </si>
  <si>
    <t xml:space="preserve">/products/trim-mouldings/decorative-shingle-moulding-shi214/</t>
  </si>
  <si>
    <t xml:space="preserve">transition-strip-reducer-red201</t>
  </si>
  <si>
    <t xml:space="preserve">/products/trim-mouldings/transition-strip-reducer-red201/</t>
  </si>
  <si>
    <t xml:space="preserve">transition-strip-reducer-red116</t>
  </si>
  <si>
    <t xml:space="preserve">/products/trim-mouldings/transition-strip-reducer-red116/</t>
  </si>
  <si>
    <t xml:space="preserve">wine-glass-holder-moulding-win200</t>
  </si>
  <si>
    <t xml:space="preserve">/products/trim-mouldings/wine-glass-holder-moulding-win200/</t>
  </si>
  <si>
    <t xml:space="preserve">small-quarter-round-moulding-qua001</t>
  </si>
  <si>
    <t xml:space="preserve">/products/trim-mouldings/small-quarter-round-moulding-qua001/</t>
  </si>
  <si>
    <t xml:space="preserve">vintage-three-quarter-inch-quarter-round-moulding-qua003</t>
  </si>
  <si>
    <t xml:space="preserve">/products/trim-mouldings/vintage-three-quarter-inch-quarter-round-moulding-qua003/</t>
  </si>
  <si>
    <t xml:space="preserve">crown-moulding-cro-705</t>
  </si>
  <si>
    <t xml:space="preserve">/products/trim-mouldings/crown-moulding-cro-705/</t>
  </si>
  <si>
    <t xml:space="preserve">door-jamb-jam600</t>
  </si>
  <si>
    <t xml:space="preserve">/products/trim-mouldings/door-jamb-jam600/</t>
  </si>
  <si>
    <t xml:space="preserve">SPECIES | SIZE ERROR</t>
  </si>
  <si>
    <t xml:space="preserve">baseboard-plain-7-inch-bas7t2</t>
  </si>
  <si>
    <t xml:space="preserve">/products/trim-mouldings/baseboard-plain-7-inch-bas7t2/</t>
  </si>
  <si>
    <t xml:space="preserve">7-1/4" Baseboard 7T2</t>
  </si>
  <si>
    <t xml:space="preserve">2026-06-15 15:37:04</t>
  </si>
  <si>
    <t xml:space="preserve">baseboard-thin-flat-plain-3-inch-bas301</t>
  </si>
  <si>
    <t xml:space="preserve">/products/trim-mouldings/baseboard-thin-flat-plain-3-inch-bas301/</t>
  </si>
  <si>
    <t xml:space="preserve">3-1/4" Baseboard 301</t>
  </si>
  <si>
    <t xml:space="preserve">2026-06-17 15:20:30</t>
  </si>
  <si>
    <t xml:space="preserve">door-jamb-jam402</t>
  </si>
  <si>
    <t xml:space="preserve">woos-door-jamb-jam-2x4-wall</t>
  </si>
  <si>
    <t xml:space="preserve">/products/trim-mouldings/door-jamb-jam402/</t>
  </si>
  <si>
    <t xml:space="preserve">4-5/8" Poplar Door Jamb</t>
  </si>
  <si>
    <t xml:space="preserve">2025-11-20 09:42:21</t>
  </si>
  <si>
    <t xml:space="preserve">SPECIES | SIZE ERROR | SLUG MISMATCH</t>
  </si>
  <si>
    <t xml:space="preserve">z-style-barn-door-knotty-alder</t>
  </si>
  <si>
    <t xml:space="preserve">/products/interior-doors/z-style-barn-door-knotty-alder/</t>
  </si>
  <si>
    <t xml:space="preserve">2026-06-16 12:14:17</t>
  </si>
  <si>
    <t xml:space="preserve">SPECIES | SIZE MANUAL | NO CODE</t>
  </si>
  <si>
    <t xml:space="preserve">z-style-barn-door-primed</t>
  </si>
  <si>
    <t xml:space="preserve">/products/interior-doors/z-style-barn-door-primed/</t>
  </si>
  <si>
    <t xml:space="preserve">2024-02-06 14:09:46</t>
  </si>
  <si>
    <t xml:space="preserve">SPECIES | SIZE MANUAL | NO DESCRIPTION | NO CODE</t>
  </si>
  <si>
    <t xml:space="preserve">z-style-barn-door-fir</t>
  </si>
  <si>
    <t xml:space="preserve">/products/interior-doors/z-style-barn-door-fir/</t>
  </si>
  <si>
    <t xml:space="preserve">SPECIES | SIZE MANUAL | NO DESCRIPTION | NO CODE | NO POST / NO INDEXABLE URL</t>
  </si>
  <si>
    <t xml:space="preserve">handrail</t>
  </si>
  <si>
    <t xml:space="preserve">/products/trim-mouldings/handrail/</t>
  </si>
  <si>
    <t xml:space="preserve">SPECIES | SIZE MANUAL | NO POST / NO INDEXABLE URL</t>
  </si>
  <si>
    <t xml:space="preserve">painted-white-spindle-plain</t>
  </si>
  <si>
    <t xml:space="preserve">/products/stair-railing/painted-white-spindle-plain/</t>
  </si>
  <si>
    <t xml:space="preserve">pocket-door-hanger-125lbs</t>
  </si>
  <si>
    <t xml:space="preserve">/products/door-hardware/pocket-door-hanger-125lbs/</t>
  </si>
  <si>
    <t xml:space="preserve">2020-05-14 19:00:17</t>
  </si>
  <si>
    <t xml:space="preserve">SPECIES | SIZE MISSING</t>
  </si>
  <si>
    <t xml:space="preserve">58-x-8-recessed-channel-track</t>
  </si>
  <si>
    <t xml:space="preserve">/products/door-hardware/58-x-8-recessed-channel-track/</t>
  </si>
  <si>
    <t xml:space="preserve">2020-05-14 18:57:19</t>
  </si>
  <si>
    <t xml:space="preserve">3-12-ball-bearing-sq-butt-hinge</t>
  </si>
  <si>
    <t xml:space="preserve">/products/door-hardware/3-12-ball-bearing-sq-butt-hinge/</t>
  </si>
  <si>
    <t xml:space="preserve">2020-05-14 19:50:57</t>
  </si>
  <si>
    <t xml:space="preserve">plinth-blocks-corner-blocks-rosettes</t>
  </si>
  <si>
    <t xml:space="preserve">/products/trim-mouldings/plinth-blocks-corner-blocks-rosettes/</t>
  </si>
  <si>
    <t xml:space="preserve">3-x-3-ball-bearing-hinge-58-rad</t>
  </si>
  <si>
    <t xml:space="preserve">/products/door-hardware/3-x-3-ball-bearing-hinge-58-rad/</t>
  </si>
  <si>
    <t xml:space="preserve">2020-05-14 19:46:21</t>
  </si>
  <si>
    <t xml:space="preserve">chrome-closet-rod-8-and-10</t>
  </si>
  <si>
    <t xml:space="preserve">/products/door-hardware/chrome-closet-rod-8-and-10/</t>
  </si>
  <si>
    <t xml:space="preserve">2020-05-15 13:06:28</t>
  </si>
  <si>
    <t xml:space="preserve">handrail-bracket</t>
  </si>
  <si>
    <t xml:space="preserve">/products/stair-railing/handrail-bracket/</t>
  </si>
  <si>
    <t xml:space="preserve">2020-05-13 19:39:19</t>
  </si>
  <si>
    <t xml:space="preserve">ball-catch-with-strike-plate</t>
  </si>
  <si>
    <t xml:space="preserve">/products/door-hardware/ball-catch-with-strike-plate/</t>
  </si>
  <si>
    <t xml:space="preserve">2020-05-14 18:02:35</t>
  </si>
  <si>
    <t xml:space="preserve">hinge-pin-door-stop</t>
  </si>
  <si>
    <t xml:space="preserve">/products/door-hardware/hinge-pin-door-stop/</t>
  </si>
  <si>
    <t xml:space="preserve">2020-05-14 18:03:47</t>
  </si>
  <si>
    <t xml:space="preserve">3-18-spring-door-stop</t>
  </si>
  <si>
    <t xml:space="preserve">/products/door-hardware/3-18-spring-door-stop/</t>
  </si>
  <si>
    <t xml:space="preserve">2020-05-14 18:04:38</t>
  </si>
  <si>
    <t xml:space="preserve">3-x-3-square-corner-butt-hinge</t>
  </si>
  <si>
    <t xml:space="preserve">/products/door-hardware/3-x-3-square-corner-butt-hinge/</t>
  </si>
  <si>
    <t xml:space="preserve">2020-05-14 18:09:26</t>
  </si>
  <si>
    <t xml:space="preserve">halifax-lever-satin-nickel</t>
  </si>
  <si>
    <t xml:space="preserve">/products/door-hardware/halifax-lever-satin-nickel/</t>
  </si>
  <si>
    <t xml:space="preserve">2018-01-17 18:34:13</t>
  </si>
  <si>
    <t xml:space="preserve">floor-guide-for-recessed-track</t>
  </si>
  <si>
    <t xml:space="preserve">/products/door-hardware/floor-guide-for-recessed-track/</t>
  </si>
  <si>
    <t xml:space="preserve">2020-05-14 18:41:28</t>
  </si>
  <si>
    <t xml:space="preserve">square-corner-butt-hinge-black</t>
  </si>
  <si>
    <t xml:space="preserve">/products/door-hardware/square-corner-butt-hinge-black/</t>
  </si>
  <si>
    <t xml:space="preserve">2020-05-14 18:11:22</t>
  </si>
  <si>
    <t xml:space="preserve">SPECIES | SIZE MISSING | NO CODE</t>
  </si>
  <si>
    <t xml:space="preserve">2-78-diecast-door-stop</t>
  </si>
  <si>
    <t xml:space="preserve">/products/door-hardware/2-78-diecast-door-stop/</t>
  </si>
  <si>
    <t xml:space="preserve">2020-05-14 18:05:31</t>
  </si>
  <si>
    <t xml:space="preserve">radius-corner-butt-hinge-satin-nickel</t>
  </si>
  <si>
    <t xml:space="preserve">/products/door-hardware/radius-corner-butt-hinge-satin-nickel/</t>
  </si>
  <si>
    <t xml:space="preserve">2020-05-14 18:15:10</t>
  </si>
  <si>
    <t xml:space="preserve">58-radius-corner-hinge-black</t>
  </si>
  <si>
    <t xml:space="preserve">/products/door-hardware/58-radius-corner-hinge-black/</t>
  </si>
  <si>
    <t xml:space="preserve">2020-05-14 18:12:46</t>
  </si>
  <si>
    <t xml:space="preserve">round-pocket-door-lock</t>
  </si>
  <si>
    <t xml:space="preserve">/products/door-hardware/round-pocket-door-lock/</t>
  </si>
  <si>
    <t xml:space="preserve">2020-05-14 18:33:53</t>
  </si>
  <si>
    <t xml:space="preserve">stair-nosing-to-match-2-38-stair-cover</t>
  </si>
  <si>
    <t xml:space="preserve">/products/trim-mouldings/stair-nosing-to-match-2-38-stair-cover/</t>
  </si>
  <si>
    <t xml:space="preserve">2020-05-13 15:51:10</t>
  </si>
  <si>
    <t xml:space="preserve">stair-nosing-for-tread-cover</t>
  </si>
  <si>
    <t xml:space="preserve">/products/stair-railing/stair-nosing-for-tread-cover/</t>
  </si>
  <si>
    <t xml:space="preserve">2020-05-13 16:09:49</t>
  </si>
  <si>
    <t xml:space="preserve">rectangular-pocket-door-lock-satin-nickel</t>
  </si>
  <si>
    <t xml:space="preserve">/products/door-hardware/rectangular-pocket-door-lock-satin-nickel/</t>
  </si>
  <si>
    <t xml:space="preserve">2020-05-14 18:32:37</t>
  </si>
  <si>
    <t xml:space="preserve">3-12-ball-bearing-sq-butt-hinge-nickel</t>
  </si>
  <si>
    <t xml:space="preserve">/products/door-hardware/3-12-ball-bearing-sq-butt-hinge-nickel/</t>
  </si>
  <si>
    <t xml:space="preserve">2020-05-14 19:52:12</t>
  </si>
  <si>
    <t xml:space="preserve">open-and-closed-flange-chrome-for-closet-rods</t>
  </si>
  <si>
    <t xml:space="preserve">/products/door-hardware/open-and-closed-flange-chrome-for-closet-rods/</t>
  </si>
  <si>
    <t xml:space="preserve">2020-05-15 13:13:26</t>
  </si>
  <si>
    <t xml:space="preserve">spindle-black-steel-accessories</t>
  </si>
  <si>
    <t xml:space="preserve">/products/stair-railing/spindle-black-steel-accessories/</t>
  </si>
  <si>
    <t xml:space="preserve">SPECIES | SIZE MISSING | NO CODE | NO POST / NO INDEXABLE URL</t>
  </si>
  <si>
    <t xml:space="preserve">equinox-lever-</t>
  </si>
  <si>
    <t xml:space="preserve">/products/door-hardware/equinox-lever-/</t>
  </si>
  <si>
    <t xml:space="preserve">silver-moon-lever</t>
  </si>
  <si>
    <t xml:space="preserve">/products/door-hardware/silver-moon-lever/</t>
  </si>
  <si>
    <t xml:space="preserve">vega-lever</t>
  </si>
  <si>
    <t xml:space="preserve">/products/door-hardware/vega-lever/</t>
  </si>
  <si>
    <t xml:space="preserve">orleans-lever-</t>
  </si>
  <si>
    <t xml:space="preserve">/products/door-hardware/orleans-lever-/</t>
  </si>
  <si>
    <t xml:space="preserve">vega-lever-black</t>
  </si>
  <si>
    <t xml:space="preserve">/products/door-hardware/vega-lever-black/</t>
  </si>
  <si>
    <t xml:space="preserve">equinox-lever-chrome</t>
  </si>
  <si>
    <t xml:space="preserve">/products/door-hardware/equinox-lever-chrome/</t>
  </si>
  <si>
    <t xml:space="preserve">1948-lever-black</t>
  </si>
  <si>
    <t xml:space="preserve">/products/door-hardware/1948-lever-black/</t>
  </si>
  <si>
    <t xml:space="preserve">square-rosette-kit-</t>
  </si>
  <si>
    <t xml:space="preserve">/products/door-hardware/square-rosette-kit-/</t>
  </si>
  <si>
    <t xml:space="preserve">square-rosette-kit-black</t>
  </si>
  <si>
    <t xml:space="preserve">/products/door-hardware/square-rosette-kit-black/</t>
  </si>
  <si>
    <t xml:space="preserve">stair-tread-covers-white-oak</t>
  </si>
  <si>
    <t xml:space="preserve">/products/stair-railing/stair-tread-covers-white-oak/</t>
  </si>
  <si>
    <t xml:space="preserve">barcelona-knob</t>
  </si>
  <si>
    <t xml:space="preserve">/products/door-hardware/barcelona-knob/</t>
  </si>
  <si>
    <t xml:space="preserve">SPECIES | SIZE MISSING | NO CODE | NO POST / NO INDEXABLE URL | DUPLICATE SLUG</t>
  </si>
  <si>
    <t xml:space="preserve">rectangular-pocket-door-lock-</t>
  </si>
  <si>
    <t xml:space="preserve">rectangular-pocket-door-lock</t>
  </si>
  <si>
    <t xml:space="preserve">/products/door-hardware/rectangular-pocket-door-lock-/</t>
  </si>
  <si>
    <t xml:space="preserve">2020-05-14 18:31:48</t>
  </si>
  <si>
    <t xml:space="preserve">SPECIES | SIZE MISSING | NO CODE | SLUG MISMATCH</t>
  </si>
  <si>
    <t xml:space="preserve">fine-line-router-carved-mdf-</t>
  </si>
  <si>
    <t xml:space="preserve">fine-line-router-carved-mdf</t>
  </si>
  <si>
    <t xml:space="preserve">/products/interior-doors/fine-line-router-carved-mdf-/</t>
  </si>
  <si>
    <t xml:space="preserve">2020-12-07 13:32:11</t>
  </si>
  <si>
    <t xml:space="preserve">round-pocket-door-lock-</t>
  </si>
  <si>
    <t xml:space="preserve">round-pocket-door-lock-2</t>
  </si>
  <si>
    <t xml:space="preserve">/products/door-hardware/round-pocket-door-lock-/</t>
  </si>
  <si>
    <t xml:space="preserve">2020-05-14 18:34:58</t>
  </si>
  <si>
    <t xml:space="preserve">handrail-bracket---heavy-duty</t>
  </si>
  <si>
    <t xml:space="preserve">handrail-bracket-heavy-duty</t>
  </si>
  <si>
    <t xml:space="preserve">/products/stair-railing/handrail-bracket---heavy-duty/</t>
  </si>
  <si>
    <t xml:space="preserve">2020-05-13 19:43:34</t>
  </si>
  <si>
    <t xml:space="preserve">6-panel-shaker-french</t>
  </si>
  <si>
    <t xml:space="preserve">/products/interior-doors/6-panel-shaker-french/</t>
  </si>
  <si>
    <t xml:space="preserve">2018-03-23 17:00:52</t>
  </si>
  <si>
    <t xml:space="preserve">SPECIES | SIZE MISSING | NO DESCRIPTION</t>
  </si>
  <si>
    <t xml:space="preserve">8-panel-shaker-french</t>
  </si>
  <si>
    <t xml:space="preserve">/products/interior-doors/8-panel-shaker-french/</t>
  </si>
  <si>
    <t xml:space="preserve">2018-03-23 17:14:34</t>
  </si>
  <si>
    <t xml:space="preserve">chalk-board-door</t>
  </si>
  <si>
    <t xml:space="preserve">/products/interior-doors/chalk-board-door/</t>
  </si>
  <si>
    <t xml:space="preserve">SPECIES | SIZE MISSING | NO DESCRIPTION | NO CODE</t>
  </si>
  <si>
    <t xml:space="preserve">8-panel-shaker-fir</t>
  </si>
  <si>
    <t xml:space="preserve">/products/interior-doors/8-panel-shaker-fir/</t>
  </si>
  <si>
    <t xml:space="preserve">2026-05-27 11:46:58</t>
  </si>
  <si>
    <t xml:space="preserve">halifax-lever-flat-black</t>
  </si>
  <si>
    <t xml:space="preserve">/products/door-hardware/halifax-lever-flat-black/</t>
  </si>
  <si>
    <t xml:space="preserve">2020-05-07 00:33:56</t>
  </si>
  <si>
    <t xml:space="preserve">router-carved-mdf</t>
  </si>
  <si>
    <t xml:space="preserve">/products/interior-doors/router-carved-mdf/</t>
  </si>
  <si>
    <t xml:space="preserve">2025-07-21 13:31:54</t>
  </si>
  <si>
    <t xml:space="preserve">sliding-system-set-for-88-lbs</t>
  </si>
  <si>
    <t xml:space="preserve">/products/door-hardware/sliding-system-set-for-88-lbs/</t>
  </si>
  <si>
    <t xml:space="preserve">SPECIES | SIZE MISSING | NO POST / NO INDEXABLE URL</t>
  </si>
  <si>
    <t xml:space="preserve">screw-type-plate-with-olive-guide</t>
  </si>
  <si>
    <t xml:space="preserve">/products/door-hardware/screw-type-plate-with-olive-guide/</t>
  </si>
  <si>
    <t xml:space="preserve">black-pvc-u-channel</t>
  </si>
  <si>
    <t xml:space="preserve">/products/door-hardware/black-pvc-u-channel/</t>
  </si>
  <si>
    <t xml:space="preserve">roller-kit-no-track</t>
  </si>
  <si>
    <t xml:space="preserve">/products/door-hardware/roller-kit-no-track/</t>
  </si>
  <si>
    <t xml:space="preserve">aluminum-u-channel</t>
  </si>
  <si>
    <t xml:space="preserve">/products/door-hardware/aluminum-u-channel/</t>
  </si>
  <si>
    <t xml:space="preserve">long-pocket-door-track-13</t>
  </si>
  <si>
    <t xml:space="preserve">/products/door-hardware/long-pocket-door-track-13/</t>
  </si>
  <si>
    <t xml:space="preserve">soft-cose-sliding-system-88lbs</t>
  </si>
  <si>
    <t xml:space="preserve">/products/door-hardware/soft-cose-sliding-system-88lbs/</t>
  </si>
  <si>
    <t xml:space="preserve">soft-close-sliding-system-176-lbs</t>
  </si>
  <si>
    <t xml:space="preserve">/products/door-hardware/soft-close-sliding-system-176-lbs/</t>
  </si>
  <si>
    <t xml:space="preserve">soft-close-barn-door-hardware</t>
  </si>
  <si>
    <t xml:space="preserve">/products/door-hardware/soft-close-barn-door-hardware/</t>
  </si>
  <si>
    <t xml:space="preserve">pocket-door-pull</t>
  </si>
  <si>
    <t xml:space="preserve">/products/door-hardware/pocket-door-pull/</t>
  </si>
  <si>
    <t xml:space="preserve">taymor-orleans-lever</t>
  </si>
  <si>
    <t xml:space="preserve">/products/door-hardware/taymor-orleans-lever/</t>
  </si>
  <si>
    <t xml:space="preserve">plain-black-metal-collar</t>
  </si>
  <si>
    <t xml:space="preserve">/products/stair-railing/plain-black-metal-collar/</t>
  </si>
  <si>
    <t xml:space="preserve">black-angled-shoe</t>
  </si>
  <si>
    <t xml:space="preserve">/products/stair-railing/black-angled-shoe/</t>
  </si>
  <si>
    <t xml:space="preserve">newel-post-mounting-plate</t>
  </si>
  <si>
    <t xml:space="preserve">/products/stair-railing/newel-post-mounting-plate/</t>
  </si>
  <si>
    <t xml:space="preserve">handrail-bolt-connector</t>
  </si>
  <si>
    <t xml:space="preserve">/products/stair-railing/handrail-bolt-connector/</t>
  </si>
  <si>
    <t xml:space="preserve">newel-post-mounting-kit</t>
  </si>
  <si>
    <t xml:space="preserve">/products/stair-railing/newel-post-mounting-kit/</t>
  </si>
  <si>
    <t xml:space="preserve">handrail-newel-connection-kit</t>
  </si>
  <si>
    <t xml:space="preserve">/products/stair-railing/handrail-newel-connection-kit/</t>
  </si>
  <si>
    <t xml:space="preserve">plain-black-metal-spindle</t>
  </si>
  <si>
    <t xml:space="preserve">/products/stair-railing/plain-black-metal-spindle/</t>
  </si>
  <si>
    <t xml:space="preserve">24-barn-door-pull-black</t>
  </si>
  <si>
    <t xml:space="preserve">/products/door-hardware/24-barn-door-pull-black/</t>
  </si>
  <si>
    <t xml:space="preserve">geo-1-spindle-black</t>
  </si>
  <si>
    <t xml:space="preserve">/products/stair-railing/geo-1-spindle-black/</t>
  </si>
  <si>
    <t xml:space="preserve">geo-3-spindle-black</t>
  </si>
  <si>
    <t xml:space="preserve">/products/stair-railing/geo-3-spindle-black/</t>
  </si>
  <si>
    <t xml:space="preserve">spiral-pin</t>
  </si>
  <si>
    <t xml:space="preserve">/products/stair-railing/spiral-pin/</t>
  </si>
  <si>
    <t xml:space="preserve">connector-plug</t>
  </si>
  <si>
    <t xml:space="preserve">/products/stair-railing/connector-plug/</t>
  </si>
  <si>
    <t xml:space="preserve">dowel-screw</t>
  </si>
  <si>
    <t xml:space="preserve">/products/stair-railing/dowel-screw/</t>
  </si>
  <si>
    <t xml:space="preserve">half-newel-posts</t>
  </si>
  <si>
    <t xml:space="preserve">/products/stair-railing/half-newel-posts/</t>
  </si>
  <si>
    <t xml:space="preserve">finger-pull</t>
  </si>
  <si>
    <t xml:space="preserve">/products/door-hardware/finger-pull/</t>
  </si>
  <si>
    <t xml:space="preserve">barn-door-track-black</t>
  </si>
  <si>
    <t xml:space="preserve">/products/door-hardware/barn-door-track-black/</t>
  </si>
  <si>
    <t xml:space="preserve">spindle-plug-connector</t>
  </si>
  <si>
    <t xml:space="preserve">/products/stair-railing/spindle-plug-connector/</t>
  </si>
  <si>
    <t xml:space="preserve">barn-door-track-stainless-7</t>
  </si>
  <si>
    <t xml:space="preserve">/products/door-hardware/barn-door-track-stainless-7/</t>
  </si>
  <si>
    <t xml:space="preserve">barn-door-track-black-8</t>
  </si>
  <si>
    <t xml:space="preserve">/products/door-hardware/barn-door-track-black-8/</t>
  </si>
  <si>
    <t xml:space="preserve">hanger-bolt-nut--washer-</t>
  </si>
  <si>
    <t xml:space="preserve">hanger-bolt-nut-washer</t>
  </si>
  <si>
    <t xml:space="preserve">/products/stair-railing/hanger-bolt-nut--washer-/</t>
  </si>
  <si>
    <t xml:space="preserve">Hanger Bolt, nut &amp; washer</t>
  </si>
  <si>
    <t xml:space="preserve">2020-05-13 19:35:36</t>
  </si>
  <si>
    <t xml:space="preserve">SPECIES | SIZE MISSING | SLUG MISMATCH</t>
  </si>
  <si>
    <t xml:space="preserve">pocket-door-pull-</t>
  </si>
  <si>
    <t xml:space="preserve">pocket-door-pull-2</t>
  </si>
  <si>
    <t xml:space="preserve">/products/door-hardware/pocket-door-pull-/</t>
  </si>
  <si>
    <t xml:space="preserve">2025-06-13 09:39:52</t>
  </si>
  <si>
    <t xml:space="preserve">by-passing-track-for-1-34-doors-</t>
  </si>
  <si>
    <t xml:space="preserve">by-passing-track-for-1-34-doors</t>
  </si>
  <si>
    <t xml:space="preserve">/products/door-hardware/by-passing-track-for-1-34-doors-/</t>
  </si>
  <si>
    <t xml:space="preserve">2020-05-14 19:02:22</t>
  </si>
  <si>
    <t xml:space="preserve">barn-door-track-stainless-8-</t>
  </si>
  <si>
    <t xml:space="preserve">barn-door-track-stainless-8</t>
  </si>
  <si>
    <t xml:space="preserve">/products/door-hardware/barn-door-track-stainless-8-/</t>
  </si>
  <si>
    <t xml:space="preserve">2020-05-14 15:54:50</t>
  </si>
  <si>
    <t xml:space="preserve">Stain-grade-wood-door- 2035</t>
  </si>
  <si>
    <t xml:space="preserve">stain-grade-wood-door-2035</t>
  </si>
  <si>
    <t xml:space="preserve">/products/interior-doors/Stain-grade-wood-door- 2035/</t>
  </si>
  <si>
    <t xml:space="preserve">SPECIES | SLUG MISMATCH</t>
  </si>
  <si>
    <t xml:space="preserve">french-door-adelaide-8ft.tif</t>
  </si>
  <si>
    <t xml:space="preserve">french-door-adelaide-8ft-tif</t>
  </si>
  <si>
    <t xml:space="preserve">/products/interior-doors/french-door-adelaide-8ft.tif/</t>
  </si>
  <si>
    <t xml:space="preserve">Adelaide 8ft french door</t>
  </si>
  <si>
    <t xml:space="preserve">2026-06-15 15:16:16</t>
  </si>
  <si>
    <t xml:space="preserve">french-door-artisan-8ft.tif</t>
  </si>
  <si>
    <t xml:space="preserve">french-door-artisan-8ft-tif</t>
  </si>
  <si>
    <t xml:space="preserve">/products/interior-doors/french-door-artisan-8ft.tif/</t>
  </si>
  <si>
    <t xml:space="preserve">Artisan 8ft french door</t>
  </si>
  <si>
    <t xml:space="preserve">2026-06-15 16:03:31</t>
  </si>
  <si>
    <t xml:space="preserve">french-door-adelaide.tif</t>
  </si>
  <si>
    <t xml:space="preserve">french-door-adelaide-tif</t>
  </si>
  <si>
    <t xml:space="preserve">/products/interior-doors/french-door-adelaide.tif/</t>
  </si>
  <si>
    <t xml:space="preserve">Adelaide french door</t>
  </si>
  <si>
    <t xml:space="preserve">2026-06-15 16:20:44</t>
  </si>
  <si>
    <t xml:space="preserve">basecap-moulding-bas100</t>
  </si>
  <si>
    <t xml:space="preserve">basecap-moulding-bas100__trashed</t>
  </si>
  <si>
    <t xml:space="preserve">/products/trim-mouldings/basecap-moulding-bas100/</t>
  </si>
  <si>
    <t xml:space="preserve">1-1/2" Base Cap 100</t>
  </si>
  <si>
    <t xml:space="preserve">2026-07-20 10:21:12</t>
  </si>
  <si>
    <t xml:space="preserve">french-door-cs1010.jpg</t>
  </si>
  <si>
    <t xml:space="preserve">french-door-cs1010-jpg</t>
  </si>
  <si>
    <t xml:space="preserve">/products/interior-doors/french-door-cs1010.jpg/</t>
  </si>
  <si>
    <t xml:space="preserve">french door cs1010</t>
  </si>
  <si>
    <t xml:space="preserve">2026-06-16 11:07:36</t>
  </si>
  <si>
    <t xml:space="preserve">bas-3f0-REALSTAR</t>
  </si>
  <si>
    <t xml:space="preserve">bas-3f0-realstar</t>
  </si>
  <si>
    <t xml:space="preserve">/products/trim-mouldings/bas-3f0-REALSTAR/</t>
  </si>
  <si>
    <t xml:space="preserve">2019-07-16 15:03:40</t>
  </si>
  <si>
    <t xml:space="preserve">BAC-4697</t>
  </si>
  <si>
    <t xml:space="preserve">Builder Casing Backband Trim Moulding 4697 York Region</t>
  </si>
  <si>
    <t xml:space="preserve">backband-moulding-builder-casing-bac4697</t>
  </si>
  <si>
    <t xml:space="preserve">/products/trim-mouldings/backband-moulding-builder-casing-bac4697/</t>
  </si>
  <si>
    <t xml:space="preserve">5/8 x 1-5/16</t>
  </si>
  <si>
    <t xml:space="preserve">Raw FJ Pine</t>
  </si>
  <si>
    <t xml:space="preserve">Raw</t>
  </si>
  <si>
    <t xml:space="preserve">1-5/16" Backband Mould 4697</t>
  </si>
  <si>
    <t xml:space="preserve">2026-06-16 11:30:24</t>
  </si>
  <si>
    <t xml:space="preserve">BAS-5M7</t>
  </si>
  <si>
    <t xml:space="preserve">Step Bevel Baseboard Wood &amp; MDF Primed 5M7 5-1/4 York Region Toronto</t>
  </si>
  <si>
    <t xml:space="preserve">baseboard-modern-transitional-5-inch-bas5m7</t>
  </si>
  <si>
    <t xml:space="preserve">/products/trim-mouldings/baseboard-modern-transitional-5-inch-bas5m7/</t>
  </si>
  <si>
    <t xml:space="preserve">5/8 x 5-1/4 (5-1/2 MDF)</t>
  </si>
  <si>
    <t xml:space="preserve">5M7 BASE 5-1/4</t>
  </si>
  <si>
    <t xml:space="preserve">2026-06-15 15:06:06</t>
  </si>
  <si>
    <t xml:space="preserve">BAS-7A7</t>
  </si>
  <si>
    <t xml:space="preserve">Step Bevel Baseboard Wood and MDF BAS-7A7  7-1/4"</t>
  </si>
  <si>
    <t xml:space="preserve">baseboard-modern-transitional-7-inch-bas7a7</t>
  </si>
  <si>
    <t xml:space="preserve">/products/trim-mouldings/baseboard-modern-transitional-7-inch-bas7a7/</t>
  </si>
  <si>
    <t xml:space="preserve">BAS-7A7 7-1/4</t>
  </si>
  <si>
    <t xml:space="preserve">2026-06-15 14:55:14</t>
  </si>
  <si>
    <t xml:space="preserve">BAS-503</t>
  </si>
  <si>
    <t xml:space="preserve">Colonial Baseboard Poplar, MDF, Primed  5-1/2" Bas-503 York Region</t>
  </si>
  <si>
    <t xml:space="preserve">baseboard-colonial-5-inch-bas503</t>
  </si>
  <si>
    <t xml:space="preserve">/products/trim-mouldings/baseboard-colonial-5-inch-bas503/</t>
  </si>
  <si>
    <t xml:space="preserve">5/8 x 5-1/4 (5-1/2 mdf)</t>
  </si>
  <si>
    <t xml:space="preserve">5-1/2" Baseboard 503</t>
  </si>
  <si>
    <t xml:space="preserve">2026-06-15 15:04:41</t>
  </si>
  <si>
    <t xml:space="preserve">BAS-509</t>
  </si>
  <si>
    <t xml:space="preserve">Two Step Tudor Victorian Baseboard Trim 5-1/4" bas-509</t>
  </si>
  <si>
    <t xml:space="preserve">baseboard-2-step-5-inch-bas509</t>
  </si>
  <si>
    <t xml:space="preserve">/products/trim-mouldings/baseboard-2-step-5-inch-bas509/</t>
  </si>
  <si>
    <t xml:space="preserve">5-1/4" Baseboard 509</t>
  </si>
  <si>
    <t xml:space="preserve">2026-06-15 14:33:20</t>
  </si>
  <si>
    <t xml:space="preserve">BAS-701</t>
  </si>
  <si>
    <t xml:space="preserve">Victorian 2-Step Baseboard Poplar and MDF Primed York Region Toronto 7-1/4" Bas-701</t>
  </si>
  <si>
    <t xml:space="preserve">baseboard-2-step-7-inch-bas701</t>
  </si>
  <si>
    <t xml:space="preserve">/products/trim-mouldings/baseboard-2-step-7-inch-bas701/</t>
  </si>
  <si>
    <t xml:space="preserve">7-1/4" Baseboard 701</t>
  </si>
  <si>
    <t xml:space="preserve">2026-06-15 15:29:03</t>
  </si>
  <si>
    <t xml:space="preserve">BAS-704</t>
  </si>
  <si>
    <t xml:space="preserve">Poplar MDF Colonial Baseboard 7-1/4" Bas-704  York Region</t>
  </si>
  <si>
    <t xml:space="preserve">baseboard-colonial-7-inch-bas704</t>
  </si>
  <si>
    <t xml:space="preserve">/products/trim-mouldings/baseboard-colonial-7-inch-bas704/</t>
  </si>
  <si>
    <t xml:space="preserve">wood 11/16 thick &amp; MDF 1/2" thick</t>
  </si>
  <si>
    <t xml:space="preserve">7-1/4" Baseboard 704</t>
  </si>
  <si>
    <t xml:space="preserve">2026-06-15 14:38:20</t>
  </si>
  <si>
    <t xml:space="preserve">BAS-7706</t>
  </si>
  <si>
    <t xml:space="preserve">Standard Builder Colonial Baseboard Moulding 4-1/8" Bas-7706</t>
  </si>
  <si>
    <t xml:space="preserve">baseboard-colonial-4-inch-bas7706mdf</t>
  </si>
  <si>
    <t xml:space="preserve">/products/trim-mouldings/baseboard-colonial-4-inch-bas7706mdf/</t>
  </si>
  <si>
    <t xml:space="preserve">1/2 X 4-1/8</t>
  </si>
  <si>
    <t xml:space="preserve">4-1/8" Baseboard 7706</t>
  </si>
  <si>
    <t xml:space="preserve">2026-06-16 11:08:55</t>
  </si>
  <si>
    <t xml:space="preserve">BAS-8263</t>
  </si>
  <si>
    <t xml:space="preserve">Primed MDF Baseboard 1867 style  6-1/2" bas-8263</t>
  </si>
  <si>
    <t xml:space="preserve">baseboard-1867-6-inch-bas8263mdf</t>
  </si>
  <si>
    <t xml:space="preserve">/products/trim-mouldings/baseboard-1867-6-inch-bas8263mdf/</t>
  </si>
  <si>
    <t xml:space="preserve">5/8 x 6-1/2</t>
  </si>
  <si>
    <t xml:space="preserve">6-1/2" Baseboard 8263</t>
  </si>
  <si>
    <t xml:space="preserve">2026-06-16 12:31:41</t>
  </si>
  <si>
    <t xml:space="preserve">2-3/4 Step bevel trim wood, mdf primed cas-2m4 GTA</t>
  </si>
  <si>
    <t xml:space="preserve">casing-transitional-cas2m4</t>
  </si>
  <si>
    <t xml:space="preserve">/products/trim-mouldings/casing-transitional-cas2m4/</t>
  </si>
  <si>
    <t xml:space="preserve">primed poplar and mdf</t>
  </si>
  <si>
    <t xml:space="preserve">2-3/4</t>
  </si>
  <si>
    <t xml:space="preserve">2026-07-30 11:29:57</t>
  </si>
  <si>
    <t xml:space="preserve">CAS-300</t>
  </si>
  <si>
    <t xml:space="preserve">3-1/4" Casing 300</t>
  </si>
  <si>
    <t xml:space="preserve">casing-two-step-tudor-cas300</t>
  </si>
  <si>
    <t xml:space="preserve">/products/trim-mouldings/casing-two-step-tudor-cas300/</t>
  </si>
  <si>
    <t xml:space="preserve">2025-06-05 14:14:23</t>
  </si>
  <si>
    <t xml:space="preserve">CAS-302</t>
  </si>
  <si>
    <t xml:space="preserve">Step Bevel Contemporary Door and Window Trim wood and mdf  Cas-302</t>
  </si>
  <si>
    <t xml:space="preserve">casing-modern-transitional-cas302</t>
  </si>
  <si>
    <t xml:space="preserve">/products/trim-mouldings/casing-modern-transitional-cas302/</t>
  </si>
  <si>
    <t xml:space="preserve">3-1/4" Casing 302</t>
  </si>
  <si>
    <t xml:space="preserve">2026-06-15 15:24:17</t>
  </si>
  <si>
    <t xml:space="preserve">CAS-314</t>
  </si>
  <si>
    <t xml:space="preserve">Upgraded Traditional Colonial Trim Casing-314 York Region</t>
  </si>
  <si>
    <t xml:space="preserve">casing-large-colonial-cas314</t>
  </si>
  <si>
    <t xml:space="preserve">/products/trim-mouldings/casing-large-colonial-cas314/</t>
  </si>
  <si>
    <t xml:space="preserve">3-1/4" Casing 314</t>
  </si>
  <si>
    <t xml:space="preserve">2026-06-16 11:36:24</t>
  </si>
  <si>
    <t xml:space="preserve">CAS-4642</t>
  </si>
  <si>
    <t xml:space="preserve">3" Backband Colonial Casing cas-4642 Primed</t>
  </si>
  <si>
    <t xml:space="preserve">casing-colonial-bb-casing</t>
  </si>
  <si>
    <t xml:space="preserve">/products/trim-mouldings/casing-colonial-bb-casing/</t>
  </si>
  <si>
    <t xml:space="preserve">1-1/16 X 3"</t>
  </si>
  <si>
    <t xml:space="preserve">3" Casing 4642</t>
  </si>
  <si>
    <t xml:space="preserve">2026-06-16 12:47:17</t>
  </si>
  <si>
    <t xml:space="preserve">CAS-7705</t>
  </si>
  <si>
    <t xml:space="preserve">2-3/4" Casing 7705</t>
  </si>
  <si>
    <t xml:space="preserve">casing-builder-colonial-cas7705</t>
  </si>
  <si>
    <t xml:space="preserve">/products/trim-mouldings/casing-builder-colonial-cas7705/</t>
  </si>
  <si>
    <t xml:space="preserve">5/8 X 2-3/4</t>
  </si>
  <si>
    <t xml:space="preserve">2025-06-05 14:22:34</t>
  </si>
  <si>
    <t xml:space="preserve">COV-514</t>
  </si>
  <si>
    <t xml:space="preserve">5-1/4" Cove Mould 514</t>
  </si>
  <si>
    <t xml:space="preserve">cove-crown-moulding-cov514</t>
  </si>
  <si>
    <t xml:space="preserve">/products/trim-mouldings/cove-crown-moulding-cov514/</t>
  </si>
  <si>
    <t xml:space="preserve">1-3/16 x 5-1/4</t>
  </si>
  <si>
    <t xml:space="preserve">2023-05-24 15:53:47</t>
  </si>
  <si>
    <t xml:space="preserve">CRO-41</t>
  </si>
  <si>
    <t xml:space="preserve">6-3/8" Crown 41</t>
  </si>
  <si>
    <t xml:space="preserve">symmetrical-crown-moulding-mdf-cov41</t>
  </si>
  <si>
    <t xml:space="preserve">/products/trim-mouldings/symmetrical-crown-moulding-mdf-cov41/</t>
  </si>
  <si>
    <t xml:space="preserve">1" x 6-3/8</t>
  </si>
  <si>
    <t xml:space="preserve">2023-05-24 15:50:58</t>
  </si>
  <si>
    <t xml:space="preserve">CRO-400</t>
  </si>
  <si>
    <t xml:space="preserve">4-1/4" Classic Colonial Crown Moulding cro-400</t>
  </si>
  <si>
    <t xml:space="preserve">colonial-crown-moulding-cro400</t>
  </si>
  <si>
    <t xml:space="preserve">/products/trim-mouldings/colonial-crown-moulding-cro400/</t>
  </si>
  <si>
    <t xml:space="preserve">11/16 x 4-1/4</t>
  </si>
  <si>
    <t xml:space="preserve">wood 11/16" thick &amp; MDF 5/8" thick</t>
  </si>
  <si>
    <t xml:space="preserve">4-1/4" Crown 400</t>
  </si>
  <si>
    <t xml:space="preserve">2026-06-17 15:23:06</t>
  </si>
  <si>
    <t xml:space="preserve">CRO-500</t>
  </si>
  <si>
    <t xml:space="preserve">5-1/4" Crown Moulding cro-500 primed</t>
  </si>
  <si>
    <t xml:space="preserve">five-inch-crown-moulding-cro500</t>
  </si>
  <si>
    <t xml:space="preserve">/products/trim-mouldings/five-inch-crown-moulding-cro500/</t>
  </si>
  <si>
    <t xml:space="preserve">5-1/4" Crown 500</t>
  </si>
  <si>
    <t xml:space="preserve">2026-06-16 12:46:24</t>
  </si>
  <si>
    <t xml:space="preserve">STO-181</t>
  </si>
  <si>
    <t xml:space="preserve">1-3/8" Door Stop 181</t>
  </si>
  <si>
    <t xml:space="preserve">door-stop-sto181</t>
  </si>
  <si>
    <t xml:space="preserve">/products/trim-mouldings/door-stop-sto181/</t>
  </si>
  <si>
    <t xml:space="preserve">3/8 x 1-3/8</t>
  </si>
  <si>
    <t xml:space="preserve">2022-12-05 15:16:57</t>
  </si>
  <si>
    <t xml:space="preserve">STO-AL730</t>
  </si>
  <si>
    <t xml:space="preserve">1-3/16" Door Stop AL730</t>
  </si>
  <si>
    <t xml:space="preserve">door-stop-stoal730</t>
  </si>
  <si>
    <t xml:space="preserve">/products/trim-mouldings/door-stop-stoal730/</t>
  </si>
  <si>
    <t xml:space="preserve">7/16 x 1-3/16</t>
  </si>
  <si>
    <t xml:space="preserve">T&amp;G-800</t>
  </si>
  <si>
    <t xml:space="preserve">7-3/4" Tongue &amp; Groove 800</t>
  </si>
  <si>
    <t xml:space="preserve">tongue-and-groove-tg800</t>
  </si>
  <si>
    <t xml:space="preserve">/products/trim-mouldings/tongue-and-groove-tg800/</t>
  </si>
  <si>
    <t xml:space="preserve">5/8 x 7-3/4 face</t>
  </si>
  <si>
    <t xml:space="preserve">2025-11-27 14:37:24</t>
  </si>
  <si>
    <t xml:space="preserve">T&amp;G-03701</t>
  </si>
  <si>
    <t xml:space="preserve">1x6 V-Groove Panelling Primed Mdf</t>
  </si>
  <si>
    <t xml:space="preserve">tongue-and-groove-tg03701</t>
  </si>
  <si>
    <t xml:space="preserve">/products/trim-mouldings/tongue-and-groove-tg03701/</t>
  </si>
  <si>
    <t xml:space="preserve">5/8 x 5-11/16 face</t>
  </si>
  <si>
    <t xml:space="preserve">5-11/16" Tongue &amp; Groove 03701</t>
  </si>
  <si>
    <t xml:space="preserve">2025-11-27 14:38:14</t>
  </si>
  <si>
    <t xml:space="preserve">dr-cambridge</t>
  </si>
  <si>
    <t xml:space="preserve">2 Panel, Raised Panel, Carrera Interior Door Hollow and Solid Core York Region</t>
  </si>
  <si>
    <t xml:space="preserve">interior-door-two-panel-cambridge-carrera</t>
  </si>
  <si>
    <t xml:space="preserve">/products/interior-doors/interior-door-two-panel-cambridge-carrera/</t>
  </si>
  <si>
    <t xml:space="preserve">wood composite hollow and solid</t>
  </si>
  <si>
    <t xml:space="preserve">Cambridge / Carrera</t>
  </si>
  <si>
    <t xml:space="preserve">2026-06-15 16:15:50</t>
  </si>
  <si>
    <t xml:space="preserve">STO-205</t>
  </si>
  <si>
    <t xml:space="preserve">2" Door Stop 205</t>
  </si>
  <si>
    <t xml:space="preserve">door-stop-shoe-moulding</t>
  </si>
  <si>
    <t xml:space="preserve">/products/trim-mouldings/door-stop-shoe-moulding/</t>
  </si>
  <si>
    <t xml:space="preserve">1/2 X 2"</t>
  </si>
  <si>
    <t xml:space="preserve">2018-12-19 16:45:41</t>
  </si>
  <si>
    <t xml:space="preserve">STO-1K5</t>
  </si>
  <si>
    <t xml:space="preserve">Bevel Door Stop Primed Poplar 1-1/2"  STO-1K5</t>
  </si>
  <si>
    <t xml:space="preserve">bevelled-door-stop</t>
  </si>
  <si>
    <t xml:space="preserve">/products/trim-mouldings/bevelled-door-stop/</t>
  </si>
  <si>
    <t xml:space="preserve">Primed Poplar</t>
  </si>
  <si>
    <t xml:space="preserve">1-1/2" Door Stop 1K5</t>
  </si>
  <si>
    <t xml:space="preserve">2026-06-15 14:28:59</t>
  </si>
  <si>
    <t xml:space="preserve">t&amp;g-1x6x16-fl-wr</t>
  </si>
  <si>
    <t xml:space="preserve">Shiplap Paneling 1x6 white end matched</t>
  </si>
  <si>
    <t xml:space="preserve">shiplap-tg-1x6x16-fl-wr</t>
  </si>
  <si>
    <t xml:space="preserve">/products/trim-mouldings/shiplap-tg-1x6x16-fl-wr/</t>
  </si>
  <si>
    <t xml:space="preserve">11/16 x 4-3/4" face</t>
  </si>
  <si>
    <t xml:space="preserve">painted pine</t>
  </si>
  <si>
    <t xml:space="preserve">Shiplap T&amp;G-1x6x16-fl-wr</t>
  </si>
  <si>
    <t xml:space="preserve">2026-03-31 10:55:53</t>
  </si>
  <si>
    <t xml:space="preserve">BAS-5CN</t>
  </si>
  <si>
    <t xml:space="preserve">Plain Bevel Baseboard Trim bas-5CN Primed  York Region Toronto</t>
  </si>
  <si>
    <t xml:space="preserve">baseboard-5cn</t>
  </si>
  <si>
    <t xml:space="preserve">/products/trim-mouldings/baseboard-5cn/</t>
  </si>
  <si>
    <t xml:space="preserve">5/8 X 5-1/4</t>
  </si>
  <si>
    <t xml:space="preserve">Baseboard 5CN</t>
  </si>
  <si>
    <t xml:space="preserve">2026-06-16 12:17:33</t>
  </si>
  <si>
    <t xml:space="preserve">sc-tcos</t>
  </si>
  <si>
    <t xml:space="preserve">Tread Cover - open stringer</t>
  </si>
  <si>
    <t xml:space="preserve">tread-cover-open-stringer</t>
  </si>
  <si>
    <t xml:space="preserve">/products/stair-railing/tread-cover-open-stringer/</t>
  </si>
  <si>
    <t xml:space="preserve">9-1/4 x 42</t>
  </si>
  <si>
    <t xml:space="preserve">2019-10-11 18:20:19</t>
  </si>
  <si>
    <t xml:space="preserve">cas-1693</t>
  </si>
  <si>
    <t xml:space="preserve">Step Bevel Contemporary Backband Casing York Region Toronto</t>
  </si>
  <si>
    <t xml:space="preserve">contemporary-backband-casing-mdf</t>
  </si>
  <si>
    <t xml:space="preserve">/products/trim-mouldings/contemporary-backband-casing-mdf/</t>
  </si>
  <si>
    <t xml:space="preserve">1-1/8" x 3-1/4" x 15'</t>
  </si>
  <si>
    <t xml:space="preserve">Contemporary Backband Casing Mdf</t>
  </si>
  <si>
    <t xml:space="preserve">2026-06-16 11:42:53</t>
  </si>
  <si>
    <t xml:space="preserve">CAS-3RU</t>
  </si>
  <si>
    <t xml:space="preserve">Contemporary Backband Casing FJ Poplar 3RU</t>
  </si>
  <si>
    <t xml:space="preserve">contemporary-backband-casing-fj-poplar</t>
  </si>
  <si>
    <t xml:space="preserve">/products/trim-mouldings/contemporary-backband-casing-fj-poplar/</t>
  </si>
  <si>
    <t xml:space="preserve">1-1/16 X 3-1/2" X 16'</t>
  </si>
  <si>
    <t xml:space="preserve">Primed fj Poplar</t>
  </si>
  <si>
    <t xml:space="preserve">2026-06-22 14:18:18</t>
  </si>
  <si>
    <t xml:space="preserve">SIZE MANUAL | IN ERP STAIR PARTS LIST — VERIFY NAME</t>
  </si>
  <si>
    <t xml:space="preserve">SPECIES | SIZE MISSING | NO POST / NO INDEXABLE URL | IN ERP STAIR PARTS LIST — VERIFY NAME</t>
  </si>
  <si>
    <t xml:space="preserve">SPECIES | SIZE MISSING | SLUG MISMATCH | IN ERP STAIR PARTS LIST — VERIFY NAME</t>
  </si>
  <si>
    <t xml:space="preserve">SPECIES | SIZE MANUAL | NO POST / NO INDEXABLE URL | IN ERP STAIR PARTS LIST — VERIFY NAME</t>
  </si>
  <si>
    <t xml:space="preserve">arc-612</t>
  </si>
  <si>
    <t xml:space="preserve">6-1/2 Architrave</t>
  </si>
  <si>
    <t xml:space="preserve">6-12-architrave</t>
  </si>
  <si>
    <t xml:space="preserve">/products/trim-mouldings/6-12-architrave/</t>
  </si>
  <si>
    <t xml:space="preserve">1-1/2 x 6-1/2</t>
  </si>
  <si>
    <t xml:space="preserve">2020-06-03 18:57:53</t>
  </si>
  <si>
    <t xml:space="preserve">CRO-739</t>
  </si>
  <si>
    <t xml:space="preserve">Primed Mdf Crown 739</t>
  </si>
  <si>
    <t xml:space="preserve">primed-mdf-crown-739</t>
  </si>
  <si>
    <t xml:space="preserve">/products/trim-mouldings/primed-mdf-crown-739/</t>
  </si>
  <si>
    <t xml:space="preserve">7/8 X 6-3/4</t>
  </si>
  <si>
    <t xml:space="preserve">2023-05-24 15:55:53</t>
  </si>
  <si>
    <t xml:space="preserve">BAS-932</t>
  </si>
  <si>
    <t xml:space="preserve">Tall contemporary step bevel baseboard 9-1/4" bas-932 GTA York Region</t>
  </si>
  <si>
    <t xml:space="preserve">9-14-contemporary-step-bevel-baseboard-932</t>
  </si>
  <si>
    <t xml:space="preserve">/products/trim-mouldings/9-14-contemporary-step-bevel-baseboard-932/</t>
  </si>
  <si>
    <t xml:space="preserve">11/16 X 9-1/4</t>
  </si>
  <si>
    <t xml:space="preserve">9-1/4 contemporary step bevel baseboard 932</t>
  </si>
  <si>
    <t xml:space="preserve">2026-06-15 15:39:48</t>
  </si>
  <si>
    <t xml:space="preserve">EDG-BW-50</t>
  </si>
  <si>
    <t xml:space="preserve">sheet-goods</t>
  </si>
  <si>
    <t xml:space="preserve">Iron-On Edging</t>
  </si>
  <si>
    <t xml:space="preserve">13/16 x 50</t>
  </si>
  <si>
    <t xml:space="preserve">CVENEER</t>
  </si>
  <si>
    <t xml:space="preserve">NEW FROM ERP AUG 2026 | NO NAME | NO DESCRIPTION | NO POST / NO INDEXABLE URL | SPECIES</t>
  </si>
  <si>
    <t xml:space="preserve">EDG-HM-250</t>
  </si>
  <si>
    <t xml:space="preserve">13/16 x 250</t>
  </si>
  <si>
    <t xml:space="preserve">EDG-HM-50</t>
  </si>
  <si>
    <t xml:space="preserve">EDG-RO-50</t>
  </si>
  <si>
    <t xml:space="preserve">EDG-WO-50</t>
  </si>
  <si>
    <t xml:space="preserve">PANEL-BLACK</t>
  </si>
  <si>
    <t xml:space="preserve">Acoustic Wall Panels</t>
  </si>
  <si>
    <t xml:space="preserve">22-1/2 x 108</t>
  </si>
  <si>
    <t xml:space="preserve">PANEL-GREY</t>
  </si>
  <si>
    <t xml:space="preserve">PANEL-NATURALOAK</t>
  </si>
  <si>
    <t xml:space="preserve">PANEL-SANDALWOOD</t>
  </si>
  <si>
    <t xml:space="preserve">PANEL-WALNUT</t>
  </si>
  <si>
    <t xml:space="preserve">SHELVING-12</t>
  </si>
  <si>
    <t xml:space="preserve">Shelving</t>
  </si>
  <si>
    <t xml:space="preserve">5/8 x 12</t>
  </si>
  <si>
    <t xml:space="preserve">SHELVING-16</t>
  </si>
  <si>
    <t xml:space="preserve">5/8 x 16</t>
  </si>
  <si>
    <t xml:space="preserve">SHF-1/2BB-PV</t>
  </si>
  <si>
    <t xml:space="preserve">Sheet Panels</t>
  </si>
  <si>
    <t xml:space="preserve">1/2 x 4</t>
  </si>
  <si>
    <t xml:space="preserve">SHF-1/2EXTIRA</t>
  </si>
  <si>
    <t xml:space="preserve">SHF-1/2HM-2P</t>
  </si>
  <si>
    <t xml:space="preserve">SHF-1/2MDF</t>
  </si>
  <si>
    <t xml:space="preserve">SHF-1/2PG-1V</t>
  </si>
  <si>
    <t xml:space="preserve">SHF-1/2RO-1P</t>
  </si>
  <si>
    <t xml:space="preserve">SHF-1/2WO-2P</t>
  </si>
  <si>
    <t xml:space="preserve">SHF-1/4BB-PV</t>
  </si>
  <si>
    <t xml:space="preserve">NEW FROM ERP AUG 2026 | NO NAME | NO DESCRIPTION | NO POST / NO INDEXABLE URL | SPECIES | SIZE MISSING</t>
  </si>
  <si>
    <t xml:space="preserve">SHF-1/4HM-1V</t>
  </si>
  <si>
    <t xml:space="preserve">1/4 x 4</t>
  </si>
  <si>
    <t xml:space="preserve">SHF-1/4MDF</t>
  </si>
  <si>
    <t xml:space="preserve">SHF-1/4RO-1V</t>
  </si>
  <si>
    <t xml:space="preserve">SHF-1/4WO-2P</t>
  </si>
  <si>
    <t xml:space="preserve">SHF-1/8RO-1V</t>
  </si>
  <si>
    <t xml:space="preserve">1/8 x 4</t>
  </si>
  <si>
    <t xml:space="preserve">SHF-11/32WW-CG</t>
  </si>
  <si>
    <t xml:space="preserve">11/32 x 4</t>
  </si>
  <si>
    <t xml:space="preserve">SHF-1-1/4MDF</t>
  </si>
  <si>
    <t xml:space="preserve">SHF-1-1/4MDF-24X96</t>
  </si>
  <si>
    <t xml:space="preserve">1-1/4 x 2</t>
  </si>
  <si>
    <t xml:space="preserve">SHF-3/4BB-PV</t>
  </si>
  <si>
    <t xml:space="preserve">3/4 x 4</t>
  </si>
  <si>
    <t xml:space="preserve">SHF-3/4EXTIRA</t>
  </si>
  <si>
    <t xml:space="preserve">SHF-3/4EXTIRA-2X16</t>
  </si>
  <si>
    <t xml:space="preserve">3/4 x 24</t>
  </si>
  <si>
    <t xml:space="preserve">SHF-3/4HM-2P</t>
  </si>
  <si>
    <t xml:space="preserve">SHF-3/4MDF</t>
  </si>
  <si>
    <t xml:space="preserve">SHF-3/4MDF-10</t>
  </si>
  <si>
    <t xml:space="preserve">SHF-3/4PG-1V</t>
  </si>
  <si>
    <t xml:space="preserve">SHF-3/4RO-2P</t>
  </si>
  <si>
    <t xml:space="preserve">SHF-3/4RO-2V</t>
  </si>
  <si>
    <t xml:space="preserve">SHF-3/4WO-2P</t>
  </si>
  <si>
    <t xml:space="preserve">SHF-5/8MDF</t>
  </si>
  <si>
    <t xml:space="preserve">5/8 x 4</t>
  </si>
  <si>
    <t xml:space="preserve">WVF-BW-8</t>
  </si>
  <si>
    <t xml:space="preserve">Flexible Wood Veneer</t>
  </si>
  <si>
    <t xml:space="preserve">12 x 8</t>
  </si>
  <si>
    <t xml:space="preserve">WVF-HM-24X96</t>
  </si>
  <si>
    <t xml:space="preserve">24 x 96</t>
  </si>
  <si>
    <t xml:space="preserve">WVF-HM-8</t>
  </si>
  <si>
    <t xml:space="preserve">WVF-RO-24X96</t>
  </si>
  <si>
    <t xml:space="preserve">WVF-RO-48X96</t>
  </si>
  <si>
    <t xml:space="preserve">48 x 96</t>
  </si>
  <si>
    <t xml:space="preserve">WVF-RO-8</t>
  </si>
  <si>
    <t xml:space="preserve">WVF-WO-4X8-RIFT-POLY</t>
  </si>
  <si>
    <t xml:space="preserve">4 x 8</t>
  </si>
  <si>
    <t xml:space="preserve">WVF-WO-8</t>
  </si>
  <si>
    <t xml:space="preserve">HBE-ZB-11550</t>
  </si>
  <si>
    <t xml:space="preserve">Rail Bolts &amp; Fasteners</t>
  </si>
  <si>
    <t xml:space="preserve">CSTAIR</t>
  </si>
  <si>
    <t xml:space="preserve">HBE-ZB-14100</t>
  </si>
  <si>
    <t xml:space="preserve">HBE-ZP-13600</t>
  </si>
  <si>
    <t xml:space="preserve">HBR-DOWELSCREW</t>
  </si>
  <si>
    <t xml:space="preserve">3/8 x 4</t>
  </si>
  <si>
    <t xml:space="preserve">HBR-DOWELSCREW-LARGE</t>
  </si>
  <si>
    <t xml:space="preserve">3/8 x 6</t>
  </si>
  <si>
    <t xml:space="preserve">NEW FROM ERP AUG 2026 | NO NAME | NO DESCRIPTION | NO POST / NO INDEXABLE URL | SPECIES | SOURCE PDF UNCLEAR — CHECK AGAINST ORIGINAL</t>
  </si>
  <si>
    <t xml:space="preserve">HC-248-EC-RO</t>
  </si>
  <si>
    <t xml:space="preserve">Handrail Fittings</t>
  </si>
  <si>
    <t xml:space="preserve">HC-248-QTC-RO</t>
  </si>
  <si>
    <t xml:space="preserve">HC-248-TAN-RO</t>
  </si>
  <si>
    <t xml:space="preserve">SC-CHM-136-PRIMED</t>
  </si>
  <si>
    <t xml:space="preserve">Stair Components</t>
  </si>
  <si>
    <t xml:space="preserve">1-1/4 x 36</t>
  </si>
  <si>
    <t xml:space="preserve">SC-CHM136-SM</t>
  </si>
  <si>
    <t xml:space="preserve">1-5/16 x 36</t>
  </si>
  <si>
    <t xml:space="preserve">SC-CHM139-PRIMED</t>
  </si>
  <si>
    <t xml:space="preserve">1-1/4 x 39</t>
  </si>
  <si>
    <t xml:space="preserve">SC-CHM139-SM</t>
  </si>
  <si>
    <t xml:space="preserve">1-5/16 x 39</t>
  </si>
  <si>
    <t xml:space="preserve">SC-CNC234-RO</t>
  </si>
  <si>
    <t xml:space="preserve">SC-CNC314-HM</t>
  </si>
  <si>
    <t xml:space="preserve">SC-CNC314-RO</t>
  </si>
  <si>
    <t xml:space="preserve">SC-CS136-AP</t>
  </si>
  <si>
    <t xml:space="preserve">SC-CS136-RO</t>
  </si>
  <si>
    <t xml:space="preserve">SC-CS139-AP</t>
  </si>
  <si>
    <t xml:space="preserve">SC-CS139-RO</t>
  </si>
  <si>
    <t xml:space="preserve">SC-CS142-AP</t>
  </si>
  <si>
    <t xml:space="preserve">1-5/16 x 42</t>
  </si>
  <si>
    <t xml:space="preserve">SC-CS142-RO</t>
  </si>
  <si>
    <t xml:space="preserve">SC-CS236-AP</t>
  </si>
  <si>
    <t xml:space="preserve">1-3/4 x 36</t>
  </si>
  <si>
    <t xml:space="preserve">SC-CS239-AP</t>
  </si>
  <si>
    <t xml:space="preserve">1-3/4 x 39</t>
  </si>
  <si>
    <t xml:space="preserve">SC-DNC312-WO</t>
  </si>
  <si>
    <t xml:space="preserve">SC-FN-BOX5-RO</t>
  </si>
  <si>
    <t xml:space="preserve">5 x 52</t>
  </si>
  <si>
    <t xml:space="preserve">SC-FN-CHAM-312-HM</t>
  </si>
  <si>
    <t xml:space="preserve">3-1/2 x 48</t>
  </si>
  <si>
    <t xml:space="preserve">SC-FN-CHAM-312-RO</t>
  </si>
  <si>
    <t xml:space="preserve">SC-FN-COL-234-RO</t>
  </si>
  <si>
    <t xml:space="preserve">2-3/4 x 48</t>
  </si>
  <si>
    <t xml:space="preserve">SC-FN-COL-312-HM</t>
  </si>
  <si>
    <t xml:space="preserve">SC-FN-COL-312-KP</t>
  </si>
  <si>
    <t xml:space="preserve">SC-FN-COL-312-RO</t>
  </si>
  <si>
    <t xml:space="preserve">SC-FN-COV-312-RO</t>
  </si>
  <si>
    <t xml:space="preserve">SC-FN-CUE-312-RO</t>
  </si>
  <si>
    <t xml:space="preserve">SC-FN-DADO-234-RO</t>
  </si>
  <si>
    <t xml:space="preserve">SC-FN-DADO-312-RO</t>
  </si>
  <si>
    <t xml:space="preserve">SC-FN-PIN-234-RO</t>
  </si>
  <si>
    <t xml:space="preserve">2-3/4 x 42</t>
  </si>
  <si>
    <t xml:space="preserve">SC-FN-PLAIN-234-HM</t>
  </si>
  <si>
    <t xml:space="preserve">SC-FN-PLAIN-234-RO</t>
  </si>
  <si>
    <t xml:space="preserve">SC-FN-PLAIN-312-HM</t>
  </si>
  <si>
    <t xml:space="preserve">SC-FN-PLAIN-312-RO</t>
  </si>
  <si>
    <t xml:space="preserve">SC-FN-PLAIN-312-WO</t>
  </si>
  <si>
    <t xml:space="preserve">3-1/2 x 52</t>
  </si>
  <si>
    <t xml:space="preserve">SC-FN-PLAIN-312-WP</t>
  </si>
  <si>
    <t xml:space="preserve">3-1/2 x 55</t>
  </si>
  <si>
    <t xml:space="preserve">SC-FN-PLAIN-3-WO</t>
  </si>
  <si>
    <t xml:space="preserve">3 x 3</t>
  </si>
  <si>
    <t xml:space="preserve">SC-FN-PLAIN-412-AP</t>
  </si>
  <si>
    <t xml:space="preserve">4-1/2 x 48</t>
  </si>
  <si>
    <t xml:space="preserve">SC-FN-SHAK-312-HM</t>
  </si>
  <si>
    <t xml:space="preserve">SC-FN-SHAK-312-RO</t>
  </si>
  <si>
    <t xml:space="preserve">SC-FN-SHAK-400-HM</t>
  </si>
  <si>
    <t xml:space="preserve">4 x 48</t>
  </si>
  <si>
    <t xml:space="preserve">SC-FN-SHAK-400-RO</t>
  </si>
  <si>
    <t xml:space="preserve">SC-FN-SHAK-412-RO</t>
  </si>
  <si>
    <t xml:space="preserve">SC-FN-SHAK-600-HM</t>
  </si>
  <si>
    <t xml:space="preserve">6 x 48</t>
  </si>
  <si>
    <t xml:space="preserve">SC-FN-SIMC-400-RO</t>
  </si>
  <si>
    <t xml:space="preserve">SC-FN-VIC-414-FJWP</t>
  </si>
  <si>
    <t xml:space="preserve">4-1/4 x 4</t>
  </si>
  <si>
    <t xml:space="preserve">SC-HN-CHAM-312-HM</t>
  </si>
  <si>
    <t xml:space="preserve">3-1/2 x 42</t>
  </si>
  <si>
    <t xml:space="preserve">SC-HN-CHAM-312-RO</t>
  </si>
  <si>
    <t xml:space="preserve">SC-HN-COL-234-RO</t>
  </si>
  <si>
    <t xml:space="preserve">SC-HN-COL-312-HM</t>
  </si>
  <si>
    <t xml:space="preserve">SC-HN-COL-312-RO</t>
  </si>
  <si>
    <t xml:space="preserve">SC-MCOLLAR-CLASSIC-SB</t>
  </si>
  <si>
    <t xml:space="preserve">SC-MCOLLAR-MODERN-SB</t>
  </si>
  <si>
    <t xml:space="preserve">NEW FROM ERP AUG 2026 | NO NAME | NO DESCRIPTION | NO POST / NO INDEXABLE URL | SPECIES | SIZE MISSING | SOURCE PDF UNCLEAR — CHECK AGAINST ORIGINAL</t>
  </si>
  <si>
    <t xml:space="preserve">SC-MCONNECT-COILPIN</t>
  </si>
  <si>
    <t xml:space="preserve">SC-MCONNECT-EZCONNECTEZ</t>
  </si>
  <si>
    <t xml:space="preserve">SC-MCONNECT-PLASTIC</t>
  </si>
  <si>
    <t xml:space="preserve">SC-MSCREWS-BLACK</t>
  </si>
  <si>
    <t xml:space="preserve">8 x 1</t>
  </si>
  <si>
    <t xml:space="preserve">SC-MSHOE-ANGLED-SB</t>
  </si>
  <si>
    <t xml:space="preserve">SC-MSHOE-CLASSIC-SB</t>
  </si>
  <si>
    <t xml:space="preserve">SC-MSHOE-EZ-SB</t>
  </si>
  <si>
    <t xml:space="preserve">SC-MSHOE-EZSWIVEL-SB</t>
  </si>
  <si>
    <t xml:space="preserve">SC-MSHOE-MODERN-SB</t>
  </si>
  <si>
    <t xml:space="preserve">SC-MSPINDLE-1O-SB</t>
  </si>
  <si>
    <t xml:space="preserve">1/2 x 44</t>
  </si>
  <si>
    <t xml:space="preserve">SC-MSPINDLE-PLAIN-SB</t>
  </si>
  <si>
    <t xml:space="preserve">SC-RISER-HM</t>
  </si>
  <si>
    <t xml:space="preserve">1/2 x 7-3/4</t>
  </si>
  <si>
    <t xml:space="preserve">SC-RISER-PG</t>
  </si>
  <si>
    <t xml:space="preserve">SC-RISER-RO</t>
  </si>
  <si>
    <t xml:space="preserve">SC-RISER-WO</t>
  </si>
  <si>
    <t xml:space="preserve">SC-RNC-312-RO</t>
  </si>
  <si>
    <t xml:space="preserve">SC-SNC234-RO</t>
  </si>
  <si>
    <t xml:space="preserve">SC-SNC312-HM</t>
  </si>
  <si>
    <t xml:space="preserve">SC-SNC312-RO</t>
  </si>
  <si>
    <t xml:space="preserve">SC-SNC312-WO</t>
  </si>
  <si>
    <t xml:space="preserve">SC-SNC412-HM</t>
  </si>
  <si>
    <t xml:space="preserve">SC-SNC412-RO</t>
  </si>
  <si>
    <t xml:space="preserve">SC-SP057-00C</t>
  </si>
  <si>
    <t xml:space="preserve">SC-SP-NPFK</t>
  </si>
  <si>
    <t xml:space="preserve">1/2 x 1-3/4</t>
  </si>
  <si>
    <t xml:space="preserve">SC-SS136-AP</t>
  </si>
  <si>
    <t xml:space="preserve">SC-SS136-LAQ</t>
  </si>
  <si>
    <t xml:space="preserve">SC-SS136-RO</t>
  </si>
  <si>
    <t xml:space="preserve">SC-SS139-AP</t>
  </si>
  <si>
    <t xml:space="preserve">SC-SS139-LAQ</t>
  </si>
  <si>
    <t xml:space="preserve">SC-SS139-RO</t>
  </si>
  <si>
    <t xml:space="preserve">SC-SS142-AP</t>
  </si>
  <si>
    <t xml:space="preserve">SC-SS142-RO</t>
  </si>
  <si>
    <t xml:space="preserve">SC-SS236-AP</t>
  </si>
  <si>
    <t xml:space="preserve">SC-SS236-KP</t>
  </si>
  <si>
    <t xml:space="preserve">SC-SS236-RO</t>
  </si>
  <si>
    <t xml:space="preserve">SC-SS239-AP</t>
  </si>
  <si>
    <t xml:space="preserve">SC-SS239-KP</t>
  </si>
  <si>
    <t xml:space="preserve">SC-SS239-RO</t>
  </si>
  <si>
    <t xml:space="preserve">SC-SS242-AP</t>
  </si>
  <si>
    <t xml:space="preserve">1-3/4 x 42</t>
  </si>
  <si>
    <t xml:space="preserve">SC-T42L-RO</t>
  </si>
  <si>
    <t xml:space="preserve">SC-T42P-RO</t>
  </si>
  <si>
    <t xml:space="preserve">1-1/16 x 11-1/4</t>
  </si>
  <si>
    <t xml:space="preserve">SC-T42-RO</t>
  </si>
  <si>
    <t xml:space="preserve">1-1/16 x 10-1/2</t>
  </si>
  <si>
    <t xml:space="preserve">SC-T42R-RO</t>
  </si>
  <si>
    <t xml:space="preserve">SC-T48P-RO</t>
  </si>
  <si>
    <t xml:space="preserve">SC-TCCS-RO-E-36</t>
  </si>
  <si>
    <t xml:space="preserve">SC-TCCS-RO-E-48</t>
  </si>
  <si>
    <t xml:space="preserve">SC-TCCS-WO-36</t>
  </si>
  <si>
    <t xml:space="preserve">SC-TCCUSTOM-RO-E-60</t>
  </si>
  <si>
    <t xml:space="preserve">27-1/2 x 60</t>
  </si>
  <si>
    <t xml:space="preserve">SC-TCOS-BULLNOSE-RO-LEF</t>
  </si>
  <si>
    <t xml:space="preserve">SC-TCOS-BULLNOSE-RO-RIG</t>
  </si>
  <si>
    <t xml:space="preserve">SC-TCOS-PIE-RO-LEFT-48</t>
  </si>
  <si>
    <t xml:space="preserve">SC-TCOS-PIE-RO-RIGHT-48</t>
  </si>
  <si>
    <t xml:space="preserve">SC-TCOS-RO-LEFT-E-42</t>
  </si>
  <si>
    <t xml:space="preserve">SC-TCOS-RO-LEFT-E-48</t>
  </si>
  <si>
    <t xml:space="preserve">SC-TCOS-RO-RIGHT-E-42</t>
  </si>
  <si>
    <t xml:space="preserve">SC-TCOS-RO-RIGHT-E-48</t>
  </si>
  <si>
    <t xml:space="preserve">SC-TCOS-WO-LEFT-42</t>
  </si>
  <si>
    <t xml:space="preserve">SC-TCOS-WO-RIGHT-42</t>
  </si>
  <si>
    <t xml:space="preserve">SC-TS136-AP</t>
  </si>
  <si>
    <t xml:space="preserve">SC-TS139-AP</t>
  </si>
  <si>
    <t xml:space="preserve">AP-1/2X1/2</t>
  </si>
  <si>
    <t xml:space="preserve">s4s-flat-stock</t>
  </si>
  <si>
    <t xml:space="preserve">HWAP</t>
  </si>
  <si>
    <t xml:space="preserve">Hardwood</t>
  </si>
  <si>
    <t xml:space="preserve">NEW FROM ERP AUG 2026 | NO NAME | NO DESCRIPTION | NO POST / NO INDEXABLE URL</t>
  </si>
  <si>
    <t xml:space="preserve">AP-1/2X1-1/2</t>
  </si>
  <si>
    <t xml:space="preserve">AP-1/2X2</t>
  </si>
  <si>
    <t xml:space="preserve">1/2 x 2</t>
  </si>
  <si>
    <t xml:space="preserve">AP-1/2X2-1/2</t>
  </si>
  <si>
    <t xml:space="preserve">AP-1/2X3/4</t>
  </si>
  <si>
    <t xml:space="preserve">AP-1/2X3-1/2</t>
  </si>
  <si>
    <t xml:space="preserve">1/2 x 3-1/2</t>
  </si>
  <si>
    <t xml:space="preserve">AP-1/2X5-1/2</t>
  </si>
  <si>
    <t xml:space="preserve">1/2 x 5-1/2</t>
  </si>
  <si>
    <t xml:space="preserve">AP-1/2X7-1/4</t>
  </si>
  <si>
    <t xml:space="preserve">1/2 x 7-1/4</t>
  </si>
  <si>
    <t xml:space="preserve">AP-1/4X1-1/2</t>
  </si>
  <si>
    <t xml:space="preserve">1/4 x 1-1/2</t>
  </si>
  <si>
    <t xml:space="preserve">AP-1/4X2-1/2</t>
  </si>
  <si>
    <t xml:space="preserve">1/4 x 2-1/2</t>
  </si>
  <si>
    <t xml:space="preserve">AP-1/4X3/4</t>
  </si>
  <si>
    <t xml:space="preserve">AP-1/4X3-1/2</t>
  </si>
  <si>
    <t xml:space="preserve">1/4 x 3-1/2</t>
  </si>
  <si>
    <t xml:space="preserve">AP-1/4X5-1/2</t>
  </si>
  <si>
    <t xml:space="preserve">1/4 x 5-1/2</t>
  </si>
  <si>
    <t xml:space="preserve">AP-1-1/4X2-1/2</t>
  </si>
  <si>
    <t xml:space="preserve">1-1/4 x 2-1/2</t>
  </si>
  <si>
    <t xml:space="preserve">AP-1-1/4X3-1/2</t>
  </si>
  <si>
    <t xml:space="preserve">1-1/4 x 3-1/2</t>
  </si>
  <si>
    <t xml:space="preserve">AP-1-1/4X5-1/2</t>
  </si>
  <si>
    <t xml:space="preserve">1-1/4 x 5-1/2</t>
  </si>
  <si>
    <t xml:space="preserve">AP-1-1/4X7-1/4</t>
  </si>
  <si>
    <t xml:space="preserve">1-1/4 x 7-1/4</t>
  </si>
  <si>
    <t xml:space="preserve">AP-1-5/8X11-1/4</t>
  </si>
  <si>
    <t xml:space="preserve">1-5/8 x 11-1/4</t>
  </si>
  <si>
    <t xml:space="preserve">AP-1-5/8X1-5/8</t>
  </si>
  <si>
    <t xml:space="preserve">AP-1-5/8X2-1/2</t>
  </si>
  <si>
    <t xml:space="preserve">1-5/8 x 2-1/2</t>
  </si>
  <si>
    <t xml:space="preserve">AP-1-5/8X3-1/2</t>
  </si>
  <si>
    <t xml:space="preserve">1-5/8 x 3-1/2</t>
  </si>
  <si>
    <t xml:space="preserve">AP-1-5/8X5-1/2</t>
  </si>
  <si>
    <t xml:space="preserve">1-5/8 x 5-1/2</t>
  </si>
  <si>
    <t xml:space="preserve">AP-1-5/8X7-1/4</t>
  </si>
  <si>
    <t xml:space="preserve">1-5/8 x 7-1/4</t>
  </si>
  <si>
    <t xml:space="preserve">AP-1-5/8X9-1/4</t>
  </si>
  <si>
    <t xml:space="preserve">1-5/8 x 9-1/4</t>
  </si>
  <si>
    <t xml:space="preserve">AP-1X1</t>
  </si>
  <si>
    <t xml:space="preserve">1 x 1</t>
  </si>
  <si>
    <t xml:space="preserve">AP-3/4X1-1/2</t>
  </si>
  <si>
    <t xml:space="preserve">AP-3/4X1-1/2-FJ-PRIMED</t>
  </si>
  <si>
    <t xml:space="preserve">FJAP</t>
  </si>
  <si>
    <t xml:space="preserve">Finger-joint</t>
  </si>
  <si>
    <t xml:space="preserve">AP-3/4X11-1/4</t>
  </si>
  <si>
    <t xml:space="preserve">3/4 x 11-1/4</t>
  </si>
  <si>
    <t xml:space="preserve">AP-3/4X2-1/2</t>
  </si>
  <si>
    <t xml:space="preserve">AP-3/4X2-1/2-FJ-PRIMED</t>
  </si>
  <si>
    <t xml:space="preserve">AP-3/4X3/4</t>
  </si>
  <si>
    <t xml:space="preserve">AP-3/4X3-1/2</t>
  </si>
  <si>
    <t xml:space="preserve">AP-3/4X3-1/2-FJ-PRIMED</t>
  </si>
  <si>
    <t xml:space="preserve">AP-3/4X4-5/8</t>
  </si>
  <si>
    <t xml:space="preserve">3/4 x 4-5/8</t>
  </si>
  <si>
    <t xml:space="preserve">AP-3/4X5-1/2</t>
  </si>
  <si>
    <t xml:space="preserve">AP-3/4X5-1/2-FJ-PRIMED</t>
  </si>
  <si>
    <t xml:space="preserve">AP-3/4X7-1/4</t>
  </si>
  <si>
    <t xml:space="preserve">AP-3/4X7-1/4-FJ-PRIMED</t>
  </si>
  <si>
    <t xml:space="preserve">AP-3/4X9-1/4</t>
  </si>
  <si>
    <t xml:space="preserve">3/4 x 9-1/4</t>
  </si>
  <si>
    <t xml:space="preserve">AP-3/4X9-1/4-FJ-PRIMED</t>
  </si>
  <si>
    <t xml:space="preserve">AP-5/16X1-3/4</t>
  </si>
  <si>
    <t xml:space="preserve">5/16 x 1-3/4</t>
  </si>
  <si>
    <t xml:space="preserve">AP-5/16X1-5/16</t>
  </si>
  <si>
    <t xml:space="preserve">5/16 x 1-5/16</t>
  </si>
  <si>
    <t xml:space="preserve">BW-3/4X2-1/2</t>
  </si>
  <si>
    <t xml:space="preserve">HWBW</t>
  </si>
  <si>
    <t xml:space="preserve">BW-3/4X3-1/2</t>
  </si>
  <si>
    <t xml:space="preserve">BW-3/4X5-1/2</t>
  </si>
  <si>
    <t xml:space="preserve">CC-1X10-RWHITE</t>
  </si>
  <si>
    <t xml:space="preserve">NEEDS SUBCATEGORY</t>
  </si>
  <si>
    <t xml:space="preserve">11/16 x 9</t>
  </si>
  <si>
    <t xml:space="preserve">_</t>
  </si>
  <si>
    <t xml:space="preserve">Composite / PVC</t>
  </si>
  <si>
    <t xml:space="preserve">CC-1X2-RWHITE</t>
  </si>
  <si>
    <t xml:space="preserve">11/16 x 1-5/8</t>
  </si>
  <si>
    <t xml:space="preserve">CC-2X4-RWHITE</t>
  </si>
  <si>
    <t xml:space="preserve">CC-2X6-RWHITE</t>
  </si>
  <si>
    <t xml:space="preserve">CC-2X8-RWHITE</t>
  </si>
  <si>
    <t xml:space="preserve">1-1/4 x 7</t>
  </si>
  <si>
    <t xml:space="preserve">CC-CROWNPT-RWHITE</t>
  </si>
  <si>
    <t xml:space="preserve">CC-STRAPPING-R</t>
  </si>
  <si>
    <t xml:space="preserve">1 x 2-1/8</t>
  </si>
  <si>
    <t xml:space="preserve">CE-11/16X3-1/2</t>
  </si>
  <si>
    <t xml:space="preserve">Cedar</t>
  </si>
  <si>
    <t xml:space="preserve">11/16 x 3-1/2</t>
  </si>
  <si>
    <t xml:space="preserve">SWCE</t>
  </si>
  <si>
    <t xml:space="preserve">Softwood</t>
  </si>
  <si>
    <t xml:space="preserve">CE-11/16X5-1/2</t>
  </si>
  <si>
    <t xml:space="preserve">11/16 x 5-1/2</t>
  </si>
  <si>
    <t xml:space="preserve">CE-11/16X7-1/4</t>
  </si>
  <si>
    <t xml:space="preserve">CE-1-1/2X3-1/2</t>
  </si>
  <si>
    <t xml:space="preserve">1-1/2 x 3-1/2</t>
  </si>
  <si>
    <t xml:space="preserve">CE-1-1/2X5-1/2</t>
  </si>
  <si>
    <t xml:space="preserve">1-1/2 x 5-1/2</t>
  </si>
  <si>
    <t xml:space="preserve">DF-1-1/2X5-1/2</t>
  </si>
  <si>
    <t xml:space="preserve">2 x 6</t>
  </si>
  <si>
    <t xml:space="preserve">SWDF</t>
  </si>
  <si>
    <t xml:space="preserve">DF-3/4X3-1/2</t>
  </si>
  <si>
    <t xml:space="preserve">DF-3/4X5-1/2</t>
  </si>
  <si>
    <t xml:space="preserve">DF-3/4X7-1/4</t>
  </si>
  <si>
    <t xml:space="preserve">HM-1/2X1-1/2</t>
  </si>
  <si>
    <t xml:space="preserve">HWHM</t>
  </si>
  <si>
    <t xml:space="preserve">HM-1/2X2-1/2</t>
  </si>
  <si>
    <t xml:space="preserve">HM-1/2X3-1/2</t>
  </si>
  <si>
    <t xml:space="preserve">HM-1/2X5-1/2</t>
  </si>
  <si>
    <t xml:space="preserve">HM-1/4X2-1/2</t>
  </si>
  <si>
    <t xml:space="preserve">HM-1/4X3/4</t>
  </si>
  <si>
    <t xml:space="preserve">HM-1/4X3-1/2</t>
  </si>
  <si>
    <t xml:space="preserve">HM-1-5/8X2-1/2</t>
  </si>
  <si>
    <t xml:space="preserve">HM-1-5/8X3-1/2</t>
  </si>
  <si>
    <t xml:space="preserve">HM-1-5/8X5-1/2</t>
  </si>
  <si>
    <t xml:space="preserve">HM-3/4X1-1/2</t>
  </si>
  <si>
    <t xml:space="preserve">HM-3/4X2-1/2</t>
  </si>
  <si>
    <t xml:space="preserve">HM-3/4X3-1/2</t>
  </si>
  <si>
    <t xml:space="preserve">HM-3/4X4-5/8</t>
  </si>
  <si>
    <t xml:space="preserve">HM-3/4X5-1/2</t>
  </si>
  <si>
    <t xml:space="preserve">HM-3/4X7-1/4</t>
  </si>
  <si>
    <t xml:space="preserve">HM-3/4X9-1/4</t>
  </si>
  <si>
    <t xml:space="preserve">JAM-600-WP-FJ-PRIMED</t>
  </si>
  <si>
    <t xml:space="preserve">11/16 x 6-5/8</t>
  </si>
  <si>
    <t xml:space="preserve">FJWP</t>
  </si>
  <si>
    <t xml:space="preserve">KP-1-5/8X1-5/8</t>
  </si>
  <si>
    <t xml:space="preserve">Knotty Pine</t>
  </si>
  <si>
    <t xml:space="preserve">SWKP</t>
  </si>
  <si>
    <t xml:space="preserve">KP-3/4X11-1/4</t>
  </si>
  <si>
    <t xml:space="preserve">KP-3/4X3-1/2</t>
  </si>
  <si>
    <t xml:space="preserve">KP-3/4X4-5/8</t>
  </si>
  <si>
    <t xml:space="preserve">KP-3/4X5-1/2</t>
  </si>
  <si>
    <t xml:space="preserve">KP-3/4X7-1/4</t>
  </si>
  <si>
    <t xml:space="preserve">KP-3/4X9-1/4</t>
  </si>
  <si>
    <t xml:space="preserve">MDF-5/8X5-1/2</t>
  </si>
  <si>
    <t xml:space="preserve">5/8 x 5-3/8</t>
  </si>
  <si>
    <t xml:space="preserve">RO-1/2X1-1/2</t>
  </si>
  <si>
    <t xml:space="preserve">HWRO</t>
  </si>
  <si>
    <t xml:space="preserve">RO-1/2X2-1/2</t>
  </si>
  <si>
    <t xml:space="preserve">RO-1/2X3/4</t>
  </si>
  <si>
    <t xml:space="preserve">RO-1/2X3-1/2</t>
  </si>
  <si>
    <t xml:space="preserve">RO-1/2X5-1/2</t>
  </si>
  <si>
    <t xml:space="preserve">RO-1/2X7-1/4</t>
  </si>
  <si>
    <t xml:space="preserve">RO-1/4X2-1/2</t>
  </si>
  <si>
    <t xml:space="preserve">RO-1/4X3/4</t>
  </si>
  <si>
    <t xml:space="preserve">RO-1/4X3-1/2</t>
  </si>
  <si>
    <t xml:space="preserve">RO-1/4X5-1/2</t>
  </si>
  <si>
    <t xml:space="preserve">RO-1-5/8X11-1/4</t>
  </si>
  <si>
    <t xml:space="preserve">RO-1-5/8X1-5/8</t>
  </si>
  <si>
    <t xml:space="preserve">RO-1-5/8X2-1/2</t>
  </si>
  <si>
    <t xml:space="preserve">RO-1-5/8X3-1/2</t>
  </si>
  <si>
    <t xml:space="preserve">RO-1-5/8X5-1/2</t>
  </si>
  <si>
    <t xml:space="preserve">RO-1-5/8X7-1/4</t>
  </si>
  <si>
    <t xml:space="preserve">RO-1-5/8X9-1/4</t>
  </si>
  <si>
    <t xml:space="preserve">RO-3/4X1-1/2</t>
  </si>
  <si>
    <t xml:space="preserve">RO-3/4X11-1/4</t>
  </si>
  <si>
    <t xml:space="preserve">RO-3/4X2</t>
  </si>
  <si>
    <t xml:space="preserve">3/4 x 2</t>
  </si>
  <si>
    <t xml:space="preserve">RO-3/4X2-1/2</t>
  </si>
  <si>
    <t xml:space="preserve">RO-3/4X3-1/2</t>
  </si>
  <si>
    <t xml:space="preserve">RO-3/4X4-5/8</t>
  </si>
  <si>
    <t xml:space="preserve">RO-3/4X5-1/2</t>
  </si>
  <si>
    <t xml:space="preserve">RO-3/4X7-1/4</t>
  </si>
  <si>
    <t xml:space="preserve">RO-3/4X9-1/4</t>
  </si>
  <si>
    <t xml:space="preserve">RO-5/16X1-3/4</t>
  </si>
  <si>
    <t xml:space="preserve">RO-5/16X1-5/16</t>
  </si>
  <si>
    <t xml:space="preserve">SM-1X2</t>
  </si>
  <si>
    <t xml:space="preserve">Soft Maple</t>
  </si>
  <si>
    <t xml:space="preserve">1 x 2</t>
  </si>
  <si>
    <t xml:space="preserve">HWSM</t>
  </si>
  <si>
    <t xml:space="preserve">VM-3/4X2-1/2</t>
  </si>
  <si>
    <t xml:space="preserve">HWBM</t>
  </si>
  <si>
    <t xml:space="preserve">VM-3/4X3-1/2</t>
  </si>
  <si>
    <t xml:space="preserve">VM-3/4X4-5/8</t>
  </si>
  <si>
    <t xml:space="preserve">VM-3/4X5-1/2</t>
  </si>
  <si>
    <t xml:space="preserve">VM-3/4X7-1/4</t>
  </si>
  <si>
    <t xml:space="preserve">WO-1/2X1-1/2</t>
  </si>
  <si>
    <t xml:space="preserve">HWWO</t>
  </si>
  <si>
    <t xml:space="preserve">WO-1/2X2-1/2</t>
  </si>
  <si>
    <t xml:space="preserve">WO-1/4X1-1/2</t>
  </si>
  <si>
    <t xml:space="preserve">WO-2-1/4X11-1/4</t>
  </si>
  <si>
    <t xml:space="preserve">2-1/4 x 11-1/4</t>
  </si>
  <si>
    <t xml:space="preserve">WO-3/4X1-1/2</t>
  </si>
  <si>
    <t xml:space="preserve">WO-3/4X2</t>
  </si>
  <si>
    <t xml:space="preserve">WO-3/4X2-1/2</t>
  </si>
  <si>
    <t xml:space="preserve">WO-3/4X3/4</t>
  </si>
  <si>
    <t xml:space="preserve">WO-3/4X3-1/2</t>
  </si>
  <si>
    <t xml:space="preserve">WO-3/4X4-5/8</t>
  </si>
  <si>
    <t xml:space="preserve">WO-3/4X5-1/2</t>
  </si>
  <si>
    <t xml:space="preserve">WO-3/4X6-5/8</t>
  </si>
  <si>
    <t xml:space="preserve">3/4 x 6-5/8</t>
  </si>
  <si>
    <t xml:space="preserve">WO-3/4X7-1/4</t>
  </si>
  <si>
    <t xml:space="preserve">WP-1/2X1-1/2</t>
  </si>
  <si>
    <t xml:space="preserve">White Pine</t>
  </si>
  <si>
    <t xml:space="preserve">SWWP</t>
  </si>
  <si>
    <t xml:space="preserve">WP-1/2X2-1/2</t>
  </si>
  <si>
    <t xml:space="preserve">WP-1/2X3-1/2</t>
  </si>
  <si>
    <t xml:space="preserve">WP-1/2X3-1/2-FJ-PRIMED</t>
  </si>
  <si>
    <t xml:space="preserve">WP-1/2X4-1/2-FJ-PRIMED</t>
  </si>
  <si>
    <t xml:space="preserve">1/2 x 4-1/2</t>
  </si>
  <si>
    <t xml:space="preserve">WP-1/2X5-1/2</t>
  </si>
  <si>
    <t xml:space="preserve">WP-1-3/8X3-1/2</t>
  </si>
  <si>
    <t xml:space="preserve">1-3/8 x 3-1/2</t>
  </si>
  <si>
    <t xml:space="preserve">WP-1-3/8X5-1/2</t>
  </si>
  <si>
    <t xml:space="preserve">1-3/8 x 5-1/2</t>
  </si>
  <si>
    <t xml:space="preserve">WP-1-3/8X7-1/4</t>
  </si>
  <si>
    <t xml:space="preserve">1-3/8 x 7-1/4</t>
  </si>
  <si>
    <t xml:space="preserve">WP-1-3/8X9-1/4</t>
  </si>
  <si>
    <t xml:space="preserve">1-3/8 x 9-1/4</t>
  </si>
  <si>
    <t xml:space="preserve">WP-3/4X1-1/2</t>
  </si>
  <si>
    <t xml:space="preserve">WP-3/4X11-1/4</t>
  </si>
  <si>
    <t xml:space="preserve">WP-3/4X2-1/2</t>
  </si>
  <si>
    <t xml:space="preserve">WP-3/4X3-1/2</t>
  </si>
  <si>
    <t xml:space="preserve">WP-3/4X4-5/8</t>
  </si>
  <si>
    <t xml:space="preserve">WP-3/4X5-1/2</t>
  </si>
  <si>
    <t xml:space="preserve">WP-3/4X7-1/4</t>
  </si>
  <si>
    <t xml:space="preserve">WP-3/4X9-1/4</t>
  </si>
  <si>
    <t xml:space="preserve">WP-4-1/4X4-1/4</t>
  </si>
  <si>
    <t xml:space="preserve">4-1/4 x 4-1/4</t>
  </si>
  <si>
    <t xml:space="preserve">WP-5/16X1-5/16</t>
  </si>
  <si>
    <t xml:space="preserve">product_count</t>
  </si>
  <si>
    <t xml:space="preserve">species_proposed</t>
  </si>
  <si>
    <t xml:space="preserve">construction_proposed</t>
  </si>
  <si>
    <t xml:space="preserve">finish_proposed</t>
  </si>
  <si>
    <t xml:space="preserve">status</t>
  </si>
  <si>
    <t xml:space="preserve">GENERIC "wood" - species unknown, needs review</t>
  </si>
  <si>
    <t xml:space="preserve">Construction only - species unknown, needs review</t>
  </si>
  <si>
    <t xml:space="preserve">MISSING</t>
  </si>
  <si>
    <t xml:space="preserve">UNMAPPED: Satin Nickel</t>
  </si>
  <si>
    <t xml:space="preserve">UNMAPPED: Satin Nickel Finish</t>
  </si>
  <si>
    <t xml:space="preserve">ERP part classes — added Aug 2026</t>
  </si>
  <si>
    <t xml:space="preserve">n/a — Stair component class, not a species</t>
  </si>
  <si>
    <t xml:space="preserve">n/a — Sheet goods / veneer class, not a species</t>
  </si>
  <si>
    <t xml:space="preserve">Proposed — Inferred from FJAP; Poplar is the commonest species in this audit</t>
  </si>
  <si>
    <t xml:space="preserve">High — EDG-RO reads "Edging Oak"; Red Oak already used in this audit</t>
  </si>
  <si>
    <t xml:space="preserve">High — 5 descriptions say "Pine"; WP = white pine</t>
  </si>
  <si>
    <t xml:space="preserve">High — EDG-HM reads "Iron On Edging Maple"; HM = hard maple</t>
  </si>
  <si>
    <t xml:space="preserve">Confirmed — Descriptions say "White Oak" (11 of 13)</t>
  </si>
  <si>
    <t xml:space="preserve">Confirmed — Cape Cod Rail White dimensioned trimboard; class blank in the ERP</t>
  </si>
  <si>
    <t xml:space="preserve">High — KP = knotty pine (trade standard)</t>
  </si>
  <si>
    <t xml:space="preserve">Proposed — Descriptions say "Primed"; poplar inferred</t>
  </si>
  <si>
    <t xml:space="preserve">High — CE = cedar (trade standard)</t>
  </si>
  <si>
    <t xml:space="preserve">UNKNOWN — PLEASE CONFIRM — class says HWBM but part ids start VM, descriptions say only "D4s"</t>
  </si>
  <si>
    <t xml:space="preserve">Confirmed — Description says "Douglas Fir Dressed Boards"</t>
  </si>
  <si>
    <t xml:space="preserve">Confirmed — EDG-BW-50 reads "Iron On Edging Walnut"</t>
  </si>
  <si>
    <t xml:space="preserve">High — Descriptions say "Pine FJ Primed"</t>
  </si>
  <si>
    <t xml:space="preserve">Confirmed — Description says "Primed Mdf S4S"</t>
  </si>
  <si>
    <t xml:space="preserve">Confirmed — Description says "Soft Maple Hardwood"</t>
  </si>
  <si>
    <t xml:space="preserve">from_url</t>
  </si>
  <si>
    <t xml:space="preserve">to_url</t>
  </si>
  <si>
    <t xml:space="preserve">note</t>
  </si>
  <si>
    <t xml:space="preserve">/trim-doors-catalogue/</t>
  </si>
  <si>
    <t xml:space="preserve">/products/</t>
  </si>
  <si>
    <t xml:space="preserve">301</t>
  </si>
  <si>
    <t xml:space="preserve">Main catalogue hub</t>
  </si>
  <si>
    <t xml:space="preserve">/mouldings/</t>
  </si>
  <si>
    <t xml:space="preserve">/products/trim-mouldings/</t>
  </si>
  <si>
    <t xml:space="preserve">Category</t>
  </si>
  <si>
    <t xml:space="preserve">/interior-doors/</t>
  </si>
  <si>
    <t xml:space="preserve">/products/interior-doors/</t>
  </si>
  <si>
    <t xml:space="preserve">/door-hardware/</t>
  </si>
  <si>
    <t xml:space="preserve">/products/door-hardware/</t>
  </si>
  <si>
    <t xml:space="preserve">/staircase-parts-accessories/</t>
  </si>
  <si>
    <t xml:space="preserve">/products/stair-railing/</t>
  </si>
  <si>
    <t xml:space="preserve">4 stair categories consolidated (48 products)</t>
  </si>
  <si>
    <t xml:space="preserve">/dimensional-flatstock-boards/</t>
  </si>
  <si>
    <t xml:space="preserve">/products/flat-stock/</t>
  </si>
  <si>
    <t xml:space="preserve">Phase 4 - approx 144 SKUs still only in a TablePress table</t>
  </si>
  <si>
    <t xml:space="preserve">/trim-doors-catalogue/wood-sheets-4x8-maple-mdf-oak-birch/</t>
  </si>
  <si>
    <t xml:space="preserve">/products/sheet-goods/</t>
  </si>
  <si>
    <t xml:space="preserve">/panelling/</t>
  </si>
  <si>
    <t xml:space="preserve">/products/panelling/</t>
  </si>
  <si>
    <t xml:space="preserve">/wood-siding/</t>
  </si>
  <si>
    <t xml:space="preserve">/products/siding/</t>
  </si>
  <si>
    <t xml:space="preserve">/columns/</t>
  </si>
  <si>
    <t xml:space="preserve">/products/columns/</t>
  </si>
  <si>
    <t xml:space="preserve">/pro-carpentry-supplies/</t>
  </si>
  <si>
    <t xml:space="preserve">/products/carpentry-supplies/</t>
  </si>
  <si>
    <t xml:space="preserve">/products-new/</t>
  </si>
  <si>
    <t xml:space="preserve">Unlinked draft page, modified 25 Jul 2026</t>
  </si>
  <si>
    <t xml:space="preserve">/upcp-product-category/{slug}/</t>
  </si>
  <si>
    <t xml:space="preserve">/products/{category}/ or facet page</t>
  </si>
  <si>
    <t xml:space="preserve">45 URLs - map individually</t>
  </si>
  <si>
    <t xml:space="preserve">DELETE</t>
  </si>
  <si>
    <t xml:space="preserve">Existing rule points to /trim-doors-catalogue/. LOOP RISK at cutover.</t>
  </si>
  <si>
    <t xml:space="preserve">/doors/</t>
  </si>
  <si>
    <t xml:space="preserve">Existing rule. /doors/product/ is also a legacy product path.</t>
  </si>
  <si>
    <t xml:space="preserve">/dimensional-lumber/</t>
  </si>
  <si>
    <t xml:space="preserve">FLATTEN</t>
  </si>
  <si>
    <t xml:space="preserve">Currently chains via /dimensional-flatstock-boards/. Point straight at final target.</t>
  </si>
  <si>
    <t xml:space="preserve">New from the ERP lists — Aug 2026</t>
  </si>
</sst>
</file>

<file path=xl/styles.xml><?xml version="1.0" encoding="utf-8"?>
<styleSheet xmlns="http://schemas.openxmlformats.org/spreadsheetml/2006/main">
  <numFmts count="1">
    <numFmt numFmtId="164" formatCode="General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b val="true"/>
      <sz val="16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6B3FA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6B3FA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10"/>
      <color rgb="FF1F5C2E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FFFFFF"/>
      <name val="Arial"/>
      <family val="0"/>
      <charset val="1"/>
    </font>
    <font>
      <strike val="true"/>
      <sz val="10"/>
      <color theme="1"/>
      <name val="Arial"/>
      <family val="0"/>
      <charset val="1"/>
    </font>
    <font>
      <b val="true"/>
      <strike val="true"/>
      <sz val="10"/>
      <color rgb="FF1F5C2E"/>
      <name val="Arial"/>
      <family val="0"/>
      <charset val="1"/>
    </font>
    <font>
      <b val="true"/>
      <strike val="true"/>
      <sz val="10"/>
      <color theme="1"/>
      <name val="Arial"/>
      <family val="0"/>
      <charset val="1"/>
    </font>
    <font>
      <strike val="true"/>
      <sz val="9"/>
      <color theme="1"/>
      <name val="Arial"/>
      <family val="0"/>
      <charset val="1"/>
    </font>
    <font>
      <strike val="true"/>
      <sz val="11"/>
      <color theme="1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DEBF7"/>
        <bgColor rgb="FFE3F1F1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E4"/>
      </patternFill>
    </fill>
    <fill>
      <patternFill patternType="solid">
        <fgColor rgb="FF1F3864"/>
        <bgColor rgb="FF1F5C2E"/>
      </patternFill>
    </fill>
    <fill>
      <patternFill patternType="solid">
        <fgColor rgb="FFBF8F00"/>
        <bgColor rgb="FF808000"/>
      </patternFill>
    </fill>
    <fill>
      <patternFill patternType="solid">
        <fgColor rgb="FF1F6F6F"/>
        <bgColor rgb="FF008080"/>
      </patternFill>
    </fill>
    <fill>
      <patternFill patternType="solid">
        <fgColor rgb="FF6B3FA0"/>
        <bgColor rgb="FF595959"/>
      </patternFill>
    </fill>
    <fill>
      <patternFill patternType="solid">
        <fgColor rgb="FFF2F5FA"/>
        <bgColor rgb="FFE9F2E9"/>
      </patternFill>
    </fill>
    <fill>
      <patternFill patternType="solid">
        <fgColor rgb="FFE9F2E9"/>
        <bgColor rgb="FFE3F1F1"/>
      </patternFill>
    </fill>
    <fill>
      <patternFill patternType="solid">
        <fgColor rgb="FFE3F1F1"/>
        <bgColor rgb="FFE9F2E9"/>
      </patternFill>
    </fill>
    <fill>
      <patternFill patternType="solid">
        <fgColor rgb="FFE2EFDA"/>
        <bgColor rgb="FFE9F2E9"/>
      </patternFill>
    </fill>
    <fill>
      <patternFill patternType="solid">
        <fgColor rgb="FFFCE4E4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E9F2E9"/>
          <bgColor rgb="FF000000"/>
        </patternFill>
      </fill>
    </dxf>
    <dxf>
      <fill>
        <patternFill patternType="solid">
          <fgColor rgb="FF1F5C2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6F6F"/>
          <bgColor rgb="FF000000"/>
        </patternFill>
      </fill>
    </dxf>
    <dxf>
      <fill>
        <patternFill patternType="solid">
          <fgColor rgb="FFE3F1F1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6F6F"/>
      <rgbColor rgb="FFBFBFBF"/>
      <rgbColor rgb="FF808080"/>
      <rgbColor rgb="FF9999FF"/>
      <rgbColor rgb="FF993366"/>
      <rgbColor rgb="FFFFF2CC"/>
      <rgbColor rgb="FFE3F1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CE4D6"/>
      <rgbColor rgb="FFE9F2E9"/>
      <rgbColor rgb="FFFCE4E4"/>
      <rgbColor rgb="FFF2F5FA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6B3FA0"/>
      <rgbColor rgb="FF1F5C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86"/>
    <col collapsed="false" customWidth="true" hidden="false" outlineLevel="0" max="6" min="4" style="0" width="8.71"/>
  </cols>
  <sheetData>
    <row r="1" customFormat="false" ht="19.7" hidden="false" customHeight="false" outlineLevel="0" collapsed="false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35.05" hidden="false" customHeight="false" outlineLevel="0" collapsed="false">
      <c r="A2" s="5" t="s">
        <v>1</v>
      </c>
      <c r="B2" s="6"/>
      <c r="C2" s="3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6.15" hidden="false" customHeight="false" outlineLevel="0" collapsed="false">
      <c r="A4" s="7" t="s">
        <v>3</v>
      </c>
      <c r="B4" s="8"/>
      <c r="C4" s="9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10" t="s">
        <v>5</v>
      </c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5.05" hidden="false" customHeight="false" outlineLevel="0" collapsed="false">
      <c r="A9" s="5" t="s">
        <v>6</v>
      </c>
      <c r="B9" s="6"/>
      <c r="C9" s="3" t="s">
        <v>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12" t="s">
        <v>8</v>
      </c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false" outlineLevel="0" collapsed="false">
      <c r="A12" s="13" t="s">
        <v>9</v>
      </c>
      <c r="B12" s="6" t="s">
        <v>10</v>
      </c>
      <c r="C12" s="14" t="s">
        <v>11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false" outlineLevel="0" collapsed="false">
      <c r="A13" s="13" t="s">
        <v>12</v>
      </c>
      <c r="B13" s="6" t="s">
        <v>13</v>
      </c>
      <c r="C13" s="14" t="s">
        <v>14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false" outlineLevel="0" collapsed="false">
      <c r="A14" s="13" t="s">
        <v>15</v>
      </c>
      <c r="B14" s="6" t="s">
        <v>16</v>
      </c>
      <c r="C14" s="14" t="s">
        <v>17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13" t="s">
        <v>18</v>
      </c>
      <c r="B15" s="6" t="s">
        <v>19</v>
      </c>
      <c r="C15" s="14" t="s">
        <v>20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false" outlineLevel="0" collapsed="false">
      <c r="A16" s="13" t="s">
        <v>21</v>
      </c>
      <c r="B16" s="6" t="s">
        <v>22</v>
      </c>
      <c r="C16" s="14" t="s">
        <v>23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13" t="s">
        <v>24</v>
      </c>
      <c r="B17" s="6" t="s">
        <v>25</v>
      </c>
      <c r="C17" s="14" t="s">
        <v>26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13" t="s">
        <v>27</v>
      </c>
      <c r="B18" s="6" t="s">
        <v>28</v>
      </c>
      <c r="C18" s="14" t="s">
        <v>29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13" t="s">
        <v>30</v>
      </c>
      <c r="B19" s="6" t="s">
        <v>31</v>
      </c>
      <c r="C19" s="14" t="s">
        <v>32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13" t="s">
        <v>33</v>
      </c>
      <c r="B20" s="6" t="s">
        <v>34</v>
      </c>
      <c r="C20" s="14" t="s">
        <v>35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true" outlineLevel="0" collapsed="false">
      <c r="A22" s="12" t="s">
        <v>36</v>
      </c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true" outlineLevel="0" collapsed="false">
      <c r="A23" s="6" t="s">
        <v>37</v>
      </c>
      <c r="B23" s="4"/>
      <c r="C23" s="3" t="s">
        <v>38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true" outlineLevel="0" collapsed="false">
      <c r="A24" s="6" t="s">
        <v>39</v>
      </c>
      <c r="B24" s="4"/>
      <c r="C24" s="3" t="s">
        <v>40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true" outlineLevel="0" collapsed="false">
      <c r="A25" s="6" t="s">
        <v>41</v>
      </c>
      <c r="B25" s="4"/>
      <c r="C25" s="3" t="s">
        <v>42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true" outlineLevel="0" collapsed="false">
      <c r="A26" s="6" t="s">
        <v>43</v>
      </c>
      <c r="B26" s="4"/>
      <c r="C26" s="3" t="s">
        <v>44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true" outlineLevel="0" collapsed="false">
      <c r="A27" s="6" t="s">
        <v>45</v>
      </c>
      <c r="B27" s="4"/>
      <c r="C27" s="3" t="s">
        <v>46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true" outlineLevel="0" collapsed="false">
      <c r="A29" s="12" t="s">
        <v>47</v>
      </c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true" outlineLevel="0" collapsed="false">
      <c r="A30" s="5" t="s">
        <v>48</v>
      </c>
      <c r="B30" s="6"/>
      <c r="C30" s="3" t="s">
        <v>49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true" outlineLevel="0" collapsed="false">
      <c r="A31" s="5" t="s">
        <v>50</v>
      </c>
      <c r="B31" s="6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true" outlineLevel="0" collapsed="false">
      <c r="A32" s="15" t="s">
        <v>51</v>
      </c>
      <c r="B32" s="15" t="s">
        <v>52</v>
      </c>
      <c r="C32" s="15" t="s">
        <v>53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true" outlineLevel="0" collapsed="false">
      <c r="A34" s="12" t="s">
        <v>54</v>
      </c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true" outlineLevel="0" collapsed="false">
      <c r="A35" s="13" t="s">
        <v>55</v>
      </c>
      <c r="B35" s="4"/>
      <c r="C35" s="3" t="s">
        <v>56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true" outlineLevel="0" collapsed="false">
      <c r="A36" s="13" t="s">
        <v>55</v>
      </c>
      <c r="B36" s="4"/>
      <c r="C36" s="3" t="s">
        <v>57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true" outlineLevel="0" collapsed="false">
      <c r="A37" s="13" t="s">
        <v>55</v>
      </c>
      <c r="B37" s="4"/>
      <c r="C37" s="3" t="s">
        <v>58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true" outlineLevel="0" collapsed="false">
      <c r="A38" s="13" t="s">
        <v>55</v>
      </c>
      <c r="B38" s="4"/>
      <c r="C38" s="3" t="s">
        <v>59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true" outlineLevel="0" collapsed="false">
      <c r="A39" s="13" t="s">
        <v>55</v>
      </c>
      <c r="B39" s="4"/>
      <c r="C39" s="3" t="s">
        <v>60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true" outlineLevel="0" collapsed="false">
      <c r="A40" s="13" t="s">
        <v>55</v>
      </c>
      <c r="B40" s="4"/>
      <c r="C40" s="3" t="s">
        <v>61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true" outlineLevel="0" collapsed="false">
      <c r="A41" s="13" t="s">
        <v>55</v>
      </c>
      <c r="B41" s="4"/>
      <c r="C41" s="3" t="s">
        <v>62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true" outlineLevel="0" collapsed="false">
      <c r="A42" s="13" t="s">
        <v>55</v>
      </c>
      <c r="B42" s="4"/>
      <c r="C42" s="3" t="s">
        <v>63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true" outlineLevel="0" collapsed="false">
      <c r="A45" s="16" t="s">
        <v>64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true" outlineLevel="0" collapsed="false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true" outlineLevel="0" collapsed="false">
      <c r="A47" s="5" t="s">
        <v>65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true" outlineLevel="0" collapsed="false">
      <c r="A48" s="5" t="s">
        <v>66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true" outlineLevel="0" collapsed="false">
      <c r="A49" s="5" t="s">
        <v>67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true" outlineLevel="0" collapsed="false">
      <c r="A50" s="5" t="s">
        <v>68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true" outlineLevel="0" collapsed="false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true" outlineLevel="0" collapsed="false">
      <c r="A52" s="5" t="s">
        <v>69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true" outlineLevel="0" collapsed="false">
      <c r="A53" s="5" t="s">
        <v>70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true" outlineLevel="0" collapsed="false">
      <c r="A54" s="5" t="s">
        <v>71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true" outlineLevel="0" collapsed="false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true" outlineLevel="0" collapsed="false">
      <c r="A56" s="16" t="s">
        <v>72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true" outlineLevel="0" collapsed="false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true" outlineLevel="0" collapsed="false">
      <c r="A58" s="17" t="s">
        <v>73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true" outlineLevel="0" collapsed="false">
      <c r="A59" s="18" t="s">
        <v>74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true" outlineLevel="0" collapsed="false">
      <c r="A60" s="19" t="s">
        <v>75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true" outlineLevel="0" collapsed="false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true" outlineLevel="0" collapsed="false">
      <c r="A62" s="16" t="s">
        <v>76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5" t="s">
        <v>77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5" t="s">
        <v>78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5" t="s">
        <v>79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5" t="s">
        <v>80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5" t="s">
        <v>81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5" t="s">
        <v>82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5" t="s">
        <v>83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5" t="s">
        <v>84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5" t="s">
        <v>85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5" t="s">
        <v>86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5" t="s">
        <v>87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5" t="s">
        <v>88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5" t="s">
        <v>89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5" t="s">
        <v>90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16" t="s">
        <v>91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5" t="s">
        <v>92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5" t="s">
        <v>93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5" t="s">
        <v>94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5" t="s">
        <v>95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5" t="s">
        <v>96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5" t="s">
        <v>97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G6" activeCellId="0" sqref="G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30"/>
    <col collapsed="false" customWidth="true" hidden="false" outlineLevel="0" max="21" min="7" style="0" width="4.57"/>
    <col collapsed="false" customWidth="true" hidden="false" outlineLevel="0" max="22" min="22" style="0" width="14"/>
    <col collapsed="false" customWidth="true" hidden="false" outlineLevel="0" max="23" min="23" style="0" width="20"/>
    <col collapsed="false" customWidth="true" hidden="false" outlineLevel="0" max="26" min="24" style="0" width="7.5"/>
    <col collapsed="false" customWidth="true" hidden="true" outlineLevel="0" max="27" min="27" style="0" width="2"/>
  </cols>
  <sheetData>
    <row r="1" customFormat="false" ht="16.15" hidden="false" customHeight="false" outlineLevel="0" collapsed="false">
      <c r="A1" s="20" t="s">
        <v>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6" t="s">
        <v>99</v>
      </c>
      <c r="W1" s="4"/>
      <c r="X1" s="21" t="s">
        <v>100</v>
      </c>
      <c r="AA1" s="4"/>
    </row>
    <row r="2" customFormat="false" ht="30" hidden="false" customHeight="true" outlineLevel="0" collapsed="false">
      <c r="A2" s="22" t="s">
        <v>101</v>
      </c>
      <c r="B2" s="22"/>
      <c r="C2" s="22"/>
      <c r="D2" s="22"/>
      <c r="E2" s="22"/>
      <c r="F2" s="2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23" t="s">
        <v>102</v>
      </c>
      <c r="W2" s="24" t="n">
        <f aca="false">COUNTIF(F6:F454,"")</f>
        <v>430</v>
      </c>
      <c r="X2" s="23" t="s">
        <v>103</v>
      </c>
      <c r="Z2" s="25" t="n">
        <f aca="false">COUNTA(X6:X454)</f>
        <v>0</v>
      </c>
      <c r="AA2" s="4"/>
    </row>
    <row r="3" customFormat="false" ht="15" hidden="false" customHeight="false" outlineLevel="0" collapsed="false">
      <c r="A3" s="26" t="s">
        <v>104</v>
      </c>
      <c r="B3" s="26"/>
      <c r="C3" s="26"/>
      <c r="D3" s="26"/>
      <c r="E3" s="26"/>
      <c r="F3" s="2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3" t="s">
        <v>105</v>
      </c>
      <c r="W3" s="24" t="n">
        <f aca="false">449-COUNTIF(F6:F454,"")</f>
        <v>19</v>
      </c>
      <c r="X3" s="23" t="s">
        <v>106</v>
      </c>
      <c r="Z3" s="25" t="n">
        <f aca="false">COUNTA(Y6:Y454)</f>
        <v>0</v>
      </c>
      <c r="AA3" s="4"/>
    </row>
    <row r="4" customFormat="false" ht="13.5" hidden="false" customHeight="true" outlineLevel="0" collapsed="false">
      <c r="A4" s="21" t="s">
        <v>107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23" t="s">
        <v>108</v>
      </c>
      <c r="W4" s="24" t="n">
        <f aca="false">COUNTA(S6:S454)</f>
        <v>5</v>
      </c>
      <c r="X4" s="23" t="s">
        <v>109</v>
      </c>
      <c r="Z4" s="25" t="n">
        <f aca="false">COUNTA(Z6:Z454)</f>
        <v>0</v>
      </c>
      <c r="AA4" s="4"/>
    </row>
    <row r="5" customFormat="false" ht="96" hidden="false" customHeight="true" outlineLevel="0" collapsed="false">
      <c r="A5" s="27" t="s">
        <v>110</v>
      </c>
      <c r="B5" s="27" t="s">
        <v>111</v>
      </c>
      <c r="C5" s="27" t="s">
        <v>112</v>
      </c>
      <c r="D5" s="27" t="s">
        <v>113</v>
      </c>
      <c r="E5" s="27" t="s">
        <v>114</v>
      </c>
      <c r="F5" s="28" t="s">
        <v>115</v>
      </c>
      <c r="G5" s="29" t="s">
        <v>116</v>
      </c>
      <c r="H5" s="29" t="s">
        <v>117</v>
      </c>
      <c r="I5" s="29" t="s">
        <v>118</v>
      </c>
      <c r="J5" s="29" t="s">
        <v>119</v>
      </c>
      <c r="K5" s="29" t="s">
        <v>120</v>
      </c>
      <c r="L5" s="29" t="s">
        <v>121</v>
      </c>
      <c r="M5" s="29" t="s">
        <v>122</v>
      </c>
      <c r="N5" s="29" t="s">
        <v>123</v>
      </c>
      <c r="O5" s="29" t="s">
        <v>124</v>
      </c>
      <c r="P5" s="29" t="s">
        <v>125</v>
      </c>
      <c r="Q5" s="29" t="s">
        <v>126</v>
      </c>
      <c r="R5" s="29" t="s">
        <v>127</v>
      </c>
      <c r="S5" s="30" t="s">
        <v>128</v>
      </c>
      <c r="T5" s="29" t="s">
        <v>129</v>
      </c>
      <c r="U5" s="29" t="s">
        <v>130</v>
      </c>
      <c r="V5" s="31" t="s">
        <v>131</v>
      </c>
      <c r="W5" s="29" t="s">
        <v>132</v>
      </c>
      <c r="X5" s="32" t="s">
        <v>133</v>
      </c>
      <c r="Y5" s="32" t="s">
        <v>134</v>
      </c>
      <c r="Z5" s="32" t="s">
        <v>135</v>
      </c>
      <c r="AA5" s="33" t="s">
        <v>136</v>
      </c>
    </row>
    <row r="6" customFormat="false" ht="16.5" hidden="false" customHeight="true" outlineLevel="0" collapsed="false">
      <c r="A6" s="34" t="s">
        <v>137</v>
      </c>
      <c r="B6" s="35" t="s">
        <v>138</v>
      </c>
      <c r="C6" s="34" t="s">
        <v>139</v>
      </c>
      <c r="D6" s="34" t="s">
        <v>140</v>
      </c>
      <c r="E6" s="34" t="s">
        <v>141</v>
      </c>
      <c r="F6" s="36" t="str">
        <f aca="false">IF(LEN(AA6)=0,"",LEFT(AA6,LEN(AA6)-1))</f>
        <v>Poplar</v>
      </c>
      <c r="G6" s="37" t="s">
        <v>142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/>
      <c r="T6" s="37"/>
      <c r="U6" s="37"/>
      <c r="V6" s="39"/>
      <c r="W6" s="39"/>
      <c r="X6" s="40"/>
      <c r="Y6" s="41"/>
      <c r="Z6" s="42"/>
      <c r="AA6" s="43" t="str">
        <f aca="false">IF(G6&lt;&gt;"","Poplar|","")&amp;IF(H6&lt;&gt;"","FJ Primed Poplar|","")&amp;IF(I6&lt;&gt;"","FJ Primed Pine|","")&amp;IF(J6&lt;&gt;"","Clear Pine|","")&amp;IF(K6&lt;&gt;"","Primed MDF|","")&amp;IF(L6&lt;&gt;"","White Oak|","")&amp;IF(M6&lt;&gt;"","Red Oak|","")&amp;IF(N6&lt;&gt;"","Hard Maple|","")&amp;IF(O6&lt;&gt;"","Black Walnut|","")&amp;IF(P6&lt;&gt;"","Douglas Fir|","")&amp;IF(Q6&lt;&gt;"","Western Red Cedar|","")&amp;IF(R6&lt;&gt;"","PVC|","")&amp;IF(S6&lt;&gt;"","Flex|","")&amp;IF(T6&lt;&gt;"","Steel|","")&amp;IF(U6&lt;&gt;"","Plastic|","")&amp;IF(V6&lt;&gt;"",V6&amp;"|","")</f>
        <v>Poplar|</v>
      </c>
    </row>
    <row r="7" customFormat="false" ht="16.5" hidden="false" customHeight="true" outlineLevel="0" collapsed="false">
      <c r="A7" s="44" t="s">
        <v>143</v>
      </c>
      <c r="B7" s="45" t="s">
        <v>144</v>
      </c>
      <c r="C7" s="44" t="s">
        <v>145</v>
      </c>
      <c r="D7" s="44" t="s">
        <v>146</v>
      </c>
      <c r="E7" s="44" t="s">
        <v>141</v>
      </c>
      <c r="F7" s="36" t="str">
        <f aca="false">IF(LEN(AA7)=0,"",LEFT(AA7,LEN(AA7)-1))</f>
        <v>Poplar|FJ Primed Poplar|Red Oak|Flex</v>
      </c>
      <c r="G7" s="37" t="s">
        <v>142</v>
      </c>
      <c r="H7" s="37" t="s">
        <v>142</v>
      </c>
      <c r="I7" s="37"/>
      <c r="J7" s="37"/>
      <c r="K7" s="37"/>
      <c r="L7" s="37"/>
      <c r="M7" s="37" t="s">
        <v>142</v>
      </c>
      <c r="N7" s="37"/>
      <c r="O7" s="37"/>
      <c r="P7" s="37"/>
      <c r="Q7" s="37"/>
      <c r="R7" s="37"/>
      <c r="S7" s="38" t="s">
        <v>142</v>
      </c>
      <c r="T7" s="37"/>
      <c r="U7" s="37"/>
      <c r="V7" s="46"/>
      <c r="W7" s="46"/>
      <c r="X7" s="40"/>
      <c r="Y7" s="41"/>
      <c r="Z7" s="42"/>
      <c r="AA7" s="43" t="str">
        <f aca="false">IF(G7&lt;&gt;"","Poplar|","")&amp;IF(H7&lt;&gt;"","FJ Primed Poplar|","")&amp;IF(I7&lt;&gt;"","FJ Primed Pine|","")&amp;IF(J7&lt;&gt;"","Clear Pine|","")&amp;IF(K7&lt;&gt;"","Primed MDF|","")&amp;IF(L7&lt;&gt;"","White Oak|","")&amp;IF(M7&lt;&gt;"","Red Oak|","")&amp;IF(N7&lt;&gt;"","Hard Maple|","")&amp;IF(O7&lt;&gt;"","Black Walnut|","")&amp;IF(P7&lt;&gt;"","Douglas Fir|","")&amp;IF(Q7&lt;&gt;"","Western Red Cedar|","")&amp;IF(R7&lt;&gt;"","PVC|","")&amp;IF(S7&lt;&gt;"","Flex|","")&amp;IF(T7&lt;&gt;"","Steel|","")&amp;IF(U7&lt;&gt;"","Plastic|","")&amp;IF(V7&lt;&gt;"",V7&amp;"|","")</f>
        <v>Poplar|FJ Primed Poplar|Red Oak|Flex|</v>
      </c>
    </row>
    <row r="8" customFormat="false" ht="16.5" hidden="false" customHeight="true" outlineLevel="0" collapsed="false">
      <c r="A8" s="44" t="s">
        <v>147</v>
      </c>
      <c r="B8" s="45" t="s">
        <v>148</v>
      </c>
      <c r="C8" s="44" t="s">
        <v>145</v>
      </c>
      <c r="D8" s="44" t="s">
        <v>149</v>
      </c>
      <c r="E8" s="44" t="s">
        <v>141</v>
      </c>
      <c r="F8" s="36" t="str">
        <f aca="false">IF(LEN(AA8)=0,"",LEFT(AA8,LEN(AA8)-1))</f>
        <v>Poplar|FJ Primed Poplar|Flex</v>
      </c>
      <c r="G8" s="37" t="s">
        <v>142</v>
      </c>
      <c r="H8" s="37" t="s">
        <v>142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8" t="s">
        <v>142</v>
      </c>
      <c r="T8" s="37"/>
      <c r="U8" s="37"/>
      <c r="V8" s="46"/>
      <c r="W8" s="46"/>
      <c r="X8" s="40"/>
      <c r="Y8" s="41"/>
      <c r="Z8" s="42"/>
      <c r="AA8" s="43" t="str">
        <f aca="false">IF(G8&lt;&gt;"","Poplar|","")&amp;IF(H8&lt;&gt;"","FJ Primed Poplar|","")&amp;IF(I8&lt;&gt;"","FJ Primed Pine|","")&amp;IF(J8&lt;&gt;"","Clear Pine|","")&amp;IF(K8&lt;&gt;"","Primed MDF|","")&amp;IF(L8&lt;&gt;"","White Oak|","")&amp;IF(M8&lt;&gt;"","Red Oak|","")&amp;IF(N8&lt;&gt;"","Hard Maple|","")&amp;IF(O8&lt;&gt;"","Black Walnut|","")&amp;IF(P8&lt;&gt;"","Douglas Fir|","")&amp;IF(Q8&lt;&gt;"","Western Red Cedar|","")&amp;IF(R8&lt;&gt;"","PVC|","")&amp;IF(S8&lt;&gt;"","Flex|","")&amp;IF(T8&lt;&gt;"","Steel|","")&amp;IF(U8&lt;&gt;"","Plastic|","")&amp;IF(V8&lt;&gt;"",V8&amp;"|","")</f>
        <v>Poplar|FJ Primed Poplar|Flex|</v>
      </c>
    </row>
    <row r="9" customFormat="false" ht="16.5" hidden="false" customHeight="true" outlineLevel="0" collapsed="false">
      <c r="A9" s="44" t="s">
        <v>150</v>
      </c>
      <c r="B9" s="45" t="s">
        <v>151</v>
      </c>
      <c r="C9" s="44" t="s">
        <v>145</v>
      </c>
      <c r="D9" s="44" t="s">
        <v>146</v>
      </c>
      <c r="E9" s="44" t="s">
        <v>141</v>
      </c>
      <c r="F9" s="36" t="str">
        <f aca="false">IF(LEN(AA9)=0,"",LEFT(AA9,LEN(AA9)-1))</f>
        <v>Poplar|FJ Primed Poplar|Primed MDF|Flex|Pine</v>
      </c>
      <c r="G9" s="37" t="s">
        <v>142</v>
      </c>
      <c r="H9" s="37" t="s">
        <v>142</v>
      </c>
      <c r="I9" s="37"/>
      <c r="J9" s="37"/>
      <c r="K9" s="37" t="s">
        <v>142</v>
      </c>
      <c r="L9" s="37"/>
      <c r="M9" s="37"/>
      <c r="N9" s="37"/>
      <c r="O9" s="37"/>
      <c r="P9" s="37"/>
      <c r="Q9" s="37"/>
      <c r="R9" s="37"/>
      <c r="S9" s="38" t="s">
        <v>142</v>
      </c>
      <c r="T9" s="37"/>
      <c r="U9" s="37"/>
      <c r="V9" s="46" t="s">
        <v>152</v>
      </c>
      <c r="W9" s="46"/>
      <c r="X9" s="40"/>
      <c r="Y9" s="41"/>
      <c r="Z9" s="42"/>
      <c r="AA9" s="43" t="str">
        <f aca="false">IF(G9&lt;&gt;"","Poplar|","")&amp;IF(H9&lt;&gt;"","FJ Primed Poplar|","")&amp;IF(I9&lt;&gt;"","FJ Primed Pine|","")&amp;IF(J9&lt;&gt;"","Clear Pine|","")&amp;IF(K9&lt;&gt;"","Primed MDF|","")&amp;IF(L9&lt;&gt;"","White Oak|","")&amp;IF(M9&lt;&gt;"","Red Oak|","")&amp;IF(N9&lt;&gt;"","Hard Maple|","")&amp;IF(O9&lt;&gt;"","Black Walnut|","")&amp;IF(P9&lt;&gt;"","Douglas Fir|","")&amp;IF(Q9&lt;&gt;"","Western Red Cedar|","")&amp;IF(R9&lt;&gt;"","PVC|","")&amp;IF(S9&lt;&gt;"","Flex|","")&amp;IF(T9&lt;&gt;"","Steel|","")&amp;IF(U9&lt;&gt;"","Plastic|","")&amp;IF(V9&lt;&gt;"",V9&amp;"|","")</f>
        <v>Poplar|FJ Primed Poplar|Primed MDF|Flex|Pine|</v>
      </c>
    </row>
    <row r="10" customFormat="false" ht="16.5" hidden="false" customHeight="true" outlineLevel="0" collapsed="false">
      <c r="A10" s="44" t="s">
        <v>153</v>
      </c>
      <c r="B10" s="45" t="s">
        <v>154</v>
      </c>
      <c r="C10" s="44" t="s">
        <v>145</v>
      </c>
      <c r="D10" s="44" t="s">
        <v>155</v>
      </c>
      <c r="E10" s="44" t="s">
        <v>141</v>
      </c>
      <c r="F10" s="36" t="str">
        <f aca="false">IF(LEN(AA10)=0,"",LEFT(AA10,LEN(AA10)-1))</f>
        <v>Poplar</v>
      </c>
      <c r="G10" s="37" t="s">
        <v>142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8"/>
      <c r="T10" s="37"/>
      <c r="U10" s="37"/>
      <c r="V10" s="46"/>
      <c r="W10" s="46"/>
      <c r="X10" s="40"/>
      <c r="Y10" s="41"/>
      <c r="Z10" s="42"/>
      <c r="AA10" s="43" t="str">
        <f aca="false">IF(G10&lt;&gt;"","Poplar|","")&amp;IF(H10&lt;&gt;"","FJ Primed Poplar|","")&amp;IF(I10&lt;&gt;"","FJ Primed Pine|","")&amp;IF(J10&lt;&gt;"","Clear Pine|","")&amp;IF(K10&lt;&gt;"","Primed MDF|","")&amp;IF(L10&lt;&gt;"","White Oak|","")&amp;IF(M10&lt;&gt;"","Red Oak|","")&amp;IF(N10&lt;&gt;"","Hard Maple|","")&amp;IF(O10&lt;&gt;"","Black Walnut|","")&amp;IF(P10&lt;&gt;"","Douglas Fir|","")&amp;IF(Q10&lt;&gt;"","Western Red Cedar|","")&amp;IF(R10&lt;&gt;"","PVC|","")&amp;IF(S10&lt;&gt;"","Flex|","")&amp;IF(T10&lt;&gt;"","Steel|","")&amp;IF(U10&lt;&gt;"","Plastic|","")&amp;IF(V10&lt;&gt;"",V10&amp;"|","")</f>
        <v>Poplar|</v>
      </c>
    </row>
    <row r="11" customFormat="false" ht="16.5" hidden="false" customHeight="true" outlineLevel="0" collapsed="false">
      <c r="A11" s="44" t="s">
        <v>156</v>
      </c>
      <c r="B11" s="45" t="s">
        <v>157</v>
      </c>
      <c r="C11" s="44" t="s">
        <v>145</v>
      </c>
      <c r="D11" s="44" t="s">
        <v>158</v>
      </c>
      <c r="E11" s="44" t="s">
        <v>141</v>
      </c>
      <c r="F11" s="36" t="str">
        <f aca="false">IF(LEN(AA11)=0,"",LEFT(AA11,LEN(AA11)-1))</f>
        <v>FJ Primed Poplar</v>
      </c>
      <c r="G11" s="37"/>
      <c r="H11" s="37" t="s">
        <v>142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8"/>
      <c r="T11" s="37"/>
      <c r="U11" s="37"/>
      <c r="V11" s="46"/>
      <c r="W11" s="46"/>
      <c r="X11" s="40"/>
      <c r="Y11" s="41"/>
      <c r="Z11" s="42"/>
      <c r="AA11" s="43" t="str">
        <f aca="false">IF(G11&lt;&gt;"","Poplar|","")&amp;IF(H11&lt;&gt;"","FJ Primed Poplar|","")&amp;IF(I11&lt;&gt;"","FJ Primed Pine|","")&amp;IF(J11&lt;&gt;"","Clear Pine|","")&amp;IF(K11&lt;&gt;"","Primed MDF|","")&amp;IF(L11&lt;&gt;"","White Oak|","")&amp;IF(M11&lt;&gt;"","Red Oak|","")&amp;IF(N11&lt;&gt;"","Hard Maple|","")&amp;IF(O11&lt;&gt;"","Black Walnut|","")&amp;IF(P11&lt;&gt;"","Douglas Fir|","")&amp;IF(Q11&lt;&gt;"","Western Red Cedar|","")&amp;IF(R11&lt;&gt;"","PVC|","")&amp;IF(S11&lt;&gt;"","Flex|","")&amp;IF(T11&lt;&gt;"","Steel|","")&amp;IF(U11&lt;&gt;"","Plastic|","")&amp;IF(V11&lt;&gt;"",V11&amp;"|","")</f>
        <v>FJ Primed Poplar|</v>
      </c>
    </row>
    <row r="12" customFormat="false" ht="16.5" hidden="false" customHeight="true" outlineLevel="0" collapsed="false">
      <c r="A12" s="44" t="s">
        <v>159</v>
      </c>
      <c r="B12" s="45" t="s">
        <v>160</v>
      </c>
      <c r="C12" s="44" t="s">
        <v>145</v>
      </c>
      <c r="D12" s="44" t="s">
        <v>161</v>
      </c>
      <c r="E12" s="44" t="s">
        <v>162</v>
      </c>
      <c r="F12" s="36" t="str">
        <f aca="false">IF(LEN(AA12)=0,"",LEFT(AA12,LEN(AA12)-1))</f>
        <v>FJ Primed Poplar</v>
      </c>
      <c r="G12" s="37"/>
      <c r="H12" s="37" t="s">
        <v>142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8"/>
      <c r="T12" s="37"/>
      <c r="U12" s="37"/>
      <c r="V12" s="46"/>
      <c r="W12" s="46"/>
      <c r="X12" s="40"/>
      <c r="Y12" s="41"/>
      <c r="Z12" s="42"/>
      <c r="AA12" s="43" t="str">
        <f aca="false">IF(G12&lt;&gt;"","Poplar|","")&amp;IF(H12&lt;&gt;"","FJ Primed Poplar|","")&amp;IF(I12&lt;&gt;"","FJ Primed Pine|","")&amp;IF(J12&lt;&gt;"","Clear Pine|","")&amp;IF(K12&lt;&gt;"","Primed MDF|","")&amp;IF(L12&lt;&gt;"","White Oak|","")&amp;IF(M12&lt;&gt;"","Red Oak|","")&amp;IF(N12&lt;&gt;"","Hard Maple|","")&amp;IF(O12&lt;&gt;"","Black Walnut|","")&amp;IF(P12&lt;&gt;"","Douglas Fir|","")&amp;IF(Q12&lt;&gt;"","Western Red Cedar|","")&amp;IF(R12&lt;&gt;"","PVC|","")&amp;IF(S12&lt;&gt;"","Flex|","")&amp;IF(T12&lt;&gt;"","Steel|","")&amp;IF(U12&lt;&gt;"","Plastic|","")&amp;IF(V12&lt;&gt;"",V12&amp;"|","")</f>
        <v>FJ Primed Poplar|</v>
      </c>
    </row>
    <row r="13" customFormat="false" ht="16.5" hidden="false" customHeight="true" outlineLevel="0" collapsed="false">
      <c r="A13" s="44" t="s">
        <v>163</v>
      </c>
      <c r="B13" s="45" t="s">
        <v>164</v>
      </c>
      <c r="C13" s="44" t="s">
        <v>145</v>
      </c>
      <c r="D13" s="44" t="s">
        <v>165</v>
      </c>
      <c r="E13" s="44" t="s">
        <v>141</v>
      </c>
      <c r="F13" s="36" t="str">
        <f aca="false">IF(LEN(AA13)=0,"",LEFT(AA13,LEN(AA13)-1))</f>
        <v>Poplar</v>
      </c>
      <c r="G13" s="37" t="s">
        <v>142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8"/>
      <c r="T13" s="37"/>
      <c r="U13" s="37"/>
      <c r="V13" s="46"/>
      <c r="W13" s="46"/>
      <c r="X13" s="40"/>
      <c r="Y13" s="41"/>
      <c r="Z13" s="42"/>
      <c r="AA13" s="43" t="str">
        <f aca="false">IF(G13&lt;&gt;"","Poplar|","")&amp;IF(H13&lt;&gt;"","FJ Primed Poplar|","")&amp;IF(I13&lt;&gt;"","FJ Primed Pine|","")&amp;IF(J13&lt;&gt;"","Clear Pine|","")&amp;IF(K13&lt;&gt;"","Primed MDF|","")&amp;IF(L13&lt;&gt;"","White Oak|","")&amp;IF(M13&lt;&gt;"","Red Oak|","")&amp;IF(N13&lt;&gt;"","Hard Maple|","")&amp;IF(O13&lt;&gt;"","Black Walnut|","")&amp;IF(P13&lt;&gt;"","Douglas Fir|","")&amp;IF(Q13&lt;&gt;"","Western Red Cedar|","")&amp;IF(R13&lt;&gt;"","PVC|","")&amp;IF(S13&lt;&gt;"","Flex|","")&amp;IF(T13&lt;&gt;"","Steel|","")&amp;IF(U13&lt;&gt;"","Plastic|","")&amp;IF(V13&lt;&gt;"",V13&amp;"|","")</f>
        <v>Poplar|</v>
      </c>
    </row>
    <row r="14" customFormat="false" ht="16.5" hidden="false" customHeight="true" outlineLevel="0" collapsed="false">
      <c r="A14" s="34" t="s">
        <v>166</v>
      </c>
      <c r="B14" s="35" t="s">
        <v>167</v>
      </c>
      <c r="C14" s="34" t="s">
        <v>168</v>
      </c>
      <c r="D14" s="34" t="s">
        <v>169</v>
      </c>
      <c r="E14" s="34" t="s">
        <v>141</v>
      </c>
      <c r="F14" s="36" t="str">
        <f aca="false">IF(LEN(AA14)=0,"",LEFT(AA14,LEN(AA14)-1))</f>
        <v>Poplar|Flex</v>
      </c>
      <c r="G14" s="37" t="s">
        <v>142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8" t="s">
        <v>142</v>
      </c>
      <c r="T14" s="37"/>
      <c r="U14" s="37"/>
      <c r="V14" s="39"/>
      <c r="W14" s="39"/>
      <c r="X14" s="40"/>
      <c r="Y14" s="41"/>
      <c r="Z14" s="42"/>
      <c r="AA14" s="43" t="str">
        <f aca="false">IF(G14&lt;&gt;"","Poplar|","")&amp;IF(H14&lt;&gt;"","FJ Primed Poplar|","")&amp;IF(I14&lt;&gt;"","FJ Primed Pine|","")&amp;IF(J14&lt;&gt;"","Clear Pine|","")&amp;IF(K14&lt;&gt;"","Primed MDF|","")&amp;IF(L14&lt;&gt;"","White Oak|","")&amp;IF(M14&lt;&gt;"","Red Oak|","")&amp;IF(N14&lt;&gt;"","Hard Maple|","")&amp;IF(O14&lt;&gt;"","Black Walnut|","")&amp;IF(P14&lt;&gt;"","Douglas Fir|","")&amp;IF(Q14&lt;&gt;"","Western Red Cedar|","")&amp;IF(R14&lt;&gt;"","PVC|","")&amp;IF(S14&lt;&gt;"","Flex|","")&amp;IF(T14&lt;&gt;"","Steel|","")&amp;IF(U14&lt;&gt;"","Plastic|","")&amp;IF(V14&lt;&gt;"",V14&amp;"|","")</f>
        <v>Poplar|Flex|</v>
      </c>
    </row>
    <row r="15" customFormat="false" ht="16.5" hidden="false" customHeight="true" outlineLevel="0" collapsed="false">
      <c r="A15" s="44" t="s">
        <v>170</v>
      </c>
      <c r="B15" s="45" t="s">
        <v>171</v>
      </c>
      <c r="C15" s="44" t="s">
        <v>172</v>
      </c>
      <c r="D15" s="44" t="s">
        <v>173</v>
      </c>
      <c r="E15" s="44" t="s">
        <v>141</v>
      </c>
      <c r="F15" s="36" t="str">
        <f aca="false">IF(LEN(AA15)=0,"",LEFT(AA15,LEN(AA15)-1))</f>
        <v>Poplar</v>
      </c>
      <c r="G15" s="37" t="s">
        <v>142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8"/>
      <c r="T15" s="37"/>
      <c r="U15" s="37"/>
      <c r="V15" s="46"/>
      <c r="W15" s="46"/>
      <c r="X15" s="40"/>
      <c r="Y15" s="41"/>
      <c r="Z15" s="42"/>
      <c r="AA15" s="43" t="str">
        <f aca="false">IF(G15&lt;&gt;"","Poplar|","")&amp;IF(H15&lt;&gt;"","FJ Primed Poplar|","")&amp;IF(I15&lt;&gt;"","FJ Primed Pine|","")&amp;IF(J15&lt;&gt;"","Clear Pine|","")&amp;IF(K15&lt;&gt;"","Primed MDF|","")&amp;IF(L15&lt;&gt;"","White Oak|","")&amp;IF(M15&lt;&gt;"","Red Oak|","")&amp;IF(N15&lt;&gt;"","Hard Maple|","")&amp;IF(O15&lt;&gt;"","Black Walnut|","")&amp;IF(P15&lt;&gt;"","Douglas Fir|","")&amp;IF(Q15&lt;&gt;"","Western Red Cedar|","")&amp;IF(R15&lt;&gt;"","PVC|","")&amp;IF(S15&lt;&gt;"","Flex|","")&amp;IF(T15&lt;&gt;"","Steel|","")&amp;IF(U15&lt;&gt;"","Plastic|","")&amp;IF(V15&lt;&gt;"",V15&amp;"|","")</f>
        <v>Poplar|</v>
      </c>
    </row>
    <row r="16" customFormat="false" ht="16.5" hidden="false" customHeight="true" outlineLevel="0" collapsed="false">
      <c r="A16" s="44" t="s">
        <v>174</v>
      </c>
      <c r="B16" s="45" t="s">
        <v>175</v>
      </c>
      <c r="C16" s="44" t="s">
        <v>172</v>
      </c>
      <c r="D16" s="44" t="s">
        <v>176</v>
      </c>
      <c r="E16" s="44" t="s">
        <v>141</v>
      </c>
      <c r="F16" s="36" t="str">
        <f aca="false">IF(LEN(AA16)=0,"",LEFT(AA16,LEN(AA16)-1))</f>
        <v>Poplar</v>
      </c>
      <c r="G16" s="37" t="s">
        <v>142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8"/>
      <c r="T16" s="37"/>
      <c r="U16" s="37"/>
      <c r="V16" s="46"/>
      <c r="W16" s="46"/>
      <c r="X16" s="40"/>
      <c r="Y16" s="41"/>
      <c r="Z16" s="42"/>
      <c r="AA16" s="43" t="str">
        <f aca="false">IF(G16&lt;&gt;"","Poplar|","")&amp;IF(H16&lt;&gt;"","FJ Primed Poplar|","")&amp;IF(I16&lt;&gt;"","FJ Primed Pine|","")&amp;IF(J16&lt;&gt;"","Clear Pine|","")&amp;IF(K16&lt;&gt;"","Primed MDF|","")&amp;IF(L16&lt;&gt;"","White Oak|","")&amp;IF(M16&lt;&gt;"","Red Oak|","")&amp;IF(N16&lt;&gt;"","Hard Maple|","")&amp;IF(O16&lt;&gt;"","Black Walnut|","")&amp;IF(P16&lt;&gt;"","Douglas Fir|","")&amp;IF(Q16&lt;&gt;"","Western Red Cedar|","")&amp;IF(R16&lt;&gt;"","PVC|","")&amp;IF(S16&lt;&gt;"","Flex|","")&amp;IF(T16&lt;&gt;"","Steel|","")&amp;IF(U16&lt;&gt;"","Plastic|","")&amp;IF(V16&lt;&gt;"",V16&amp;"|","")</f>
        <v>Poplar|</v>
      </c>
    </row>
    <row r="17" customFormat="false" ht="16.5" hidden="false" customHeight="true" outlineLevel="0" collapsed="false">
      <c r="A17" s="44" t="s">
        <v>177</v>
      </c>
      <c r="B17" s="45" t="s">
        <v>178</v>
      </c>
      <c r="C17" s="44" t="s">
        <v>172</v>
      </c>
      <c r="D17" s="44" t="s">
        <v>179</v>
      </c>
      <c r="E17" s="44" t="s">
        <v>141</v>
      </c>
      <c r="F17" s="36" t="str">
        <f aca="false">IF(LEN(AA17)=0,"",LEFT(AA17,LEN(AA17)-1))</f>
        <v/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8"/>
      <c r="T17" s="37"/>
      <c r="U17" s="37"/>
      <c r="V17" s="46"/>
      <c r="W17" s="46" t="s">
        <v>180</v>
      </c>
      <c r="X17" s="40"/>
      <c r="Y17" s="41"/>
      <c r="Z17" s="42"/>
      <c r="AA17" s="43" t="str">
        <f aca="false">IF(G17&lt;&gt;"","Poplar|","")&amp;IF(H17&lt;&gt;"","FJ Primed Poplar|","")&amp;IF(I17&lt;&gt;"","FJ Primed Pine|","")&amp;IF(J17&lt;&gt;"","Clear Pine|","")&amp;IF(K17&lt;&gt;"","Primed MDF|","")&amp;IF(L17&lt;&gt;"","White Oak|","")&amp;IF(M17&lt;&gt;"","Red Oak|","")&amp;IF(N17&lt;&gt;"","Hard Maple|","")&amp;IF(O17&lt;&gt;"","Black Walnut|","")&amp;IF(P17&lt;&gt;"","Douglas Fir|","")&amp;IF(Q17&lt;&gt;"","Western Red Cedar|","")&amp;IF(R17&lt;&gt;"","PVC|","")&amp;IF(S17&lt;&gt;"","Flex|","")&amp;IF(T17&lt;&gt;"","Steel|","")&amp;IF(U17&lt;&gt;"","Plastic|","")&amp;IF(V17&lt;&gt;"",V17&amp;"|","")</f>
        <v/>
      </c>
    </row>
    <row r="18" customFormat="false" ht="16.5" hidden="false" customHeight="true" outlineLevel="0" collapsed="false">
      <c r="A18" s="44" t="s">
        <v>181</v>
      </c>
      <c r="B18" s="45" t="s">
        <v>182</v>
      </c>
      <c r="C18" s="44" t="s">
        <v>172</v>
      </c>
      <c r="D18" s="44" t="s">
        <v>183</v>
      </c>
      <c r="E18" s="44" t="s">
        <v>184</v>
      </c>
      <c r="F18" s="36" t="str">
        <f aca="false">IF(LEN(AA18)=0,"",LEFT(AA18,LEN(AA18)-1))</f>
        <v>FJ Primed Pine</v>
      </c>
      <c r="G18" s="37"/>
      <c r="H18" s="37"/>
      <c r="I18" s="37" t="s">
        <v>142</v>
      </c>
      <c r="J18" s="37"/>
      <c r="K18" s="37"/>
      <c r="L18" s="37"/>
      <c r="M18" s="37"/>
      <c r="N18" s="37"/>
      <c r="O18" s="37"/>
      <c r="P18" s="37"/>
      <c r="Q18" s="37"/>
      <c r="R18" s="37"/>
      <c r="S18" s="38"/>
      <c r="T18" s="37"/>
      <c r="U18" s="37"/>
      <c r="V18" s="46"/>
      <c r="W18" s="46"/>
      <c r="X18" s="40"/>
      <c r="Y18" s="41"/>
      <c r="Z18" s="42"/>
      <c r="AA18" s="43" t="str">
        <f aca="false">IF(G18&lt;&gt;"","Poplar|","")&amp;IF(H18&lt;&gt;"","FJ Primed Poplar|","")&amp;IF(I18&lt;&gt;"","FJ Primed Pine|","")&amp;IF(J18&lt;&gt;"","Clear Pine|","")&amp;IF(K18&lt;&gt;"","Primed MDF|","")&amp;IF(L18&lt;&gt;"","White Oak|","")&amp;IF(M18&lt;&gt;"","Red Oak|","")&amp;IF(N18&lt;&gt;"","Hard Maple|","")&amp;IF(O18&lt;&gt;"","Black Walnut|","")&amp;IF(P18&lt;&gt;"","Douglas Fir|","")&amp;IF(Q18&lt;&gt;"","Western Red Cedar|","")&amp;IF(R18&lt;&gt;"","PVC|","")&amp;IF(S18&lt;&gt;"","Flex|","")&amp;IF(T18&lt;&gt;"","Steel|","")&amp;IF(U18&lt;&gt;"","Plastic|","")&amp;IF(V18&lt;&gt;"",V18&amp;"|","")</f>
        <v>FJ Primed Pine|</v>
      </c>
    </row>
    <row r="19" customFormat="false" ht="16.5" hidden="false" customHeight="true" outlineLevel="0" collapsed="false">
      <c r="A19" s="44" t="s">
        <v>185</v>
      </c>
      <c r="B19" s="45" t="s">
        <v>186</v>
      </c>
      <c r="C19" s="44" t="s">
        <v>172</v>
      </c>
      <c r="D19" s="44" t="s">
        <v>187</v>
      </c>
      <c r="E19" s="44" t="s">
        <v>141</v>
      </c>
      <c r="F19" s="36" t="str">
        <f aca="false">IF(LEN(AA19)=0,"",LEFT(AA19,LEN(AA19)-1))</f>
        <v>Poplar|FJ Primed Poplar|Flex</v>
      </c>
      <c r="G19" s="37" t="s">
        <v>142</v>
      </c>
      <c r="H19" s="37" t="s">
        <v>142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8" t="s">
        <v>142</v>
      </c>
      <c r="T19" s="37"/>
      <c r="U19" s="37"/>
      <c r="V19" s="46"/>
      <c r="W19" s="46"/>
      <c r="X19" s="40"/>
      <c r="Y19" s="41"/>
      <c r="Z19" s="42"/>
      <c r="AA19" s="43" t="str">
        <f aca="false">IF(G19&lt;&gt;"","Poplar|","")&amp;IF(H19&lt;&gt;"","FJ Primed Poplar|","")&amp;IF(I19&lt;&gt;"","FJ Primed Pine|","")&amp;IF(J19&lt;&gt;"","Clear Pine|","")&amp;IF(K19&lt;&gt;"","Primed MDF|","")&amp;IF(L19&lt;&gt;"","White Oak|","")&amp;IF(M19&lt;&gt;"","Red Oak|","")&amp;IF(N19&lt;&gt;"","Hard Maple|","")&amp;IF(O19&lt;&gt;"","Black Walnut|","")&amp;IF(P19&lt;&gt;"","Douglas Fir|","")&amp;IF(Q19&lt;&gt;"","Western Red Cedar|","")&amp;IF(R19&lt;&gt;"","PVC|","")&amp;IF(S19&lt;&gt;"","Flex|","")&amp;IF(T19&lt;&gt;"","Steel|","")&amp;IF(U19&lt;&gt;"","Plastic|","")&amp;IF(V19&lt;&gt;"",V19&amp;"|","")</f>
        <v>Poplar|FJ Primed Poplar|Flex|</v>
      </c>
    </row>
    <row r="20" customFormat="false" ht="16.5" hidden="false" customHeight="true" outlineLevel="0" collapsed="false">
      <c r="A20" s="44" t="s">
        <v>188</v>
      </c>
      <c r="B20" s="45" t="s">
        <v>189</v>
      </c>
      <c r="C20" s="44" t="s">
        <v>172</v>
      </c>
      <c r="D20" s="44" t="s">
        <v>187</v>
      </c>
      <c r="E20" s="44" t="s">
        <v>141</v>
      </c>
      <c r="F20" s="36" t="str">
        <f aca="false">IF(LEN(AA20)=0,"",LEFT(AA20,LEN(AA20)-1))</f>
        <v>Poplar|FJ Primed Poplar</v>
      </c>
      <c r="G20" s="37" t="s">
        <v>142</v>
      </c>
      <c r="H20" s="37" t="s">
        <v>142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8"/>
      <c r="T20" s="37"/>
      <c r="U20" s="37"/>
      <c r="V20" s="46"/>
      <c r="W20" s="46"/>
      <c r="X20" s="40"/>
      <c r="Y20" s="41"/>
      <c r="Z20" s="42"/>
      <c r="AA20" s="43" t="str">
        <f aca="false">IF(G20&lt;&gt;"","Poplar|","")&amp;IF(H20&lt;&gt;"","FJ Primed Poplar|","")&amp;IF(I20&lt;&gt;"","FJ Primed Pine|","")&amp;IF(J20&lt;&gt;"","Clear Pine|","")&amp;IF(K20&lt;&gt;"","Primed MDF|","")&amp;IF(L20&lt;&gt;"","White Oak|","")&amp;IF(M20&lt;&gt;"","Red Oak|","")&amp;IF(N20&lt;&gt;"","Hard Maple|","")&amp;IF(O20&lt;&gt;"","Black Walnut|","")&amp;IF(P20&lt;&gt;"","Douglas Fir|","")&amp;IF(Q20&lt;&gt;"","Western Red Cedar|","")&amp;IF(R20&lt;&gt;"","PVC|","")&amp;IF(S20&lt;&gt;"","Flex|","")&amp;IF(T20&lt;&gt;"","Steel|","")&amp;IF(U20&lt;&gt;"","Plastic|","")&amp;IF(V20&lt;&gt;"",V20&amp;"|","")</f>
        <v>Poplar|FJ Primed Poplar|</v>
      </c>
    </row>
    <row r="21" customFormat="false" ht="16.5" hidden="false" customHeight="true" outlineLevel="0" collapsed="false">
      <c r="A21" s="44" t="s">
        <v>190</v>
      </c>
      <c r="B21" s="45" t="s">
        <v>191</v>
      </c>
      <c r="C21" s="44" t="s">
        <v>172</v>
      </c>
      <c r="D21" s="44" t="s">
        <v>192</v>
      </c>
      <c r="E21" s="44" t="s">
        <v>141</v>
      </c>
      <c r="F21" s="36" t="str">
        <f aca="false">IF(LEN(AA21)=0,"",LEFT(AA21,LEN(AA21)-1))</f>
        <v/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8"/>
      <c r="T21" s="37"/>
      <c r="U21" s="37"/>
      <c r="V21" s="46"/>
      <c r="W21" s="46" t="s">
        <v>180</v>
      </c>
      <c r="X21" s="40"/>
      <c r="Y21" s="41"/>
      <c r="Z21" s="42"/>
      <c r="AA21" s="43" t="str">
        <f aca="false">IF(G21&lt;&gt;"","Poplar|","")&amp;IF(H21&lt;&gt;"","FJ Primed Poplar|","")&amp;IF(I21&lt;&gt;"","FJ Primed Pine|","")&amp;IF(J21&lt;&gt;"","Clear Pine|","")&amp;IF(K21&lt;&gt;"","Primed MDF|","")&amp;IF(L21&lt;&gt;"","White Oak|","")&amp;IF(M21&lt;&gt;"","Red Oak|","")&amp;IF(N21&lt;&gt;"","Hard Maple|","")&amp;IF(O21&lt;&gt;"","Black Walnut|","")&amp;IF(P21&lt;&gt;"","Douglas Fir|","")&amp;IF(Q21&lt;&gt;"","Western Red Cedar|","")&amp;IF(R21&lt;&gt;"","PVC|","")&amp;IF(S21&lt;&gt;"","Flex|","")&amp;IF(T21&lt;&gt;"","Steel|","")&amp;IF(U21&lt;&gt;"","Plastic|","")&amp;IF(V21&lt;&gt;"",V21&amp;"|","")</f>
        <v/>
      </c>
    </row>
    <row r="22" customFormat="false" ht="28.5" hidden="false" customHeight="true" outlineLevel="0" collapsed="false">
      <c r="A22" s="44" t="s">
        <v>193</v>
      </c>
      <c r="B22" s="45" t="s">
        <v>194</v>
      </c>
      <c r="C22" s="44" t="s">
        <v>172</v>
      </c>
      <c r="D22" s="44" t="s">
        <v>187</v>
      </c>
      <c r="E22" s="44" t="s">
        <v>141</v>
      </c>
      <c r="F22" s="36" t="str">
        <f aca="false">IF(LEN(AA22)=0,"",LEFT(AA22,LEN(AA22)-1))</f>
        <v>FJ Primed Poplar</v>
      </c>
      <c r="G22" s="37"/>
      <c r="H22" s="37" t="s">
        <v>142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8"/>
      <c r="T22" s="37"/>
      <c r="U22" s="37"/>
      <c r="V22" s="46"/>
      <c r="W22" s="46"/>
      <c r="X22" s="40"/>
      <c r="Y22" s="41"/>
      <c r="Z22" s="42"/>
      <c r="AA22" s="43" t="str">
        <f aca="false">IF(G22&lt;&gt;"","Poplar|","")&amp;IF(H22&lt;&gt;"","FJ Primed Poplar|","")&amp;IF(I22&lt;&gt;"","FJ Primed Pine|","")&amp;IF(J22&lt;&gt;"","Clear Pine|","")&amp;IF(K22&lt;&gt;"","Primed MDF|","")&amp;IF(L22&lt;&gt;"","White Oak|","")&amp;IF(M22&lt;&gt;"","Red Oak|","")&amp;IF(N22&lt;&gt;"","Hard Maple|","")&amp;IF(O22&lt;&gt;"","Black Walnut|","")&amp;IF(P22&lt;&gt;"","Douglas Fir|","")&amp;IF(Q22&lt;&gt;"","Western Red Cedar|","")&amp;IF(R22&lt;&gt;"","PVC|","")&amp;IF(S22&lt;&gt;"","Flex|","")&amp;IF(T22&lt;&gt;"","Steel|","")&amp;IF(U22&lt;&gt;"","Plastic|","")&amp;IF(V22&lt;&gt;"",V22&amp;"|","")</f>
        <v>FJ Primed Poplar|</v>
      </c>
    </row>
    <row r="23" customFormat="false" ht="16.5" hidden="false" customHeight="true" outlineLevel="0" collapsed="false">
      <c r="A23" s="44" t="s">
        <v>195</v>
      </c>
      <c r="B23" s="45" t="s">
        <v>196</v>
      </c>
      <c r="C23" s="44" t="s">
        <v>172</v>
      </c>
      <c r="D23" s="44" t="s">
        <v>197</v>
      </c>
      <c r="E23" s="44" t="s">
        <v>141</v>
      </c>
      <c r="F23" s="36" t="str">
        <f aca="false">IF(LEN(AA23)=0,"",LEFT(AA23,LEN(AA23)-1))</f>
        <v>Poplar</v>
      </c>
      <c r="G23" s="37" t="s">
        <v>142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8"/>
      <c r="T23" s="37"/>
      <c r="U23" s="37"/>
      <c r="V23" s="46"/>
      <c r="W23" s="46"/>
      <c r="X23" s="40"/>
      <c r="Y23" s="41"/>
      <c r="Z23" s="42"/>
      <c r="AA23" s="43" t="str">
        <f aca="false">IF(G23&lt;&gt;"","Poplar|","")&amp;IF(H23&lt;&gt;"","FJ Primed Poplar|","")&amp;IF(I23&lt;&gt;"","FJ Primed Pine|","")&amp;IF(J23&lt;&gt;"","Clear Pine|","")&amp;IF(K23&lt;&gt;"","Primed MDF|","")&amp;IF(L23&lt;&gt;"","White Oak|","")&amp;IF(M23&lt;&gt;"","Red Oak|","")&amp;IF(N23&lt;&gt;"","Hard Maple|","")&amp;IF(O23&lt;&gt;"","Black Walnut|","")&amp;IF(P23&lt;&gt;"","Douglas Fir|","")&amp;IF(Q23&lt;&gt;"","Western Red Cedar|","")&amp;IF(R23&lt;&gt;"","PVC|","")&amp;IF(S23&lt;&gt;"","Flex|","")&amp;IF(T23&lt;&gt;"","Steel|","")&amp;IF(U23&lt;&gt;"","Plastic|","")&amp;IF(V23&lt;&gt;"",V23&amp;"|","")</f>
        <v>Poplar|</v>
      </c>
    </row>
    <row r="24" customFormat="false" ht="16.5" hidden="false" customHeight="true" outlineLevel="0" collapsed="false">
      <c r="A24" s="44" t="s">
        <v>198</v>
      </c>
      <c r="B24" s="45" t="s">
        <v>199</v>
      </c>
      <c r="C24" s="44" t="s">
        <v>172</v>
      </c>
      <c r="D24" s="44" t="s">
        <v>197</v>
      </c>
      <c r="E24" s="44" t="s">
        <v>141</v>
      </c>
      <c r="F24" s="36" t="str">
        <f aca="false">IF(LEN(AA24)=0,"",LEFT(AA24,LEN(AA24)-1))</f>
        <v>Poplar</v>
      </c>
      <c r="G24" s="37" t="s">
        <v>142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8"/>
      <c r="T24" s="37"/>
      <c r="U24" s="37"/>
      <c r="V24" s="46"/>
      <c r="W24" s="46"/>
      <c r="X24" s="40"/>
      <c r="Y24" s="41"/>
      <c r="Z24" s="42"/>
      <c r="AA24" s="43" t="str">
        <f aca="false">IF(G24&lt;&gt;"","Poplar|","")&amp;IF(H24&lt;&gt;"","FJ Primed Poplar|","")&amp;IF(I24&lt;&gt;"","FJ Primed Pine|","")&amp;IF(J24&lt;&gt;"","Clear Pine|","")&amp;IF(K24&lt;&gt;"","Primed MDF|","")&amp;IF(L24&lt;&gt;"","White Oak|","")&amp;IF(M24&lt;&gt;"","Red Oak|","")&amp;IF(N24&lt;&gt;"","Hard Maple|","")&amp;IF(O24&lt;&gt;"","Black Walnut|","")&amp;IF(P24&lt;&gt;"","Douglas Fir|","")&amp;IF(Q24&lt;&gt;"","Western Red Cedar|","")&amp;IF(R24&lt;&gt;"","PVC|","")&amp;IF(S24&lt;&gt;"","Flex|","")&amp;IF(T24&lt;&gt;"","Steel|","")&amp;IF(U24&lt;&gt;"","Plastic|","")&amp;IF(V24&lt;&gt;"",V24&amp;"|","")</f>
        <v>Poplar|</v>
      </c>
    </row>
    <row r="25" customFormat="false" ht="27" hidden="false" customHeight="true" outlineLevel="0" collapsed="false">
      <c r="A25" s="44" t="s">
        <v>200</v>
      </c>
      <c r="B25" s="45" t="s">
        <v>201</v>
      </c>
      <c r="C25" s="44" t="s">
        <v>172</v>
      </c>
      <c r="D25" s="44" t="s">
        <v>197</v>
      </c>
      <c r="E25" s="44" t="s">
        <v>141</v>
      </c>
      <c r="F25" s="36" t="str">
        <f aca="false">IF(LEN(AA25)=0,"",LEFT(AA25,LEN(AA25)-1))</f>
        <v>FJ Primed Poplar|Primed MDF</v>
      </c>
      <c r="G25" s="37"/>
      <c r="H25" s="37" t="s">
        <v>142</v>
      </c>
      <c r="I25" s="37"/>
      <c r="J25" s="37"/>
      <c r="K25" s="37" t="s">
        <v>142</v>
      </c>
      <c r="L25" s="37"/>
      <c r="M25" s="37"/>
      <c r="N25" s="37"/>
      <c r="O25" s="37"/>
      <c r="P25" s="37"/>
      <c r="Q25" s="37"/>
      <c r="R25" s="37"/>
      <c r="S25" s="38"/>
      <c r="T25" s="37"/>
      <c r="U25" s="37"/>
      <c r="V25" s="46"/>
      <c r="W25" s="46"/>
      <c r="X25" s="40"/>
      <c r="Y25" s="41"/>
      <c r="Z25" s="42"/>
      <c r="AA25" s="43" t="str">
        <f aca="false">IF(G25&lt;&gt;"","Poplar|","")&amp;IF(H25&lt;&gt;"","FJ Primed Poplar|","")&amp;IF(I25&lt;&gt;"","FJ Primed Pine|","")&amp;IF(J25&lt;&gt;"","Clear Pine|","")&amp;IF(K25&lt;&gt;"","Primed MDF|","")&amp;IF(L25&lt;&gt;"","White Oak|","")&amp;IF(M25&lt;&gt;"","Red Oak|","")&amp;IF(N25&lt;&gt;"","Hard Maple|","")&amp;IF(O25&lt;&gt;"","Black Walnut|","")&amp;IF(P25&lt;&gt;"","Douglas Fir|","")&amp;IF(Q25&lt;&gt;"","Western Red Cedar|","")&amp;IF(R25&lt;&gt;"","PVC|","")&amp;IF(S25&lt;&gt;"","Flex|","")&amp;IF(T25&lt;&gt;"","Steel|","")&amp;IF(U25&lt;&gt;"","Plastic|","")&amp;IF(V25&lt;&gt;"",V25&amp;"|","")</f>
        <v>FJ Primed Poplar|Primed MDF|</v>
      </c>
    </row>
    <row r="26" customFormat="false" ht="16.5" hidden="false" customHeight="true" outlineLevel="0" collapsed="false">
      <c r="A26" s="44" t="s">
        <v>202</v>
      </c>
      <c r="B26" s="45" t="s">
        <v>203</v>
      </c>
      <c r="C26" s="44" t="s">
        <v>172</v>
      </c>
      <c r="D26" s="44" t="s">
        <v>197</v>
      </c>
      <c r="E26" s="44" t="s">
        <v>141</v>
      </c>
      <c r="F26" s="36" t="str">
        <f aca="false">IF(LEN(AA26)=0,"",LEFT(AA26,LEN(AA26)-1))</f>
        <v>Poplar</v>
      </c>
      <c r="G26" s="37" t="s">
        <v>142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8"/>
      <c r="T26" s="37"/>
      <c r="U26" s="37"/>
      <c r="V26" s="46"/>
      <c r="W26" s="46"/>
      <c r="X26" s="40"/>
      <c r="Y26" s="41"/>
      <c r="Z26" s="42"/>
      <c r="AA26" s="43" t="str">
        <f aca="false">IF(G26&lt;&gt;"","Poplar|","")&amp;IF(H26&lt;&gt;"","FJ Primed Poplar|","")&amp;IF(I26&lt;&gt;"","FJ Primed Pine|","")&amp;IF(J26&lt;&gt;"","Clear Pine|","")&amp;IF(K26&lt;&gt;"","Primed MDF|","")&amp;IF(L26&lt;&gt;"","White Oak|","")&amp;IF(M26&lt;&gt;"","Red Oak|","")&amp;IF(N26&lt;&gt;"","Hard Maple|","")&amp;IF(O26&lt;&gt;"","Black Walnut|","")&amp;IF(P26&lt;&gt;"","Douglas Fir|","")&amp;IF(Q26&lt;&gt;"","Western Red Cedar|","")&amp;IF(R26&lt;&gt;"","PVC|","")&amp;IF(S26&lt;&gt;"","Flex|","")&amp;IF(T26&lt;&gt;"","Steel|","")&amp;IF(U26&lt;&gt;"","Plastic|","")&amp;IF(V26&lt;&gt;"",V26&amp;"|","")</f>
        <v>Poplar|</v>
      </c>
    </row>
    <row r="27" customFormat="false" ht="16.5" hidden="false" customHeight="true" outlineLevel="0" collapsed="false">
      <c r="A27" s="44" t="s">
        <v>204</v>
      </c>
      <c r="B27" s="45" t="s">
        <v>205</v>
      </c>
      <c r="C27" s="44" t="s">
        <v>172</v>
      </c>
      <c r="D27" s="44" t="s">
        <v>197</v>
      </c>
      <c r="E27" s="44" t="s">
        <v>141</v>
      </c>
      <c r="F27" s="36" t="str">
        <f aca="false">IF(LEN(AA27)=0,"",LEFT(AA27,LEN(AA27)-1))</f>
        <v/>
      </c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8"/>
      <c r="T27" s="37"/>
      <c r="U27" s="37"/>
      <c r="V27" s="46"/>
      <c r="W27" s="46"/>
      <c r="X27" s="40"/>
      <c r="Y27" s="41"/>
      <c r="Z27" s="42"/>
      <c r="AA27" s="43" t="str">
        <f aca="false">IF(G27&lt;&gt;"","Poplar|","")&amp;IF(H27&lt;&gt;"","FJ Primed Poplar|","")&amp;IF(I27&lt;&gt;"","FJ Primed Pine|","")&amp;IF(J27&lt;&gt;"","Clear Pine|","")&amp;IF(K27&lt;&gt;"","Primed MDF|","")&amp;IF(L27&lt;&gt;"","White Oak|","")&amp;IF(M27&lt;&gt;"","Red Oak|","")&amp;IF(N27&lt;&gt;"","Hard Maple|","")&amp;IF(O27&lt;&gt;"","Black Walnut|","")&amp;IF(P27&lt;&gt;"","Douglas Fir|","")&amp;IF(Q27&lt;&gt;"","Western Red Cedar|","")&amp;IF(R27&lt;&gt;"","PVC|","")&amp;IF(S27&lt;&gt;"","Flex|","")&amp;IF(T27&lt;&gt;"","Steel|","")&amp;IF(U27&lt;&gt;"","Plastic|","")&amp;IF(V27&lt;&gt;"",V27&amp;"|","")</f>
        <v/>
      </c>
    </row>
    <row r="28" customFormat="false" ht="16.5" hidden="false" customHeight="true" outlineLevel="0" collapsed="false">
      <c r="A28" s="44" t="s">
        <v>206</v>
      </c>
      <c r="B28" s="45" t="s">
        <v>207</v>
      </c>
      <c r="C28" s="44" t="s">
        <v>172</v>
      </c>
      <c r="D28" s="44" t="s">
        <v>208</v>
      </c>
      <c r="E28" s="44" t="s">
        <v>141</v>
      </c>
      <c r="F28" s="36" t="str">
        <f aca="false">IF(LEN(AA28)=0,"",LEFT(AA28,LEN(AA28)-1))</f>
        <v/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8"/>
      <c r="T28" s="37"/>
      <c r="U28" s="37"/>
      <c r="V28" s="46"/>
      <c r="W28" s="46"/>
      <c r="X28" s="40"/>
      <c r="Y28" s="41"/>
      <c r="Z28" s="42"/>
      <c r="AA28" s="43" t="str">
        <f aca="false">IF(G28&lt;&gt;"","Poplar|","")&amp;IF(H28&lt;&gt;"","FJ Primed Poplar|","")&amp;IF(I28&lt;&gt;"","FJ Primed Pine|","")&amp;IF(J28&lt;&gt;"","Clear Pine|","")&amp;IF(K28&lt;&gt;"","Primed MDF|","")&amp;IF(L28&lt;&gt;"","White Oak|","")&amp;IF(M28&lt;&gt;"","Red Oak|","")&amp;IF(N28&lt;&gt;"","Hard Maple|","")&amp;IF(O28&lt;&gt;"","Black Walnut|","")&amp;IF(P28&lt;&gt;"","Douglas Fir|","")&amp;IF(Q28&lt;&gt;"","Western Red Cedar|","")&amp;IF(R28&lt;&gt;"","PVC|","")&amp;IF(S28&lt;&gt;"","Flex|","")&amp;IF(T28&lt;&gt;"","Steel|","")&amp;IF(U28&lt;&gt;"","Plastic|","")&amp;IF(V28&lt;&gt;"",V28&amp;"|","")</f>
        <v/>
      </c>
    </row>
    <row r="29" customFormat="false" ht="16.5" hidden="false" customHeight="true" outlineLevel="0" collapsed="false">
      <c r="A29" s="44" t="s">
        <v>209</v>
      </c>
      <c r="B29" s="45" t="s">
        <v>210</v>
      </c>
      <c r="C29" s="44" t="s">
        <v>172</v>
      </c>
      <c r="D29" s="44" t="s">
        <v>211</v>
      </c>
      <c r="E29" s="44" t="s">
        <v>141</v>
      </c>
      <c r="F29" s="36" t="str">
        <f aca="false">IF(LEN(AA29)=0,"",LEFT(AA29,LEN(AA29)-1))</f>
        <v/>
      </c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8"/>
      <c r="T29" s="37"/>
      <c r="U29" s="37"/>
      <c r="V29" s="46"/>
      <c r="W29" s="46"/>
      <c r="X29" s="40"/>
      <c r="Y29" s="41"/>
      <c r="Z29" s="42"/>
      <c r="AA29" s="43" t="str">
        <f aca="false">IF(G29&lt;&gt;"","Poplar|","")&amp;IF(H29&lt;&gt;"","FJ Primed Poplar|","")&amp;IF(I29&lt;&gt;"","FJ Primed Pine|","")&amp;IF(J29&lt;&gt;"","Clear Pine|","")&amp;IF(K29&lt;&gt;"","Primed MDF|","")&amp;IF(L29&lt;&gt;"","White Oak|","")&amp;IF(M29&lt;&gt;"","Red Oak|","")&amp;IF(N29&lt;&gt;"","Hard Maple|","")&amp;IF(O29&lt;&gt;"","Black Walnut|","")&amp;IF(P29&lt;&gt;"","Douglas Fir|","")&amp;IF(Q29&lt;&gt;"","Western Red Cedar|","")&amp;IF(R29&lt;&gt;"","PVC|","")&amp;IF(S29&lt;&gt;"","Flex|","")&amp;IF(T29&lt;&gt;"","Steel|","")&amp;IF(U29&lt;&gt;"","Plastic|","")&amp;IF(V29&lt;&gt;"",V29&amp;"|","")</f>
        <v/>
      </c>
    </row>
    <row r="30" customFormat="false" ht="16.5" hidden="false" customHeight="true" outlineLevel="0" collapsed="false">
      <c r="A30" s="44" t="s">
        <v>212</v>
      </c>
      <c r="B30" s="45" t="s">
        <v>213</v>
      </c>
      <c r="C30" s="44" t="s">
        <v>172</v>
      </c>
      <c r="D30" s="44" t="s">
        <v>211</v>
      </c>
      <c r="E30" s="44" t="s">
        <v>141</v>
      </c>
      <c r="F30" s="36" t="str">
        <f aca="false">IF(LEN(AA30)=0,"",LEFT(AA30,LEN(AA30)-1))</f>
        <v/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8"/>
      <c r="T30" s="37"/>
      <c r="U30" s="37"/>
      <c r="V30" s="46"/>
      <c r="W30" s="46"/>
      <c r="X30" s="40"/>
      <c r="Y30" s="41"/>
      <c r="Z30" s="42"/>
      <c r="AA30" s="43" t="str">
        <f aca="false">IF(G30&lt;&gt;"","Poplar|","")&amp;IF(H30&lt;&gt;"","FJ Primed Poplar|","")&amp;IF(I30&lt;&gt;"","FJ Primed Pine|","")&amp;IF(J30&lt;&gt;"","Clear Pine|","")&amp;IF(K30&lt;&gt;"","Primed MDF|","")&amp;IF(L30&lt;&gt;"","White Oak|","")&amp;IF(M30&lt;&gt;"","Red Oak|","")&amp;IF(N30&lt;&gt;"","Hard Maple|","")&amp;IF(O30&lt;&gt;"","Black Walnut|","")&amp;IF(P30&lt;&gt;"","Douglas Fir|","")&amp;IF(Q30&lt;&gt;"","Western Red Cedar|","")&amp;IF(R30&lt;&gt;"","PVC|","")&amp;IF(S30&lt;&gt;"","Flex|","")&amp;IF(T30&lt;&gt;"","Steel|","")&amp;IF(U30&lt;&gt;"","Plastic|","")&amp;IF(V30&lt;&gt;"",V30&amp;"|","")</f>
        <v/>
      </c>
    </row>
    <row r="31" customFormat="false" ht="16.5" hidden="false" customHeight="true" outlineLevel="0" collapsed="false">
      <c r="A31" s="44" t="s">
        <v>214</v>
      </c>
      <c r="B31" s="45" t="s">
        <v>215</v>
      </c>
      <c r="C31" s="44" t="s">
        <v>172</v>
      </c>
      <c r="D31" s="44" t="s">
        <v>216</v>
      </c>
      <c r="E31" s="44" t="s">
        <v>141</v>
      </c>
      <c r="F31" s="36" t="str">
        <f aca="false">IF(LEN(AA31)=0,"",LEFT(AA31,LEN(AA31)-1))</f>
        <v/>
      </c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8"/>
      <c r="T31" s="37"/>
      <c r="U31" s="37"/>
      <c r="V31" s="46"/>
      <c r="W31" s="46"/>
      <c r="X31" s="40"/>
      <c r="Y31" s="41"/>
      <c r="Z31" s="42"/>
      <c r="AA31" s="43" t="str">
        <f aca="false">IF(G31&lt;&gt;"","Poplar|","")&amp;IF(H31&lt;&gt;"","FJ Primed Poplar|","")&amp;IF(I31&lt;&gt;"","FJ Primed Pine|","")&amp;IF(J31&lt;&gt;"","Clear Pine|","")&amp;IF(K31&lt;&gt;"","Primed MDF|","")&amp;IF(L31&lt;&gt;"","White Oak|","")&amp;IF(M31&lt;&gt;"","Red Oak|","")&amp;IF(N31&lt;&gt;"","Hard Maple|","")&amp;IF(O31&lt;&gt;"","Black Walnut|","")&amp;IF(P31&lt;&gt;"","Douglas Fir|","")&amp;IF(Q31&lt;&gt;"","Western Red Cedar|","")&amp;IF(R31&lt;&gt;"","PVC|","")&amp;IF(S31&lt;&gt;"","Flex|","")&amp;IF(T31&lt;&gt;"","Steel|","")&amp;IF(U31&lt;&gt;"","Plastic|","")&amp;IF(V31&lt;&gt;"",V31&amp;"|","")</f>
        <v/>
      </c>
    </row>
    <row r="32" customFormat="false" ht="16.5" hidden="false" customHeight="true" outlineLevel="0" collapsed="false">
      <c r="A32" s="44" t="s">
        <v>217</v>
      </c>
      <c r="B32" s="45" t="s">
        <v>218</v>
      </c>
      <c r="C32" s="44" t="s">
        <v>172</v>
      </c>
      <c r="D32" s="44" t="s">
        <v>219</v>
      </c>
      <c r="E32" s="44" t="s">
        <v>141</v>
      </c>
      <c r="F32" s="36" t="str">
        <f aca="false">IF(LEN(AA32)=0,"",LEFT(AA32,LEN(AA32)-1))</f>
        <v/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8"/>
      <c r="T32" s="37"/>
      <c r="U32" s="37"/>
      <c r="V32" s="46"/>
      <c r="W32" s="46"/>
      <c r="X32" s="40"/>
      <c r="Y32" s="41"/>
      <c r="Z32" s="42"/>
      <c r="AA32" s="43" t="str">
        <f aca="false">IF(G32&lt;&gt;"","Poplar|","")&amp;IF(H32&lt;&gt;"","FJ Primed Poplar|","")&amp;IF(I32&lt;&gt;"","FJ Primed Pine|","")&amp;IF(J32&lt;&gt;"","Clear Pine|","")&amp;IF(K32&lt;&gt;"","Primed MDF|","")&amp;IF(L32&lt;&gt;"","White Oak|","")&amp;IF(M32&lt;&gt;"","Red Oak|","")&amp;IF(N32&lt;&gt;"","Hard Maple|","")&amp;IF(O32&lt;&gt;"","Black Walnut|","")&amp;IF(P32&lt;&gt;"","Douglas Fir|","")&amp;IF(Q32&lt;&gt;"","Western Red Cedar|","")&amp;IF(R32&lt;&gt;"","PVC|","")&amp;IF(S32&lt;&gt;"","Flex|","")&amp;IF(T32&lt;&gt;"","Steel|","")&amp;IF(U32&lt;&gt;"","Plastic|","")&amp;IF(V32&lt;&gt;"",V32&amp;"|","")</f>
        <v/>
      </c>
    </row>
    <row r="33" customFormat="false" ht="16.5" hidden="false" customHeight="true" outlineLevel="0" collapsed="false">
      <c r="A33" s="44" t="s">
        <v>220</v>
      </c>
      <c r="B33" s="45" t="s">
        <v>221</v>
      </c>
      <c r="C33" s="44" t="s">
        <v>172</v>
      </c>
      <c r="D33" s="44" t="s">
        <v>211</v>
      </c>
      <c r="E33" s="44" t="s">
        <v>141</v>
      </c>
      <c r="F33" s="36" t="str">
        <f aca="false">IF(LEN(AA33)=0,"",LEFT(AA33,LEN(AA33)-1))</f>
        <v/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8"/>
      <c r="T33" s="37"/>
      <c r="U33" s="37"/>
      <c r="V33" s="46"/>
      <c r="W33" s="46"/>
      <c r="X33" s="40"/>
      <c r="Y33" s="41"/>
      <c r="Z33" s="42"/>
      <c r="AA33" s="43" t="str">
        <f aca="false">IF(G33&lt;&gt;"","Poplar|","")&amp;IF(H33&lt;&gt;"","FJ Primed Poplar|","")&amp;IF(I33&lt;&gt;"","FJ Primed Pine|","")&amp;IF(J33&lt;&gt;"","Clear Pine|","")&amp;IF(K33&lt;&gt;"","Primed MDF|","")&amp;IF(L33&lt;&gt;"","White Oak|","")&amp;IF(M33&lt;&gt;"","Red Oak|","")&amp;IF(N33&lt;&gt;"","Hard Maple|","")&amp;IF(O33&lt;&gt;"","Black Walnut|","")&amp;IF(P33&lt;&gt;"","Douglas Fir|","")&amp;IF(Q33&lt;&gt;"","Western Red Cedar|","")&amp;IF(R33&lt;&gt;"","PVC|","")&amp;IF(S33&lt;&gt;"","Flex|","")&amp;IF(T33&lt;&gt;"","Steel|","")&amp;IF(U33&lt;&gt;"","Plastic|","")&amp;IF(V33&lt;&gt;"",V33&amp;"|","")</f>
        <v/>
      </c>
    </row>
    <row r="34" customFormat="false" ht="16.5" hidden="false" customHeight="true" outlineLevel="0" collapsed="false">
      <c r="A34" s="44" t="s">
        <v>222</v>
      </c>
      <c r="B34" s="45" t="s">
        <v>223</v>
      </c>
      <c r="C34" s="44" t="s">
        <v>172</v>
      </c>
      <c r="D34" s="44" t="s">
        <v>211</v>
      </c>
      <c r="E34" s="44" t="s">
        <v>141</v>
      </c>
      <c r="F34" s="36" t="str">
        <f aca="false">IF(LEN(AA34)=0,"",LEFT(AA34,LEN(AA34)-1))</f>
        <v/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8"/>
      <c r="T34" s="37"/>
      <c r="U34" s="37"/>
      <c r="V34" s="46"/>
      <c r="W34" s="46"/>
      <c r="X34" s="40"/>
      <c r="Y34" s="41"/>
      <c r="Z34" s="42"/>
      <c r="AA34" s="43" t="str">
        <f aca="false">IF(G34&lt;&gt;"","Poplar|","")&amp;IF(H34&lt;&gt;"","FJ Primed Poplar|","")&amp;IF(I34&lt;&gt;"","FJ Primed Pine|","")&amp;IF(J34&lt;&gt;"","Clear Pine|","")&amp;IF(K34&lt;&gt;"","Primed MDF|","")&amp;IF(L34&lt;&gt;"","White Oak|","")&amp;IF(M34&lt;&gt;"","Red Oak|","")&amp;IF(N34&lt;&gt;"","Hard Maple|","")&amp;IF(O34&lt;&gt;"","Black Walnut|","")&amp;IF(P34&lt;&gt;"","Douglas Fir|","")&amp;IF(Q34&lt;&gt;"","Western Red Cedar|","")&amp;IF(R34&lt;&gt;"","PVC|","")&amp;IF(S34&lt;&gt;"","Flex|","")&amp;IF(T34&lt;&gt;"","Steel|","")&amp;IF(U34&lt;&gt;"","Plastic|","")&amp;IF(V34&lt;&gt;"",V34&amp;"|","")</f>
        <v/>
      </c>
    </row>
    <row r="35" customFormat="false" ht="16.5" hidden="false" customHeight="true" outlineLevel="0" collapsed="false">
      <c r="A35" s="44" t="s">
        <v>224</v>
      </c>
      <c r="B35" s="45" t="s">
        <v>225</v>
      </c>
      <c r="C35" s="44" t="s">
        <v>172</v>
      </c>
      <c r="D35" s="44" t="s">
        <v>211</v>
      </c>
      <c r="E35" s="44" t="s">
        <v>141</v>
      </c>
      <c r="F35" s="36" t="str">
        <f aca="false">IF(LEN(AA35)=0,"",LEFT(AA35,LEN(AA35)-1))</f>
        <v/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8"/>
      <c r="T35" s="37"/>
      <c r="U35" s="37"/>
      <c r="V35" s="46"/>
      <c r="W35" s="46"/>
      <c r="X35" s="40"/>
      <c r="Y35" s="41"/>
      <c r="Z35" s="42"/>
      <c r="AA35" s="43" t="str">
        <f aca="false">IF(G35&lt;&gt;"","Poplar|","")&amp;IF(H35&lt;&gt;"","FJ Primed Poplar|","")&amp;IF(I35&lt;&gt;"","FJ Primed Pine|","")&amp;IF(J35&lt;&gt;"","Clear Pine|","")&amp;IF(K35&lt;&gt;"","Primed MDF|","")&amp;IF(L35&lt;&gt;"","White Oak|","")&amp;IF(M35&lt;&gt;"","Red Oak|","")&amp;IF(N35&lt;&gt;"","Hard Maple|","")&amp;IF(O35&lt;&gt;"","Black Walnut|","")&amp;IF(P35&lt;&gt;"","Douglas Fir|","")&amp;IF(Q35&lt;&gt;"","Western Red Cedar|","")&amp;IF(R35&lt;&gt;"","PVC|","")&amp;IF(S35&lt;&gt;"","Flex|","")&amp;IF(T35&lt;&gt;"","Steel|","")&amp;IF(U35&lt;&gt;"","Plastic|","")&amp;IF(V35&lt;&gt;"",V35&amp;"|","")</f>
        <v/>
      </c>
    </row>
    <row r="36" customFormat="false" ht="16.5" hidden="false" customHeight="true" outlineLevel="0" collapsed="false">
      <c r="A36" s="44" t="s">
        <v>226</v>
      </c>
      <c r="B36" s="45" t="s">
        <v>227</v>
      </c>
      <c r="C36" s="44" t="s">
        <v>172</v>
      </c>
      <c r="D36" s="44" t="s">
        <v>228</v>
      </c>
      <c r="E36" s="44" t="s">
        <v>141</v>
      </c>
      <c r="F36" s="36" t="str">
        <f aca="false">IF(LEN(AA36)=0,"",LEFT(AA36,LEN(AA36)-1))</f>
        <v/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8"/>
      <c r="T36" s="37"/>
      <c r="U36" s="37"/>
      <c r="V36" s="46"/>
      <c r="W36" s="46"/>
      <c r="X36" s="40"/>
      <c r="Y36" s="41"/>
      <c r="Z36" s="42"/>
      <c r="AA36" s="43" t="str">
        <f aca="false">IF(G36&lt;&gt;"","Poplar|","")&amp;IF(H36&lt;&gt;"","FJ Primed Poplar|","")&amp;IF(I36&lt;&gt;"","FJ Primed Pine|","")&amp;IF(J36&lt;&gt;"","Clear Pine|","")&amp;IF(K36&lt;&gt;"","Primed MDF|","")&amp;IF(L36&lt;&gt;"","White Oak|","")&amp;IF(M36&lt;&gt;"","Red Oak|","")&amp;IF(N36&lt;&gt;"","Hard Maple|","")&amp;IF(O36&lt;&gt;"","Black Walnut|","")&amp;IF(P36&lt;&gt;"","Douglas Fir|","")&amp;IF(Q36&lt;&gt;"","Western Red Cedar|","")&amp;IF(R36&lt;&gt;"","PVC|","")&amp;IF(S36&lt;&gt;"","Flex|","")&amp;IF(T36&lt;&gt;"","Steel|","")&amp;IF(U36&lt;&gt;"","Plastic|","")&amp;IF(V36&lt;&gt;"",V36&amp;"|","")</f>
        <v/>
      </c>
    </row>
    <row r="37" customFormat="false" ht="16.5" hidden="false" customHeight="true" outlineLevel="0" collapsed="false">
      <c r="A37" s="44" t="s">
        <v>229</v>
      </c>
      <c r="B37" s="45" t="s">
        <v>230</v>
      </c>
      <c r="C37" s="44" t="s">
        <v>172</v>
      </c>
      <c r="D37" s="44" t="s">
        <v>231</v>
      </c>
      <c r="E37" s="44" t="s">
        <v>141</v>
      </c>
      <c r="F37" s="36" t="str">
        <f aca="false">IF(LEN(AA37)=0,"",LEFT(AA37,LEN(AA37)-1))</f>
        <v/>
      </c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8"/>
      <c r="T37" s="37"/>
      <c r="U37" s="37"/>
      <c r="V37" s="46"/>
      <c r="W37" s="46"/>
      <c r="X37" s="40"/>
      <c r="Y37" s="41"/>
      <c r="Z37" s="42"/>
      <c r="AA37" s="43" t="str">
        <f aca="false">IF(G37&lt;&gt;"","Poplar|","")&amp;IF(H37&lt;&gt;"","FJ Primed Poplar|","")&amp;IF(I37&lt;&gt;"","FJ Primed Pine|","")&amp;IF(J37&lt;&gt;"","Clear Pine|","")&amp;IF(K37&lt;&gt;"","Primed MDF|","")&amp;IF(L37&lt;&gt;"","White Oak|","")&amp;IF(M37&lt;&gt;"","Red Oak|","")&amp;IF(N37&lt;&gt;"","Hard Maple|","")&amp;IF(O37&lt;&gt;"","Black Walnut|","")&amp;IF(P37&lt;&gt;"","Douglas Fir|","")&amp;IF(Q37&lt;&gt;"","Western Red Cedar|","")&amp;IF(R37&lt;&gt;"","PVC|","")&amp;IF(S37&lt;&gt;"","Flex|","")&amp;IF(T37&lt;&gt;"","Steel|","")&amp;IF(U37&lt;&gt;"","Plastic|","")&amp;IF(V37&lt;&gt;"",V37&amp;"|","")</f>
        <v/>
      </c>
    </row>
    <row r="38" customFormat="false" ht="16.5" hidden="false" customHeight="true" outlineLevel="0" collapsed="false">
      <c r="A38" s="34" t="s">
        <v>232</v>
      </c>
      <c r="B38" s="35" t="s">
        <v>233</v>
      </c>
      <c r="C38" s="34" t="s">
        <v>234</v>
      </c>
      <c r="D38" s="34" t="s">
        <v>235</v>
      </c>
      <c r="E38" s="34" t="s">
        <v>141</v>
      </c>
      <c r="F38" s="36" t="str">
        <f aca="false">IF(LEN(AA38)=0,"",LEFT(AA38,LEN(AA38)-1))</f>
        <v/>
      </c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8"/>
      <c r="T38" s="37"/>
      <c r="U38" s="37"/>
      <c r="V38" s="39"/>
      <c r="W38" s="39"/>
      <c r="X38" s="40"/>
      <c r="Y38" s="41"/>
      <c r="Z38" s="42"/>
      <c r="AA38" s="43" t="str">
        <f aca="false">IF(G38&lt;&gt;"","Poplar|","")&amp;IF(H38&lt;&gt;"","FJ Primed Poplar|","")&amp;IF(I38&lt;&gt;"","FJ Primed Pine|","")&amp;IF(J38&lt;&gt;"","Clear Pine|","")&amp;IF(K38&lt;&gt;"","Primed MDF|","")&amp;IF(L38&lt;&gt;"","White Oak|","")&amp;IF(M38&lt;&gt;"","Red Oak|","")&amp;IF(N38&lt;&gt;"","Hard Maple|","")&amp;IF(O38&lt;&gt;"","Black Walnut|","")&amp;IF(P38&lt;&gt;"","Douglas Fir|","")&amp;IF(Q38&lt;&gt;"","Western Red Cedar|","")&amp;IF(R38&lt;&gt;"","PVC|","")&amp;IF(S38&lt;&gt;"","Flex|","")&amp;IF(T38&lt;&gt;"","Steel|","")&amp;IF(U38&lt;&gt;"","Plastic|","")&amp;IF(V38&lt;&gt;"",V38&amp;"|","")</f>
        <v/>
      </c>
    </row>
    <row r="39" customFormat="false" ht="16.5" hidden="false" customHeight="true" outlineLevel="0" collapsed="false">
      <c r="A39" s="34" t="s">
        <v>236</v>
      </c>
      <c r="B39" s="35" t="s">
        <v>237</v>
      </c>
      <c r="C39" s="34" t="s">
        <v>234</v>
      </c>
      <c r="D39" s="34" t="s">
        <v>238</v>
      </c>
      <c r="E39" s="34" t="s">
        <v>141</v>
      </c>
      <c r="F39" s="36" t="str">
        <f aca="false">IF(LEN(AA39)=0,"",LEFT(AA39,LEN(AA39)-1))</f>
        <v/>
      </c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8"/>
      <c r="T39" s="37"/>
      <c r="U39" s="37"/>
      <c r="V39" s="39"/>
      <c r="W39" s="39"/>
      <c r="X39" s="40"/>
      <c r="Y39" s="41"/>
      <c r="Z39" s="42"/>
      <c r="AA39" s="43" t="str">
        <f aca="false">IF(G39&lt;&gt;"","Poplar|","")&amp;IF(H39&lt;&gt;"","FJ Primed Poplar|","")&amp;IF(I39&lt;&gt;"","FJ Primed Pine|","")&amp;IF(J39&lt;&gt;"","Clear Pine|","")&amp;IF(K39&lt;&gt;"","Primed MDF|","")&amp;IF(L39&lt;&gt;"","White Oak|","")&amp;IF(M39&lt;&gt;"","Red Oak|","")&amp;IF(N39&lt;&gt;"","Hard Maple|","")&amp;IF(O39&lt;&gt;"","Black Walnut|","")&amp;IF(P39&lt;&gt;"","Douglas Fir|","")&amp;IF(Q39&lt;&gt;"","Western Red Cedar|","")&amp;IF(R39&lt;&gt;"","PVC|","")&amp;IF(S39&lt;&gt;"","Flex|","")&amp;IF(T39&lt;&gt;"","Steel|","")&amp;IF(U39&lt;&gt;"","Plastic|","")&amp;IF(V39&lt;&gt;"",V39&amp;"|","")</f>
        <v/>
      </c>
    </row>
    <row r="40" customFormat="false" ht="16.5" hidden="false" customHeight="true" outlineLevel="0" collapsed="false">
      <c r="A40" s="34" t="s">
        <v>239</v>
      </c>
      <c r="B40" s="35" t="s">
        <v>240</v>
      </c>
      <c r="C40" s="34" t="s">
        <v>234</v>
      </c>
      <c r="D40" s="34" t="s">
        <v>241</v>
      </c>
      <c r="E40" s="34" t="s">
        <v>141</v>
      </c>
      <c r="F40" s="36" t="str">
        <f aca="false">IF(LEN(AA40)=0,"",LEFT(AA40,LEN(AA40)-1))</f>
        <v/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8"/>
      <c r="T40" s="37"/>
      <c r="U40" s="37"/>
      <c r="V40" s="39"/>
      <c r="W40" s="39"/>
      <c r="X40" s="40"/>
      <c r="Y40" s="41"/>
      <c r="Z40" s="42"/>
      <c r="AA40" s="43" t="str">
        <f aca="false">IF(G40&lt;&gt;"","Poplar|","")&amp;IF(H40&lt;&gt;"","FJ Primed Poplar|","")&amp;IF(I40&lt;&gt;"","FJ Primed Pine|","")&amp;IF(J40&lt;&gt;"","Clear Pine|","")&amp;IF(K40&lt;&gt;"","Primed MDF|","")&amp;IF(L40&lt;&gt;"","White Oak|","")&amp;IF(M40&lt;&gt;"","Red Oak|","")&amp;IF(N40&lt;&gt;"","Hard Maple|","")&amp;IF(O40&lt;&gt;"","Black Walnut|","")&amp;IF(P40&lt;&gt;"","Douglas Fir|","")&amp;IF(Q40&lt;&gt;"","Western Red Cedar|","")&amp;IF(R40&lt;&gt;"","PVC|","")&amp;IF(S40&lt;&gt;"","Flex|","")&amp;IF(T40&lt;&gt;"","Steel|","")&amp;IF(U40&lt;&gt;"","Plastic|","")&amp;IF(V40&lt;&gt;"",V40&amp;"|","")</f>
        <v/>
      </c>
    </row>
    <row r="41" customFormat="false" ht="16.5" hidden="false" customHeight="true" outlineLevel="0" collapsed="false">
      <c r="A41" s="44" t="s">
        <v>242</v>
      </c>
      <c r="B41" s="45" t="s">
        <v>243</v>
      </c>
      <c r="C41" s="44" t="s">
        <v>244</v>
      </c>
      <c r="D41" s="44" t="s">
        <v>245</v>
      </c>
      <c r="E41" s="44" t="s">
        <v>141</v>
      </c>
      <c r="F41" s="36" t="str">
        <f aca="false">IF(LEN(AA41)=0,"",LEFT(AA41,LEN(AA41)-1))</f>
        <v/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8"/>
      <c r="T41" s="37"/>
      <c r="U41" s="37"/>
      <c r="V41" s="46"/>
      <c r="W41" s="46"/>
      <c r="X41" s="40"/>
      <c r="Y41" s="41"/>
      <c r="Z41" s="42"/>
      <c r="AA41" s="43" t="str">
        <f aca="false">IF(G41&lt;&gt;"","Poplar|","")&amp;IF(H41&lt;&gt;"","FJ Primed Poplar|","")&amp;IF(I41&lt;&gt;"","FJ Primed Pine|","")&amp;IF(J41&lt;&gt;"","Clear Pine|","")&amp;IF(K41&lt;&gt;"","Primed MDF|","")&amp;IF(L41&lt;&gt;"","White Oak|","")&amp;IF(M41&lt;&gt;"","Red Oak|","")&amp;IF(N41&lt;&gt;"","Hard Maple|","")&amp;IF(O41&lt;&gt;"","Black Walnut|","")&amp;IF(P41&lt;&gt;"","Douglas Fir|","")&amp;IF(Q41&lt;&gt;"","Western Red Cedar|","")&amp;IF(R41&lt;&gt;"","PVC|","")&amp;IF(S41&lt;&gt;"","Flex|","")&amp;IF(T41&lt;&gt;"","Steel|","")&amp;IF(U41&lt;&gt;"","Plastic|","")&amp;IF(V41&lt;&gt;"",V41&amp;"|","")</f>
        <v/>
      </c>
    </row>
    <row r="42" customFormat="false" ht="16.5" hidden="false" customHeight="true" outlineLevel="0" collapsed="false">
      <c r="A42" s="44" t="s">
        <v>246</v>
      </c>
      <c r="B42" s="45" t="s">
        <v>247</v>
      </c>
      <c r="C42" s="44" t="s">
        <v>244</v>
      </c>
      <c r="D42" s="44" t="s">
        <v>245</v>
      </c>
      <c r="E42" s="44" t="s">
        <v>141</v>
      </c>
      <c r="F42" s="36" t="str">
        <f aca="false">IF(LEN(AA42)=0,"",LEFT(AA42,LEN(AA42)-1))</f>
        <v/>
      </c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8"/>
      <c r="T42" s="37"/>
      <c r="U42" s="37"/>
      <c r="V42" s="46"/>
      <c r="W42" s="46"/>
      <c r="X42" s="40"/>
      <c r="Y42" s="41"/>
      <c r="Z42" s="42"/>
      <c r="AA42" s="43" t="str">
        <f aca="false">IF(G42&lt;&gt;"","Poplar|","")&amp;IF(H42&lt;&gt;"","FJ Primed Poplar|","")&amp;IF(I42&lt;&gt;"","FJ Primed Pine|","")&amp;IF(J42&lt;&gt;"","Clear Pine|","")&amp;IF(K42&lt;&gt;"","Primed MDF|","")&amp;IF(L42&lt;&gt;"","White Oak|","")&amp;IF(M42&lt;&gt;"","Red Oak|","")&amp;IF(N42&lt;&gt;"","Hard Maple|","")&amp;IF(O42&lt;&gt;"","Black Walnut|","")&amp;IF(P42&lt;&gt;"","Douglas Fir|","")&amp;IF(Q42&lt;&gt;"","Western Red Cedar|","")&amp;IF(R42&lt;&gt;"","PVC|","")&amp;IF(S42&lt;&gt;"","Flex|","")&amp;IF(T42&lt;&gt;"","Steel|","")&amp;IF(U42&lt;&gt;"","Plastic|","")&amp;IF(V42&lt;&gt;"",V42&amp;"|","")</f>
        <v/>
      </c>
    </row>
    <row r="43" customFormat="false" ht="16.5" hidden="false" customHeight="true" outlineLevel="0" collapsed="false">
      <c r="A43" s="44" t="s">
        <v>248</v>
      </c>
      <c r="B43" s="45" t="s">
        <v>249</v>
      </c>
      <c r="C43" s="44" t="s">
        <v>244</v>
      </c>
      <c r="D43" s="44" t="s">
        <v>245</v>
      </c>
      <c r="E43" s="44" t="s">
        <v>141</v>
      </c>
      <c r="F43" s="36" t="str">
        <f aca="false">IF(LEN(AA43)=0,"",LEFT(AA43,LEN(AA43)-1))</f>
        <v/>
      </c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8"/>
      <c r="T43" s="37"/>
      <c r="U43" s="37"/>
      <c r="V43" s="46"/>
      <c r="W43" s="46"/>
      <c r="X43" s="40"/>
      <c r="Y43" s="41"/>
      <c r="Z43" s="42"/>
      <c r="AA43" s="43" t="str">
        <f aca="false">IF(G43&lt;&gt;"","Poplar|","")&amp;IF(H43&lt;&gt;"","FJ Primed Poplar|","")&amp;IF(I43&lt;&gt;"","FJ Primed Pine|","")&amp;IF(J43&lt;&gt;"","Clear Pine|","")&amp;IF(K43&lt;&gt;"","Primed MDF|","")&amp;IF(L43&lt;&gt;"","White Oak|","")&amp;IF(M43&lt;&gt;"","Red Oak|","")&amp;IF(N43&lt;&gt;"","Hard Maple|","")&amp;IF(O43&lt;&gt;"","Black Walnut|","")&amp;IF(P43&lt;&gt;"","Douglas Fir|","")&amp;IF(Q43&lt;&gt;"","Western Red Cedar|","")&amp;IF(R43&lt;&gt;"","PVC|","")&amp;IF(S43&lt;&gt;"","Flex|","")&amp;IF(T43&lt;&gt;"","Steel|","")&amp;IF(U43&lt;&gt;"","Plastic|","")&amp;IF(V43&lt;&gt;"",V43&amp;"|","")</f>
        <v/>
      </c>
    </row>
    <row r="44" customFormat="false" ht="16.5" hidden="false" customHeight="true" outlineLevel="0" collapsed="false">
      <c r="A44" s="44" t="s">
        <v>250</v>
      </c>
      <c r="B44" s="45" t="s">
        <v>251</v>
      </c>
      <c r="C44" s="44" t="s">
        <v>244</v>
      </c>
      <c r="D44" s="44" t="s">
        <v>252</v>
      </c>
      <c r="E44" s="44" t="s">
        <v>141</v>
      </c>
      <c r="F44" s="36" t="str">
        <f aca="false">IF(LEN(AA44)=0,"",LEFT(AA44,LEN(AA44)-1))</f>
        <v/>
      </c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8"/>
      <c r="T44" s="37"/>
      <c r="U44" s="37"/>
      <c r="V44" s="46"/>
      <c r="W44" s="46"/>
      <c r="X44" s="40"/>
      <c r="Y44" s="41"/>
      <c r="Z44" s="42"/>
      <c r="AA44" s="43" t="str">
        <f aca="false">IF(G44&lt;&gt;"","Poplar|","")&amp;IF(H44&lt;&gt;"","FJ Primed Poplar|","")&amp;IF(I44&lt;&gt;"","FJ Primed Pine|","")&amp;IF(J44&lt;&gt;"","Clear Pine|","")&amp;IF(K44&lt;&gt;"","Primed MDF|","")&amp;IF(L44&lt;&gt;"","White Oak|","")&amp;IF(M44&lt;&gt;"","Red Oak|","")&amp;IF(N44&lt;&gt;"","Hard Maple|","")&amp;IF(O44&lt;&gt;"","Black Walnut|","")&amp;IF(P44&lt;&gt;"","Douglas Fir|","")&amp;IF(Q44&lt;&gt;"","Western Red Cedar|","")&amp;IF(R44&lt;&gt;"","PVC|","")&amp;IF(S44&lt;&gt;"","Flex|","")&amp;IF(T44&lt;&gt;"","Steel|","")&amp;IF(U44&lt;&gt;"","Plastic|","")&amp;IF(V44&lt;&gt;"",V44&amp;"|","")</f>
        <v/>
      </c>
    </row>
    <row r="45" customFormat="false" ht="16.5" hidden="false" customHeight="true" outlineLevel="0" collapsed="false">
      <c r="A45" s="44" t="s">
        <v>253</v>
      </c>
      <c r="B45" s="45" t="s">
        <v>254</v>
      </c>
      <c r="C45" s="44" t="s">
        <v>244</v>
      </c>
      <c r="D45" s="44" t="s">
        <v>255</v>
      </c>
      <c r="E45" s="44" t="s">
        <v>141</v>
      </c>
      <c r="F45" s="36" t="str">
        <f aca="false">IF(LEN(AA45)=0,"",LEFT(AA45,LEN(AA45)-1))</f>
        <v/>
      </c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8"/>
      <c r="T45" s="37"/>
      <c r="U45" s="37"/>
      <c r="V45" s="46"/>
      <c r="W45" s="46"/>
      <c r="X45" s="40"/>
      <c r="Y45" s="41"/>
      <c r="Z45" s="42"/>
      <c r="AA45" s="43" t="str">
        <f aca="false">IF(G45&lt;&gt;"","Poplar|","")&amp;IF(H45&lt;&gt;"","FJ Primed Poplar|","")&amp;IF(I45&lt;&gt;"","FJ Primed Pine|","")&amp;IF(J45&lt;&gt;"","Clear Pine|","")&amp;IF(K45&lt;&gt;"","Primed MDF|","")&amp;IF(L45&lt;&gt;"","White Oak|","")&amp;IF(M45&lt;&gt;"","Red Oak|","")&amp;IF(N45&lt;&gt;"","Hard Maple|","")&amp;IF(O45&lt;&gt;"","Black Walnut|","")&amp;IF(P45&lt;&gt;"","Douglas Fir|","")&amp;IF(Q45&lt;&gt;"","Western Red Cedar|","")&amp;IF(R45&lt;&gt;"","PVC|","")&amp;IF(S45&lt;&gt;"","Flex|","")&amp;IF(T45&lt;&gt;"","Steel|","")&amp;IF(U45&lt;&gt;"","Plastic|","")&amp;IF(V45&lt;&gt;"",V45&amp;"|","")</f>
        <v/>
      </c>
    </row>
    <row r="46" customFormat="false" ht="16.5" hidden="false" customHeight="true" outlineLevel="0" collapsed="false">
      <c r="A46" s="34" t="s">
        <v>256</v>
      </c>
      <c r="B46" s="35" t="s">
        <v>257</v>
      </c>
      <c r="C46" s="34" t="s">
        <v>258</v>
      </c>
      <c r="D46" s="34" t="s">
        <v>259</v>
      </c>
      <c r="E46" s="34" t="s">
        <v>141</v>
      </c>
      <c r="F46" s="36" t="str">
        <f aca="false">IF(LEN(AA46)=0,"",LEFT(AA46,LEN(AA46)-1))</f>
        <v/>
      </c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8"/>
      <c r="T46" s="37"/>
      <c r="U46" s="37"/>
      <c r="V46" s="39"/>
      <c r="W46" s="39"/>
      <c r="X46" s="40"/>
      <c r="Y46" s="41"/>
      <c r="Z46" s="42"/>
      <c r="AA46" s="43" t="str">
        <f aca="false">IF(G46&lt;&gt;"","Poplar|","")&amp;IF(H46&lt;&gt;"","FJ Primed Poplar|","")&amp;IF(I46&lt;&gt;"","FJ Primed Pine|","")&amp;IF(J46&lt;&gt;"","Clear Pine|","")&amp;IF(K46&lt;&gt;"","Primed MDF|","")&amp;IF(L46&lt;&gt;"","White Oak|","")&amp;IF(M46&lt;&gt;"","Red Oak|","")&amp;IF(N46&lt;&gt;"","Hard Maple|","")&amp;IF(O46&lt;&gt;"","Black Walnut|","")&amp;IF(P46&lt;&gt;"","Douglas Fir|","")&amp;IF(Q46&lt;&gt;"","Western Red Cedar|","")&amp;IF(R46&lt;&gt;"","PVC|","")&amp;IF(S46&lt;&gt;"","Flex|","")&amp;IF(T46&lt;&gt;"","Steel|","")&amp;IF(U46&lt;&gt;"","Plastic|","")&amp;IF(V46&lt;&gt;"",V46&amp;"|","")</f>
        <v/>
      </c>
    </row>
    <row r="47" customFormat="false" ht="16.5" hidden="false" customHeight="true" outlineLevel="0" collapsed="false">
      <c r="A47" s="34" t="s">
        <v>260</v>
      </c>
      <c r="B47" s="35" t="s">
        <v>261</v>
      </c>
      <c r="C47" s="34" t="s">
        <v>258</v>
      </c>
      <c r="D47" s="34" t="s">
        <v>262</v>
      </c>
      <c r="E47" s="34" t="s">
        <v>141</v>
      </c>
      <c r="F47" s="36" t="str">
        <f aca="false">IF(LEN(AA47)=0,"",LEFT(AA47,LEN(AA47)-1))</f>
        <v/>
      </c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8"/>
      <c r="T47" s="37"/>
      <c r="U47" s="37"/>
      <c r="V47" s="39"/>
      <c r="W47" s="39"/>
      <c r="X47" s="40"/>
      <c r="Y47" s="41"/>
      <c r="Z47" s="42"/>
      <c r="AA47" s="43" t="str">
        <f aca="false">IF(G47&lt;&gt;"","Poplar|","")&amp;IF(H47&lt;&gt;"","FJ Primed Poplar|","")&amp;IF(I47&lt;&gt;"","FJ Primed Pine|","")&amp;IF(J47&lt;&gt;"","Clear Pine|","")&amp;IF(K47&lt;&gt;"","Primed MDF|","")&amp;IF(L47&lt;&gt;"","White Oak|","")&amp;IF(M47&lt;&gt;"","Red Oak|","")&amp;IF(N47&lt;&gt;"","Hard Maple|","")&amp;IF(O47&lt;&gt;"","Black Walnut|","")&amp;IF(P47&lt;&gt;"","Douglas Fir|","")&amp;IF(Q47&lt;&gt;"","Western Red Cedar|","")&amp;IF(R47&lt;&gt;"","PVC|","")&amp;IF(S47&lt;&gt;"","Flex|","")&amp;IF(T47&lt;&gt;"","Steel|","")&amp;IF(U47&lt;&gt;"","Plastic|","")&amp;IF(V47&lt;&gt;"",V47&amp;"|","")</f>
        <v/>
      </c>
    </row>
    <row r="48" customFormat="false" ht="16.5" hidden="false" customHeight="true" outlineLevel="0" collapsed="false">
      <c r="A48" s="34" t="s">
        <v>263</v>
      </c>
      <c r="B48" s="35" t="s">
        <v>264</v>
      </c>
      <c r="C48" s="34" t="s">
        <v>258</v>
      </c>
      <c r="D48" s="34" t="s">
        <v>265</v>
      </c>
      <c r="E48" s="34" t="s">
        <v>141</v>
      </c>
      <c r="F48" s="36" t="str">
        <f aca="false">IF(LEN(AA48)=0,"",LEFT(AA48,LEN(AA48)-1))</f>
        <v/>
      </c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8"/>
      <c r="T48" s="37"/>
      <c r="U48" s="37"/>
      <c r="V48" s="39"/>
      <c r="W48" s="39"/>
      <c r="X48" s="40"/>
      <c r="Y48" s="41"/>
      <c r="Z48" s="42"/>
      <c r="AA48" s="43" t="str">
        <f aca="false">IF(G48&lt;&gt;"","Poplar|","")&amp;IF(H48&lt;&gt;"","FJ Primed Poplar|","")&amp;IF(I48&lt;&gt;"","FJ Primed Pine|","")&amp;IF(J48&lt;&gt;"","Clear Pine|","")&amp;IF(K48&lt;&gt;"","Primed MDF|","")&amp;IF(L48&lt;&gt;"","White Oak|","")&amp;IF(M48&lt;&gt;"","Red Oak|","")&amp;IF(N48&lt;&gt;"","Hard Maple|","")&amp;IF(O48&lt;&gt;"","Black Walnut|","")&amp;IF(P48&lt;&gt;"","Douglas Fir|","")&amp;IF(Q48&lt;&gt;"","Western Red Cedar|","")&amp;IF(R48&lt;&gt;"","PVC|","")&amp;IF(S48&lt;&gt;"","Flex|","")&amp;IF(T48&lt;&gt;"","Steel|","")&amp;IF(U48&lt;&gt;"","Plastic|","")&amp;IF(V48&lt;&gt;"",V48&amp;"|","")</f>
        <v/>
      </c>
    </row>
    <row r="49" customFormat="false" ht="16.5" hidden="false" customHeight="true" outlineLevel="0" collapsed="false">
      <c r="A49" s="34" t="s">
        <v>266</v>
      </c>
      <c r="B49" s="35" t="s">
        <v>267</v>
      </c>
      <c r="C49" s="34" t="s">
        <v>258</v>
      </c>
      <c r="D49" s="34" t="s">
        <v>268</v>
      </c>
      <c r="E49" s="34" t="s">
        <v>141</v>
      </c>
      <c r="F49" s="36" t="str">
        <f aca="false">IF(LEN(AA49)=0,"",LEFT(AA49,LEN(AA49)-1))</f>
        <v/>
      </c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8"/>
      <c r="T49" s="37"/>
      <c r="U49" s="37"/>
      <c r="V49" s="39"/>
      <c r="W49" s="39"/>
      <c r="X49" s="40"/>
      <c r="Y49" s="41"/>
      <c r="Z49" s="42"/>
      <c r="AA49" s="43" t="str">
        <f aca="false">IF(G49&lt;&gt;"","Poplar|","")&amp;IF(H49&lt;&gt;"","FJ Primed Poplar|","")&amp;IF(I49&lt;&gt;"","FJ Primed Pine|","")&amp;IF(J49&lt;&gt;"","Clear Pine|","")&amp;IF(K49&lt;&gt;"","Primed MDF|","")&amp;IF(L49&lt;&gt;"","White Oak|","")&amp;IF(M49&lt;&gt;"","Red Oak|","")&amp;IF(N49&lt;&gt;"","Hard Maple|","")&amp;IF(O49&lt;&gt;"","Black Walnut|","")&amp;IF(P49&lt;&gt;"","Douglas Fir|","")&amp;IF(Q49&lt;&gt;"","Western Red Cedar|","")&amp;IF(R49&lt;&gt;"","PVC|","")&amp;IF(S49&lt;&gt;"","Flex|","")&amp;IF(T49&lt;&gt;"","Steel|","")&amp;IF(U49&lt;&gt;"","Plastic|","")&amp;IF(V49&lt;&gt;"",V49&amp;"|","")</f>
        <v/>
      </c>
    </row>
    <row r="50" customFormat="false" ht="16.5" hidden="false" customHeight="true" outlineLevel="0" collapsed="false">
      <c r="A50" s="34" t="s">
        <v>269</v>
      </c>
      <c r="B50" s="35" t="s">
        <v>270</v>
      </c>
      <c r="C50" s="34" t="s">
        <v>258</v>
      </c>
      <c r="D50" s="34" t="s">
        <v>271</v>
      </c>
      <c r="E50" s="34" t="s">
        <v>141</v>
      </c>
      <c r="F50" s="36" t="str">
        <f aca="false">IF(LEN(AA50)=0,"",LEFT(AA50,LEN(AA50)-1))</f>
        <v/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8"/>
      <c r="T50" s="37"/>
      <c r="U50" s="37"/>
      <c r="V50" s="39"/>
      <c r="W50" s="39"/>
      <c r="X50" s="40"/>
      <c r="Y50" s="41"/>
      <c r="Z50" s="42"/>
      <c r="AA50" s="43" t="str">
        <f aca="false">IF(G50&lt;&gt;"","Poplar|","")&amp;IF(H50&lt;&gt;"","FJ Primed Poplar|","")&amp;IF(I50&lt;&gt;"","FJ Primed Pine|","")&amp;IF(J50&lt;&gt;"","Clear Pine|","")&amp;IF(K50&lt;&gt;"","Primed MDF|","")&amp;IF(L50&lt;&gt;"","White Oak|","")&amp;IF(M50&lt;&gt;"","Red Oak|","")&amp;IF(N50&lt;&gt;"","Hard Maple|","")&amp;IF(O50&lt;&gt;"","Black Walnut|","")&amp;IF(P50&lt;&gt;"","Douglas Fir|","")&amp;IF(Q50&lt;&gt;"","Western Red Cedar|","")&amp;IF(R50&lt;&gt;"","PVC|","")&amp;IF(S50&lt;&gt;"","Flex|","")&amp;IF(T50&lt;&gt;"","Steel|","")&amp;IF(U50&lt;&gt;"","Plastic|","")&amp;IF(V50&lt;&gt;"",V50&amp;"|","")</f>
        <v/>
      </c>
    </row>
    <row r="51" customFormat="false" ht="16.5" hidden="false" customHeight="true" outlineLevel="0" collapsed="false">
      <c r="A51" s="44" t="s">
        <v>272</v>
      </c>
      <c r="B51" s="45" t="s">
        <v>273</v>
      </c>
      <c r="C51" s="44" t="s">
        <v>274</v>
      </c>
      <c r="D51" s="44" t="s">
        <v>275</v>
      </c>
      <c r="E51" s="44" t="s">
        <v>141</v>
      </c>
      <c r="F51" s="36" t="str">
        <f aca="false">IF(LEN(AA51)=0,"",LEFT(AA51,LEN(AA51)-1))</f>
        <v/>
      </c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37"/>
      <c r="U51" s="37"/>
      <c r="V51" s="46"/>
      <c r="W51" s="46"/>
      <c r="X51" s="40"/>
      <c r="Y51" s="41"/>
      <c r="Z51" s="42"/>
      <c r="AA51" s="43" t="str">
        <f aca="false">IF(G51&lt;&gt;"","Poplar|","")&amp;IF(H51&lt;&gt;"","FJ Primed Poplar|","")&amp;IF(I51&lt;&gt;"","FJ Primed Pine|","")&amp;IF(J51&lt;&gt;"","Clear Pine|","")&amp;IF(K51&lt;&gt;"","Primed MDF|","")&amp;IF(L51&lt;&gt;"","White Oak|","")&amp;IF(M51&lt;&gt;"","Red Oak|","")&amp;IF(N51&lt;&gt;"","Hard Maple|","")&amp;IF(O51&lt;&gt;"","Black Walnut|","")&amp;IF(P51&lt;&gt;"","Douglas Fir|","")&amp;IF(Q51&lt;&gt;"","Western Red Cedar|","")&amp;IF(R51&lt;&gt;"","PVC|","")&amp;IF(S51&lt;&gt;"","Flex|","")&amp;IF(T51&lt;&gt;"","Steel|","")&amp;IF(U51&lt;&gt;"","Plastic|","")&amp;IF(V51&lt;&gt;"",V51&amp;"|","")</f>
        <v/>
      </c>
    </row>
    <row r="52" customFormat="false" ht="16.5" hidden="false" customHeight="true" outlineLevel="0" collapsed="false">
      <c r="A52" s="44" t="s">
        <v>276</v>
      </c>
      <c r="B52" s="45" t="s">
        <v>277</v>
      </c>
      <c r="C52" s="44" t="s">
        <v>274</v>
      </c>
      <c r="D52" s="44" t="s">
        <v>278</v>
      </c>
      <c r="E52" s="44" t="s">
        <v>141</v>
      </c>
      <c r="F52" s="36" t="str">
        <f aca="false">IF(LEN(AA52)=0,"",LEFT(AA52,LEN(AA52)-1))</f>
        <v/>
      </c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8"/>
      <c r="T52" s="37"/>
      <c r="U52" s="37"/>
      <c r="V52" s="46"/>
      <c r="W52" s="46"/>
      <c r="X52" s="40"/>
      <c r="Y52" s="41"/>
      <c r="Z52" s="42"/>
      <c r="AA52" s="43" t="str">
        <f aca="false">IF(G52&lt;&gt;"","Poplar|","")&amp;IF(H52&lt;&gt;"","FJ Primed Poplar|","")&amp;IF(I52&lt;&gt;"","FJ Primed Pine|","")&amp;IF(J52&lt;&gt;"","Clear Pine|","")&amp;IF(K52&lt;&gt;"","Primed MDF|","")&amp;IF(L52&lt;&gt;"","White Oak|","")&amp;IF(M52&lt;&gt;"","Red Oak|","")&amp;IF(N52&lt;&gt;"","Hard Maple|","")&amp;IF(O52&lt;&gt;"","Black Walnut|","")&amp;IF(P52&lt;&gt;"","Douglas Fir|","")&amp;IF(Q52&lt;&gt;"","Western Red Cedar|","")&amp;IF(R52&lt;&gt;"","PVC|","")&amp;IF(S52&lt;&gt;"","Flex|","")&amp;IF(T52&lt;&gt;"","Steel|","")&amp;IF(U52&lt;&gt;"","Plastic|","")&amp;IF(V52&lt;&gt;"",V52&amp;"|","")</f>
        <v/>
      </c>
    </row>
    <row r="53" customFormat="false" ht="16.5" hidden="false" customHeight="true" outlineLevel="0" collapsed="false">
      <c r="A53" s="44" t="s">
        <v>279</v>
      </c>
      <c r="B53" s="45" t="s">
        <v>280</v>
      </c>
      <c r="C53" s="44" t="s">
        <v>274</v>
      </c>
      <c r="D53" s="44" t="s">
        <v>281</v>
      </c>
      <c r="E53" s="44" t="s">
        <v>141</v>
      </c>
      <c r="F53" s="36" t="str">
        <f aca="false">IF(LEN(AA53)=0,"",LEFT(AA53,LEN(AA53)-1))</f>
        <v/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8"/>
      <c r="T53" s="37"/>
      <c r="U53" s="37"/>
      <c r="V53" s="46"/>
      <c r="W53" s="46"/>
      <c r="X53" s="40"/>
      <c r="Y53" s="41"/>
      <c r="Z53" s="42"/>
      <c r="AA53" s="43" t="str">
        <f aca="false">IF(G53&lt;&gt;"","Poplar|","")&amp;IF(H53&lt;&gt;"","FJ Primed Poplar|","")&amp;IF(I53&lt;&gt;"","FJ Primed Pine|","")&amp;IF(J53&lt;&gt;"","Clear Pine|","")&amp;IF(K53&lt;&gt;"","Primed MDF|","")&amp;IF(L53&lt;&gt;"","White Oak|","")&amp;IF(M53&lt;&gt;"","Red Oak|","")&amp;IF(N53&lt;&gt;"","Hard Maple|","")&amp;IF(O53&lt;&gt;"","Black Walnut|","")&amp;IF(P53&lt;&gt;"","Douglas Fir|","")&amp;IF(Q53&lt;&gt;"","Western Red Cedar|","")&amp;IF(R53&lt;&gt;"","PVC|","")&amp;IF(S53&lt;&gt;"","Flex|","")&amp;IF(T53&lt;&gt;"","Steel|","")&amp;IF(U53&lt;&gt;"","Plastic|","")&amp;IF(V53&lt;&gt;"",V53&amp;"|","")</f>
        <v/>
      </c>
    </row>
    <row r="54" customFormat="false" ht="16.5" hidden="false" customHeight="true" outlineLevel="0" collapsed="false">
      <c r="A54" s="44" t="s">
        <v>282</v>
      </c>
      <c r="B54" s="45" t="s">
        <v>283</v>
      </c>
      <c r="C54" s="44" t="s">
        <v>274</v>
      </c>
      <c r="D54" s="44" t="s">
        <v>284</v>
      </c>
      <c r="E54" s="44" t="s">
        <v>141</v>
      </c>
      <c r="F54" s="36" t="str">
        <f aca="false">IF(LEN(AA54)=0,"",LEFT(AA54,LEN(AA54)-1))</f>
        <v/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8"/>
      <c r="T54" s="37"/>
      <c r="U54" s="37"/>
      <c r="V54" s="46"/>
      <c r="W54" s="46"/>
      <c r="X54" s="40"/>
      <c r="Y54" s="41"/>
      <c r="Z54" s="42"/>
      <c r="AA54" s="43" t="str">
        <f aca="false">IF(G54&lt;&gt;"","Poplar|","")&amp;IF(H54&lt;&gt;"","FJ Primed Poplar|","")&amp;IF(I54&lt;&gt;"","FJ Primed Pine|","")&amp;IF(J54&lt;&gt;"","Clear Pine|","")&amp;IF(K54&lt;&gt;"","Primed MDF|","")&amp;IF(L54&lt;&gt;"","White Oak|","")&amp;IF(M54&lt;&gt;"","Red Oak|","")&amp;IF(N54&lt;&gt;"","Hard Maple|","")&amp;IF(O54&lt;&gt;"","Black Walnut|","")&amp;IF(P54&lt;&gt;"","Douglas Fir|","")&amp;IF(Q54&lt;&gt;"","Western Red Cedar|","")&amp;IF(R54&lt;&gt;"","PVC|","")&amp;IF(S54&lt;&gt;"","Flex|","")&amp;IF(T54&lt;&gt;"","Steel|","")&amp;IF(U54&lt;&gt;"","Plastic|","")&amp;IF(V54&lt;&gt;"",V54&amp;"|","")</f>
        <v/>
      </c>
    </row>
    <row r="55" customFormat="false" ht="16.5" hidden="false" customHeight="true" outlineLevel="0" collapsed="false">
      <c r="A55" s="44" t="s">
        <v>285</v>
      </c>
      <c r="B55" s="45" t="s">
        <v>286</v>
      </c>
      <c r="C55" s="44" t="s">
        <v>274</v>
      </c>
      <c r="D55" s="44" t="s">
        <v>287</v>
      </c>
      <c r="E55" s="44" t="s">
        <v>141</v>
      </c>
      <c r="F55" s="36" t="str">
        <f aca="false">IF(LEN(AA55)=0,"",LEFT(AA55,LEN(AA55)-1))</f>
        <v/>
      </c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8"/>
      <c r="T55" s="37"/>
      <c r="U55" s="37"/>
      <c r="V55" s="46"/>
      <c r="W55" s="46"/>
      <c r="X55" s="40"/>
      <c r="Y55" s="41"/>
      <c r="Z55" s="42"/>
      <c r="AA55" s="43" t="str">
        <f aca="false">IF(G55&lt;&gt;"","Poplar|","")&amp;IF(H55&lt;&gt;"","FJ Primed Poplar|","")&amp;IF(I55&lt;&gt;"","FJ Primed Pine|","")&amp;IF(J55&lt;&gt;"","Clear Pine|","")&amp;IF(K55&lt;&gt;"","Primed MDF|","")&amp;IF(L55&lt;&gt;"","White Oak|","")&amp;IF(M55&lt;&gt;"","Red Oak|","")&amp;IF(N55&lt;&gt;"","Hard Maple|","")&amp;IF(O55&lt;&gt;"","Black Walnut|","")&amp;IF(P55&lt;&gt;"","Douglas Fir|","")&amp;IF(Q55&lt;&gt;"","Western Red Cedar|","")&amp;IF(R55&lt;&gt;"","PVC|","")&amp;IF(S55&lt;&gt;"","Flex|","")&amp;IF(T55&lt;&gt;"","Steel|","")&amp;IF(U55&lt;&gt;"","Plastic|","")&amp;IF(V55&lt;&gt;"",V55&amp;"|","")</f>
        <v/>
      </c>
    </row>
    <row r="56" customFormat="false" ht="16.5" hidden="false" customHeight="true" outlineLevel="0" collapsed="false">
      <c r="A56" s="44" t="s">
        <v>288</v>
      </c>
      <c r="B56" s="45" t="s">
        <v>289</v>
      </c>
      <c r="C56" s="44" t="s">
        <v>274</v>
      </c>
      <c r="D56" s="44" t="s">
        <v>290</v>
      </c>
      <c r="E56" s="44" t="s">
        <v>141</v>
      </c>
      <c r="F56" s="36" t="str">
        <f aca="false">IF(LEN(AA56)=0,"",LEFT(AA56,LEN(AA56)-1))</f>
        <v/>
      </c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8"/>
      <c r="T56" s="37"/>
      <c r="U56" s="37"/>
      <c r="V56" s="46"/>
      <c r="W56" s="46"/>
      <c r="X56" s="40"/>
      <c r="Y56" s="41"/>
      <c r="Z56" s="42"/>
      <c r="AA56" s="43" t="str">
        <f aca="false">IF(G56&lt;&gt;"","Poplar|","")&amp;IF(H56&lt;&gt;"","FJ Primed Poplar|","")&amp;IF(I56&lt;&gt;"","FJ Primed Pine|","")&amp;IF(J56&lt;&gt;"","Clear Pine|","")&amp;IF(K56&lt;&gt;"","Primed MDF|","")&amp;IF(L56&lt;&gt;"","White Oak|","")&amp;IF(M56&lt;&gt;"","Red Oak|","")&amp;IF(N56&lt;&gt;"","Hard Maple|","")&amp;IF(O56&lt;&gt;"","Black Walnut|","")&amp;IF(P56&lt;&gt;"","Douglas Fir|","")&amp;IF(Q56&lt;&gt;"","Western Red Cedar|","")&amp;IF(R56&lt;&gt;"","PVC|","")&amp;IF(S56&lt;&gt;"","Flex|","")&amp;IF(T56&lt;&gt;"","Steel|","")&amp;IF(U56&lt;&gt;"","Plastic|","")&amp;IF(V56&lt;&gt;"",V56&amp;"|","")</f>
        <v/>
      </c>
    </row>
    <row r="57" customFormat="false" ht="16.5" hidden="false" customHeight="true" outlineLevel="0" collapsed="false">
      <c r="A57" s="44" t="s">
        <v>291</v>
      </c>
      <c r="B57" s="45" t="s">
        <v>292</v>
      </c>
      <c r="C57" s="44" t="s">
        <v>274</v>
      </c>
      <c r="D57" s="44" t="s">
        <v>293</v>
      </c>
      <c r="E57" s="44" t="s">
        <v>141</v>
      </c>
      <c r="F57" s="36" t="str">
        <f aca="false">IF(LEN(AA57)=0,"",LEFT(AA57,LEN(AA57)-1))</f>
        <v/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8"/>
      <c r="T57" s="37"/>
      <c r="U57" s="37"/>
      <c r="V57" s="46"/>
      <c r="W57" s="46"/>
      <c r="X57" s="40"/>
      <c r="Y57" s="41"/>
      <c r="Z57" s="42"/>
      <c r="AA57" s="43" t="str">
        <f aca="false">IF(G57&lt;&gt;"","Poplar|","")&amp;IF(H57&lt;&gt;"","FJ Primed Poplar|","")&amp;IF(I57&lt;&gt;"","FJ Primed Pine|","")&amp;IF(J57&lt;&gt;"","Clear Pine|","")&amp;IF(K57&lt;&gt;"","Primed MDF|","")&amp;IF(L57&lt;&gt;"","White Oak|","")&amp;IF(M57&lt;&gt;"","Red Oak|","")&amp;IF(N57&lt;&gt;"","Hard Maple|","")&amp;IF(O57&lt;&gt;"","Black Walnut|","")&amp;IF(P57&lt;&gt;"","Douglas Fir|","")&amp;IF(Q57&lt;&gt;"","Western Red Cedar|","")&amp;IF(R57&lt;&gt;"","PVC|","")&amp;IF(S57&lt;&gt;"","Flex|","")&amp;IF(T57&lt;&gt;"","Steel|","")&amp;IF(U57&lt;&gt;"","Plastic|","")&amp;IF(V57&lt;&gt;"",V57&amp;"|","")</f>
        <v/>
      </c>
    </row>
    <row r="58" customFormat="false" ht="16.5" hidden="false" customHeight="true" outlineLevel="0" collapsed="false">
      <c r="A58" s="44" t="s">
        <v>294</v>
      </c>
      <c r="B58" s="45" t="s">
        <v>295</v>
      </c>
      <c r="C58" s="44" t="s">
        <v>274</v>
      </c>
      <c r="D58" s="44" t="s">
        <v>296</v>
      </c>
      <c r="E58" s="44" t="s">
        <v>141</v>
      </c>
      <c r="F58" s="36" t="str">
        <f aca="false">IF(LEN(AA58)=0,"",LEFT(AA58,LEN(AA58)-1))</f>
        <v/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37"/>
      <c r="U58" s="37"/>
      <c r="V58" s="46"/>
      <c r="W58" s="46"/>
      <c r="X58" s="40"/>
      <c r="Y58" s="41"/>
      <c r="Z58" s="42"/>
      <c r="AA58" s="43" t="str">
        <f aca="false">IF(G58&lt;&gt;"","Poplar|","")&amp;IF(H58&lt;&gt;"","FJ Primed Poplar|","")&amp;IF(I58&lt;&gt;"","FJ Primed Pine|","")&amp;IF(J58&lt;&gt;"","Clear Pine|","")&amp;IF(K58&lt;&gt;"","Primed MDF|","")&amp;IF(L58&lt;&gt;"","White Oak|","")&amp;IF(M58&lt;&gt;"","Red Oak|","")&amp;IF(N58&lt;&gt;"","Hard Maple|","")&amp;IF(O58&lt;&gt;"","Black Walnut|","")&amp;IF(P58&lt;&gt;"","Douglas Fir|","")&amp;IF(Q58&lt;&gt;"","Western Red Cedar|","")&amp;IF(R58&lt;&gt;"","PVC|","")&amp;IF(S58&lt;&gt;"","Flex|","")&amp;IF(T58&lt;&gt;"","Steel|","")&amp;IF(U58&lt;&gt;"","Plastic|","")&amp;IF(V58&lt;&gt;"",V58&amp;"|","")</f>
        <v/>
      </c>
    </row>
    <row r="59" customFormat="false" ht="16.5" hidden="false" customHeight="true" outlineLevel="0" collapsed="false">
      <c r="A59" s="44" t="s">
        <v>297</v>
      </c>
      <c r="B59" s="45" t="s">
        <v>298</v>
      </c>
      <c r="C59" s="44" t="s">
        <v>274</v>
      </c>
      <c r="D59" s="44" t="s">
        <v>296</v>
      </c>
      <c r="E59" s="44" t="s">
        <v>141</v>
      </c>
      <c r="F59" s="36" t="str">
        <f aca="false">IF(LEN(AA59)=0,"",LEFT(AA59,LEN(AA59)-1))</f>
        <v/>
      </c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8"/>
      <c r="T59" s="37"/>
      <c r="U59" s="37"/>
      <c r="V59" s="46"/>
      <c r="W59" s="46"/>
      <c r="X59" s="40"/>
      <c r="Y59" s="41"/>
      <c r="Z59" s="42"/>
      <c r="AA59" s="43" t="str">
        <f aca="false">IF(G59&lt;&gt;"","Poplar|","")&amp;IF(H59&lt;&gt;"","FJ Primed Poplar|","")&amp;IF(I59&lt;&gt;"","FJ Primed Pine|","")&amp;IF(J59&lt;&gt;"","Clear Pine|","")&amp;IF(K59&lt;&gt;"","Primed MDF|","")&amp;IF(L59&lt;&gt;"","White Oak|","")&amp;IF(M59&lt;&gt;"","Red Oak|","")&amp;IF(N59&lt;&gt;"","Hard Maple|","")&amp;IF(O59&lt;&gt;"","Black Walnut|","")&amp;IF(P59&lt;&gt;"","Douglas Fir|","")&amp;IF(Q59&lt;&gt;"","Western Red Cedar|","")&amp;IF(R59&lt;&gt;"","PVC|","")&amp;IF(S59&lt;&gt;"","Flex|","")&amp;IF(T59&lt;&gt;"","Steel|","")&amp;IF(U59&lt;&gt;"","Plastic|","")&amp;IF(V59&lt;&gt;"",V59&amp;"|","")</f>
        <v/>
      </c>
    </row>
    <row r="60" customFormat="false" ht="16.5" hidden="false" customHeight="true" outlineLevel="0" collapsed="false">
      <c r="A60" s="44" t="s">
        <v>299</v>
      </c>
      <c r="B60" s="45" t="s">
        <v>300</v>
      </c>
      <c r="C60" s="44" t="s">
        <v>274</v>
      </c>
      <c r="D60" s="44" t="s">
        <v>296</v>
      </c>
      <c r="E60" s="44" t="s">
        <v>141</v>
      </c>
      <c r="F60" s="36" t="str">
        <f aca="false">IF(LEN(AA60)=0,"",LEFT(AA60,LEN(AA60)-1))</f>
        <v/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8"/>
      <c r="T60" s="37"/>
      <c r="U60" s="37"/>
      <c r="V60" s="46"/>
      <c r="W60" s="46"/>
      <c r="X60" s="40"/>
      <c r="Y60" s="41"/>
      <c r="Z60" s="42"/>
      <c r="AA60" s="43" t="str">
        <f aca="false">IF(G60&lt;&gt;"","Poplar|","")&amp;IF(H60&lt;&gt;"","FJ Primed Poplar|","")&amp;IF(I60&lt;&gt;"","FJ Primed Pine|","")&amp;IF(J60&lt;&gt;"","Clear Pine|","")&amp;IF(K60&lt;&gt;"","Primed MDF|","")&amp;IF(L60&lt;&gt;"","White Oak|","")&amp;IF(M60&lt;&gt;"","Red Oak|","")&amp;IF(N60&lt;&gt;"","Hard Maple|","")&amp;IF(O60&lt;&gt;"","Black Walnut|","")&amp;IF(P60&lt;&gt;"","Douglas Fir|","")&amp;IF(Q60&lt;&gt;"","Western Red Cedar|","")&amp;IF(R60&lt;&gt;"","PVC|","")&amp;IF(S60&lt;&gt;"","Flex|","")&amp;IF(T60&lt;&gt;"","Steel|","")&amp;IF(U60&lt;&gt;"","Plastic|","")&amp;IF(V60&lt;&gt;"",V60&amp;"|","")</f>
        <v/>
      </c>
    </row>
    <row r="61" customFormat="false" ht="16.5" hidden="false" customHeight="true" outlineLevel="0" collapsed="false">
      <c r="A61" s="44" t="s">
        <v>301</v>
      </c>
      <c r="B61" s="45" t="s">
        <v>302</v>
      </c>
      <c r="C61" s="44" t="s">
        <v>274</v>
      </c>
      <c r="D61" s="44" t="s">
        <v>296</v>
      </c>
      <c r="E61" s="44" t="s">
        <v>141</v>
      </c>
      <c r="F61" s="36" t="str">
        <f aca="false">IF(LEN(AA61)=0,"",LEFT(AA61,LEN(AA61)-1))</f>
        <v/>
      </c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8"/>
      <c r="T61" s="37"/>
      <c r="U61" s="37"/>
      <c r="V61" s="46"/>
      <c r="W61" s="46"/>
      <c r="X61" s="40"/>
      <c r="Y61" s="41"/>
      <c r="Z61" s="42"/>
      <c r="AA61" s="43" t="str">
        <f aca="false">IF(G61&lt;&gt;"","Poplar|","")&amp;IF(H61&lt;&gt;"","FJ Primed Poplar|","")&amp;IF(I61&lt;&gt;"","FJ Primed Pine|","")&amp;IF(J61&lt;&gt;"","Clear Pine|","")&amp;IF(K61&lt;&gt;"","Primed MDF|","")&amp;IF(L61&lt;&gt;"","White Oak|","")&amp;IF(M61&lt;&gt;"","Red Oak|","")&amp;IF(N61&lt;&gt;"","Hard Maple|","")&amp;IF(O61&lt;&gt;"","Black Walnut|","")&amp;IF(P61&lt;&gt;"","Douglas Fir|","")&amp;IF(Q61&lt;&gt;"","Western Red Cedar|","")&amp;IF(R61&lt;&gt;"","PVC|","")&amp;IF(S61&lt;&gt;"","Flex|","")&amp;IF(T61&lt;&gt;"","Steel|","")&amp;IF(U61&lt;&gt;"","Plastic|","")&amp;IF(V61&lt;&gt;"",V61&amp;"|","")</f>
        <v/>
      </c>
    </row>
    <row r="62" customFormat="false" ht="16.5" hidden="false" customHeight="true" outlineLevel="0" collapsed="false">
      <c r="A62" s="44" t="s">
        <v>303</v>
      </c>
      <c r="B62" s="45" t="s">
        <v>304</v>
      </c>
      <c r="C62" s="44" t="s">
        <v>274</v>
      </c>
      <c r="D62" s="44" t="s">
        <v>296</v>
      </c>
      <c r="E62" s="44" t="s">
        <v>141</v>
      </c>
      <c r="F62" s="36" t="str">
        <f aca="false">IF(LEN(AA62)=0,"",LEFT(AA62,LEN(AA62)-1))</f>
        <v/>
      </c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8"/>
      <c r="T62" s="37"/>
      <c r="U62" s="37"/>
      <c r="V62" s="46"/>
      <c r="W62" s="46"/>
      <c r="X62" s="40"/>
      <c r="Y62" s="41"/>
      <c r="Z62" s="42"/>
      <c r="AA62" s="43" t="str">
        <f aca="false">IF(G62&lt;&gt;"","Poplar|","")&amp;IF(H62&lt;&gt;"","FJ Primed Poplar|","")&amp;IF(I62&lt;&gt;"","FJ Primed Pine|","")&amp;IF(J62&lt;&gt;"","Clear Pine|","")&amp;IF(K62&lt;&gt;"","Primed MDF|","")&amp;IF(L62&lt;&gt;"","White Oak|","")&amp;IF(M62&lt;&gt;"","Red Oak|","")&amp;IF(N62&lt;&gt;"","Hard Maple|","")&amp;IF(O62&lt;&gt;"","Black Walnut|","")&amp;IF(P62&lt;&gt;"","Douglas Fir|","")&amp;IF(Q62&lt;&gt;"","Western Red Cedar|","")&amp;IF(R62&lt;&gt;"","PVC|","")&amp;IF(S62&lt;&gt;"","Flex|","")&amp;IF(T62&lt;&gt;"","Steel|","")&amp;IF(U62&lt;&gt;"","Plastic|","")&amp;IF(V62&lt;&gt;"",V62&amp;"|","")</f>
        <v/>
      </c>
    </row>
    <row r="63" customFormat="false" ht="16.5" hidden="false" customHeight="true" outlineLevel="0" collapsed="false">
      <c r="A63" s="44" t="s">
        <v>305</v>
      </c>
      <c r="B63" s="45" t="s">
        <v>306</v>
      </c>
      <c r="C63" s="44" t="s">
        <v>274</v>
      </c>
      <c r="D63" s="44" t="s">
        <v>296</v>
      </c>
      <c r="E63" s="44" t="s">
        <v>141</v>
      </c>
      <c r="F63" s="36" t="str">
        <f aca="false">IF(LEN(AA63)=0,"",LEFT(AA63,LEN(AA63)-1))</f>
        <v/>
      </c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37"/>
      <c r="U63" s="37"/>
      <c r="V63" s="46"/>
      <c r="W63" s="46"/>
      <c r="X63" s="40"/>
      <c r="Y63" s="41"/>
      <c r="Z63" s="42"/>
      <c r="AA63" s="43" t="str">
        <f aca="false">IF(G63&lt;&gt;"","Poplar|","")&amp;IF(H63&lt;&gt;"","FJ Primed Poplar|","")&amp;IF(I63&lt;&gt;"","FJ Primed Pine|","")&amp;IF(J63&lt;&gt;"","Clear Pine|","")&amp;IF(K63&lt;&gt;"","Primed MDF|","")&amp;IF(L63&lt;&gt;"","White Oak|","")&amp;IF(M63&lt;&gt;"","Red Oak|","")&amp;IF(N63&lt;&gt;"","Hard Maple|","")&amp;IF(O63&lt;&gt;"","Black Walnut|","")&amp;IF(P63&lt;&gt;"","Douglas Fir|","")&amp;IF(Q63&lt;&gt;"","Western Red Cedar|","")&amp;IF(R63&lt;&gt;"","PVC|","")&amp;IF(S63&lt;&gt;"","Flex|","")&amp;IF(T63&lt;&gt;"","Steel|","")&amp;IF(U63&lt;&gt;"","Plastic|","")&amp;IF(V63&lt;&gt;"",V63&amp;"|","")</f>
        <v/>
      </c>
    </row>
    <row r="64" customFormat="false" ht="16.5" hidden="false" customHeight="true" outlineLevel="0" collapsed="false">
      <c r="A64" s="44" t="s">
        <v>307</v>
      </c>
      <c r="B64" s="45" t="s">
        <v>308</v>
      </c>
      <c r="C64" s="44" t="s">
        <v>274</v>
      </c>
      <c r="D64" s="44" t="s">
        <v>309</v>
      </c>
      <c r="E64" s="44" t="s">
        <v>141</v>
      </c>
      <c r="F64" s="36" t="str">
        <f aca="false">IF(LEN(AA64)=0,"",LEFT(AA64,LEN(AA64)-1))</f>
        <v/>
      </c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8"/>
      <c r="T64" s="37"/>
      <c r="U64" s="37"/>
      <c r="V64" s="46"/>
      <c r="W64" s="46"/>
      <c r="X64" s="40"/>
      <c r="Y64" s="41"/>
      <c r="Z64" s="42"/>
      <c r="AA64" s="43" t="str">
        <f aca="false">IF(G64&lt;&gt;"","Poplar|","")&amp;IF(H64&lt;&gt;"","FJ Primed Poplar|","")&amp;IF(I64&lt;&gt;"","FJ Primed Pine|","")&amp;IF(J64&lt;&gt;"","Clear Pine|","")&amp;IF(K64&lt;&gt;"","Primed MDF|","")&amp;IF(L64&lt;&gt;"","White Oak|","")&amp;IF(M64&lt;&gt;"","Red Oak|","")&amp;IF(N64&lt;&gt;"","Hard Maple|","")&amp;IF(O64&lt;&gt;"","Black Walnut|","")&amp;IF(P64&lt;&gt;"","Douglas Fir|","")&amp;IF(Q64&lt;&gt;"","Western Red Cedar|","")&amp;IF(R64&lt;&gt;"","PVC|","")&amp;IF(S64&lt;&gt;"","Flex|","")&amp;IF(T64&lt;&gt;"","Steel|","")&amp;IF(U64&lt;&gt;"","Plastic|","")&amp;IF(V64&lt;&gt;"",V64&amp;"|","")</f>
        <v/>
      </c>
    </row>
    <row r="65" customFormat="false" ht="16.5" hidden="false" customHeight="true" outlineLevel="0" collapsed="false">
      <c r="A65" s="44" t="s">
        <v>310</v>
      </c>
      <c r="B65" s="45" t="s">
        <v>311</v>
      </c>
      <c r="C65" s="44" t="s">
        <v>274</v>
      </c>
      <c r="D65" s="44" t="s">
        <v>312</v>
      </c>
      <c r="E65" s="44" t="s">
        <v>141</v>
      </c>
      <c r="F65" s="36" t="str">
        <f aca="false">IF(LEN(AA65)=0,"",LEFT(AA65,LEN(AA65)-1))</f>
        <v/>
      </c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8"/>
      <c r="T65" s="37"/>
      <c r="U65" s="37"/>
      <c r="V65" s="46"/>
      <c r="W65" s="46"/>
      <c r="X65" s="40"/>
      <c r="Y65" s="41"/>
      <c r="Z65" s="42"/>
      <c r="AA65" s="43" t="str">
        <f aca="false">IF(G65&lt;&gt;"","Poplar|","")&amp;IF(H65&lt;&gt;"","FJ Primed Poplar|","")&amp;IF(I65&lt;&gt;"","FJ Primed Pine|","")&amp;IF(J65&lt;&gt;"","Clear Pine|","")&amp;IF(K65&lt;&gt;"","Primed MDF|","")&amp;IF(L65&lt;&gt;"","White Oak|","")&amp;IF(M65&lt;&gt;"","Red Oak|","")&amp;IF(N65&lt;&gt;"","Hard Maple|","")&amp;IF(O65&lt;&gt;"","Black Walnut|","")&amp;IF(P65&lt;&gt;"","Douglas Fir|","")&amp;IF(Q65&lt;&gt;"","Western Red Cedar|","")&amp;IF(R65&lt;&gt;"","PVC|","")&amp;IF(S65&lt;&gt;"","Flex|","")&amp;IF(T65&lt;&gt;"","Steel|","")&amp;IF(U65&lt;&gt;"","Plastic|","")&amp;IF(V65&lt;&gt;"",V65&amp;"|","")</f>
        <v/>
      </c>
    </row>
    <row r="66" customFormat="false" ht="16.5" hidden="false" customHeight="true" outlineLevel="0" collapsed="false">
      <c r="A66" s="44" t="s">
        <v>313</v>
      </c>
      <c r="B66" s="45" t="s">
        <v>314</v>
      </c>
      <c r="C66" s="44" t="s">
        <v>274</v>
      </c>
      <c r="D66" s="44" t="s">
        <v>312</v>
      </c>
      <c r="E66" s="44" t="s">
        <v>141</v>
      </c>
      <c r="F66" s="36" t="str">
        <f aca="false">IF(LEN(AA66)=0,"",LEFT(AA66,LEN(AA66)-1))</f>
        <v/>
      </c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8"/>
      <c r="T66" s="37"/>
      <c r="U66" s="37"/>
      <c r="V66" s="46"/>
      <c r="W66" s="46"/>
      <c r="X66" s="40"/>
      <c r="Y66" s="41"/>
      <c r="Z66" s="42"/>
      <c r="AA66" s="43" t="str">
        <f aca="false">IF(G66&lt;&gt;"","Poplar|","")&amp;IF(H66&lt;&gt;"","FJ Primed Poplar|","")&amp;IF(I66&lt;&gt;"","FJ Primed Pine|","")&amp;IF(J66&lt;&gt;"","Clear Pine|","")&amp;IF(K66&lt;&gt;"","Primed MDF|","")&amp;IF(L66&lt;&gt;"","White Oak|","")&amp;IF(M66&lt;&gt;"","Red Oak|","")&amp;IF(N66&lt;&gt;"","Hard Maple|","")&amp;IF(O66&lt;&gt;"","Black Walnut|","")&amp;IF(P66&lt;&gt;"","Douglas Fir|","")&amp;IF(Q66&lt;&gt;"","Western Red Cedar|","")&amp;IF(R66&lt;&gt;"","PVC|","")&amp;IF(S66&lt;&gt;"","Flex|","")&amp;IF(T66&lt;&gt;"","Steel|","")&amp;IF(U66&lt;&gt;"","Plastic|","")&amp;IF(V66&lt;&gt;"",V66&amp;"|","")</f>
        <v/>
      </c>
    </row>
    <row r="67" customFormat="false" ht="16.5" hidden="false" customHeight="true" outlineLevel="0" collapsed="false">
      <c r="A67" s="44" t="s">
        <v>315</v>
      </c>
      <c r="B67" s="45" t="s">
        <v>316</v>
      </c>
      <c r="C67" s="44" t="s">
        <v>274</v>
      </c>
      <c r="D67" s="44" t="s">
        <v>312</v>
      </c>
      <c r="E67" s="44" t="s">
        <v>141</v>
      </c>
      <c r="F67" s="36" t="str">
        <f aca="false">IF(LEN(AA67)=0,"",LEFT(AA67,LEN(AA67)-1))</f>
        <v/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8"/>
      <c r="T67" s="37"/>
      <c r="U67" s="37"/>
      <c r="V67" s="46"/>
      <c r="W67" s="46"/>
      <c r="X67" s="40"/>
      <c r="Y67" s="41"/>
      <c r="Z67" s="42"/>
      <c r="AA67" s="43" t="str">
        <f aca="false">IF(G67&lt;&gt;"","Poplar|","")&amp;IF(H67&lt;&gt;"","FJ Primed Poplar|","")&amp;IF(I67&lt;&gt;"","FJ Primed Pine|","")&amp;IF(J67&lt;&gt;"","Clear Pine|","")&amp;IF(K67&lt;&gt;"","Primed MDF|","")&amp;IF(L67&lt;&gt;"","White Oak|","")&amp;IF(M67&lt;&gt;"","Red Oak|","")&amp;IF(N67&lt;&gt;"","Hard Maple|","")&amp;IF(O67&lt;&gt;"","Black Walnut|","")&amp;IF(P67&lt;&gt;"","Douglas Fir|","")&amp;IF(Q67&lt;&gt;"","Western Red Cedar|","")&amp;IF(R67&lt;&gt;"","PVC|","")&amp;IF(S67&lt;&gt;"","Flex|","")&amp;IF(T67&lt;&gt;"","Steel|","")&amp;IF(U67&lt;&gt;"","Plastic|","")&amp;IF(V67&lt;&gt;"",V67&amp;"|","")</f>
        <v/>
      </c>
    </row>
    <row r="68" customFormat="false" ht="16.5" hidden="false" customHeight="true" outlineLevel="0" collapsed="false">
      <c r="A68" s="44" t="s">
        <v>317</v>
      </c>
      <c r="B68" s="45" t="s">
        <v>318</v>
      </c>
      <c r="C68" s="44" t="s">
        <v>274</v>
      </c>
      <c r="D68" s="44" t="s">
        <v>319</v>
      </c>
      <c r="E68" s="44" t="s">
        <v>141</v>
      </c>
      <c r="F68" s="36" t="str">
        <f aca="false">IF(LEN(AA68)=0,"",LEFT(AA68,LEN(AA68)-1))</f>
        <v/>
      </c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8"/>
      <c r="T68" s="37"/>
      <c r="U68" s="37"/>
      <c r="V68" s="46"/>
      <c r="W68" s="46"/>
      <c r="X68" s="40"/>
      <c r="Y68" s="41"/>
      <c r="Z68" s="42"/>
      <c r="AA68" s="43" t="str">
        <f aca="false">IF(G68&lt;&gt;"","Poplar|","")&amp;IF(H68&lt;&gt;"","FJ Primed Poplar|","")&amp;IF(I68&lt;&gt;"","FJ Primed Pine|","")&amp;IF(J68&lt;&gt;"","Clear Pine|","")&amp;IF(K68&lt;&gt;"","Primed MDF|","")&amp;IF(L68&lt;&gt;"","White Oak|","")&amp;IF(M68&lt;&gt;"","Red Oak|","")&amp;IF(N68&lt;&gt;"","Hard Maple|","")&amp;IF(O68&lt;&gt;"","Black Walnut|","")&amp;IF(P68&lt;&gt;"","Douglas Fir|","")&amp;IF(Q68&lt;&gt;"","Western Red Cedar|","")&amp;IF(R68&lt;&gt;"","PVC|","")&amp;IF(S68&lt;&gt;"","Flex|","")&amp;IF(T68&lt;&gt;"","Steel|","")&amp;IF(U68&lt;&gt;"","Plastic|","")&amp;IF(V68&lt;&gt;"",V68&amp;"|","")</f>
        <v/>
      </c>
    </row>
    <row r="69" customFormat="false" ht="16.5" hidden="false" customHeight="true" outlineLevel="0" collapsed="false">
      <c r="A69" s="44" t="s">
        <v>320</v>
      </c>
      <c r="B69" s="45" t="s">
        <v>321</v>
      </c>
      <c r="C69" s="44" t="s">
        <v>274</v>
      </c>
      <c r="D69" s="44" t="s">
        <v>309</v>
      </c>
      <c r="E69" s="44" t="s">
        <v>141</v>
      </c>
      <c r="F69" s="36" t="str">
        <f aca="false">IF(LEN(AA69)=0,"",LEFT(AA69,LEN(AA69)-1))</f>
        <v/>
      </c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8"/>
      <c r="T69" s="37"/>
      <c r="U69" s="37"/>
      <c r="V69" s="46"/>
      <c r="W69" s="46"/>
      <c r="X69" s="40"/>
      <c r="Y69" s="41"/>
      <c r="Z69" s="42"/>
      <c r="AA69" s="43" t="str">
        <f aca="false">IF(G69&lt;&gt;"","Poplar|","")&amp;IF(H69&lt;&gt;"","FJ Primed Poplar|","")&amp;IF(I69&lt;&gt;"","FJ Primed Pine|","")&amp;IF(J69&lt;&gt;"","Clear Pine|","")&amp;IF(K69&lt;&gt;"","Primed MDF|","")&amp;IF(L69&lt;&gt;"","White Oak|","")&amp;IF(M69&lt;&gt;"","Red Oak|","")&amp;IF(N69&lt;&gt;"","Hard Maple|","")&amp;IF(O69&lt;&gt;"","Black Walnut|","")&amp;IF(P69&lt;&gt;"","Douglas Fir|","")&amp;IF(Q69&lt;&gt;"","Western Red Cedar|","")&amp;IF(R69&lt;&gt;"","PVC|","")&amp;IF(S69&lt;&gt;"","Flex|","")&amp;IF(T69&lt;&gt;"","Steel|","")&amp;IF(U69&lt;&gt;"","Plastic|","")&amp;IF(V69&lt;&gt;"",V69&amp;"|","")</f>
        <v/>
      </c>
    </row>
    <row r="70" customFormat="false" ht="16.5" hidden="false" customHeight="true" outlineLevel="0" collapsed="false">
      <c r="A70" s="44" t="s">
        <v>322</v>
      </c>
      <c r="B70" s="45" t="s">
        <v>323</v>
      </c>
      <c r="C70" s="44" t="s">
        <v>274</v>
      </c>
      <c r="D70" s="44" t="s">
        <v>312</v>
      </c>
      <c r="E70" s="44" t="s">
        <v>141</v>
      </c>
      <c r="F70" s="36" t="str">
        <f aca="false">IF(LEN(AA70)=0,"",LEFT(AA70,LEN(AA70)-1))</f>
        <v/>
      </c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8"/>
      <c r="T70" s="37"/>
      <c r="U70" s="37"/>
      <c r="V70" s="46"/>
      <c r="W70" s="46"/>
      <c r="X70" s="40"/>
      <c r="Y70" s="41"/>
      <c r="Z70" s="42"/>
      <c r="AA70" s="43" t="str">
        <f aca="false">IF(G70&lt;&gt;"","Poplar|","")&amp;IF(H70&lt;&gt;"","FJ Primed Poplar|","")&amp;IF(I70&lt;&gt;"","FJ Primed Pine|","")&amp;IF(J70&lt;&gt;"","Clear Pine|","")&amp;IF(K70&lt;&gt;"","Primed MDF|","")&amp;IF(L70&lt;&gt;"","White Oak|","")&amp;IF(M70&lt;&gt;"","Red Oak|","")&amp;IF(N70&lt;&gt;"","Hard Maple|","")&amp;IF(O70&lt;&gt;"","Black Walnut|","")&amp;IF(P70&lt;&gt;"","Douglas Fir|","")&amp;IF(Q70&lt;&gt;"","Western Red Cedar|","")&amp;IF(R70&lt;&gt;"","PVC|","")&amp;IF(S70&lt;&gt;"","Flex|","")&amp;IF(T70&lt;&gt;"","Steel|","")&amp;IF(U70&lt;&gt;"","Plastic|","")&amp;IF(V70&lt;&gt;"",V70&amp;"|","")</f>
        <v/>
      </c>
    </row>
    <row r="71" customFormat="false" ht="16.5" hidden="false" customHeight="true" outlineLevel="0" collapsed="false">
      <c r="A71" s="44" t="s">
        <v>324</v>
      </c>
      <c r="B71" s="45" t="s">
        <v>325</v>
      </c>
      <c r="C71" s="44" t="s">
        <v>274</v>
      </c>
      <c r="D71" s="44" t="s">
        <v>309</v>
      </c>
      <c r="E71" s="44" t="s">
        <v>326</v>
      </c>
      <c r="F71" s="36" t="str">
        <f aca="false">IF(LEN(AA71)=0,"",LEFT(AA71,LEN(AA71)-1))</f>
        <v/>
      </c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8"/>
      <c r="T71" s="37"/>
      <c r="U71" s="37"/>
      <c r="V71" s="46"/>
      <c r="W71" s="46"/>
      <c r="X71" s="40"/>
      <c r="Y71" s="41"/>
      <c r="Z71" s="42"/>
      <c r="AA71" s="43" t="str">
        <f aca="false">IF(G71&lt;&gt;"","Poplar|","")&amp;IF(H71&lt;&gt;"","FJ Primed Poplar|","")&amp;IF(I71&lt;&gt;"","FJ Primed Pine|","")&amp;IF(J71&lt;&gt;"","Clear Pine|","")&amp;IF(K71&lt;&gt;"","Primed MDF|","")&amp;IF(L71&lt;&gt;"","White Oak|","")&amp;IF(M71&lt;&gt;"","Red Oak|","")&amp;IF(N71&lt;&gt;"","Hard Maple|","")&amp;IF(O71&lt;&gt;"","Black Walnut|","")&amp;IF(P71&lt;&gt;"","Douglas Fir|","")&amp;IF(Q71&lt;&gt;"","Western Red Cedar|","")&amp;IF(R71&lt;&gt;"","PVC|","")&amp;IF(S71&lt;&gt;"","Flex|","")&amp;IF(T71&lt;&gt;"","Steel|","")&amp;IF(U71&lt;&gt;"","Plastic|","")&amp;IF(V71&lt;&gt;"",V71&amp;"|","")</f>
        <v/>
      </c>
    </row>
    <row r="72" customFormat="false" ht="16.5" hidden="false" customHeight="true" outlineLevel="0" collapsed="false">
      <c r="A72" s="44" t="s">
        <v>327</v>
      </c>
      <c r="B72" s="45" t="s">
        <v>328</v>
      </c>
      <c r="C72" s="44" t="s">
        <v>274</v>
      </c>
      <c r="D72" s="44" t="s">
        <v>329</v>
      </c>
      <c r="E72" s="44" t="s">
        <v>141</v>
      </c>
      <c r="F72" s="36" t="str">
        <f aca="false">IF(LEN(AA72)=0,"",LEFT(AA72,LEN(AA72)-1))</f>
        <v/>
      </c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8"/>
      <c r="T72" s="37"/>
      <c r="U72" s="37"/>
      <c r="V72" s="46"/>
      <c r="W72" s="46"/>
      <c r="X72" s="40"/>
      <c r="Y72" s="41"/>
      <c r="Z72" s="42"/>
      <c r="AA72" s="43" t="str">
        <f aca="false">IF(G72&lt;&gt;"","Poplar|","")&amp;IF(H72&lt;&gt;"","FJ Primed Poplar|","")&amp;IF(I72&lt;&gt;"","FJ Primed Pine|","")&amp;IF(J72&lt;&gt;"","Clear Pine|","")&amp;IF(K72&lt;&gt;"","Primed MDF|","")&amp;IF(L72&lt;&gt;"","White Oak|","")&amp;IF(M72&lt;&gt;"","Red Oak|","")&amp;IF(N72&lt;&gt;"","Hard Maple|","")&amp;IF(O72&lt;&gt;"","Black Walnut|","")&amp;IF(P72&lt;&gt;"","Douglas Fir|","")&amp;IF(Q72&lt;&gt;"","Western Red Cedar|","")&amp;IF(R72&lt;&gt;"","PVC|","")&amp;IF(S72&lt;&gt;"","Flex|","")&amp;IF(T72&lt;&gt;"","Steel|","")&amp;IF(U72&lt;&gt;"","Plastic|","")&amp;IF(V72&lt;&gt;"",V72&amp;"|","")</f>
        <v/>
      </c>
    </row>
    <row r="73" customFormat="false" ht="16.5" hidden="false" customHeight="true" outlineLevel="0" collapsed="false">
      <c r="A73" s="44" t="s">
        <v>330</v>
      </c>
      <c r="B73" s="45" t="s">
        <v>331</v>
      </c>
      <c r="C73" s="44" t="s">
        <v>274</v>
      </c>
      <c r="D73" s="44" t="s">
        <v>332</v>
      </c>
      <c r="E73" s="44" t="s">
        <v>141</v>
      </c>
      <c r="F73" s="36" t="str">
        <f aca="false">IF(LEN(AA73)=0,"",LEFT(AA73,LEN(AA73)-1))</f>
        <v/>
      </c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8"/>
      <c r="T73" s="37"/>
      <c r="U73" s="37"/>
      <c r="V73" s="46"/>
      <c r="W73" s="46"/>
      <c r="X73" s="40"/>
      <c r="Y73" s="41"/>
      <c r="Z73" s="42"/>
      <c r="AA73" s="43" t="str">
        <f aca="false">IF(G73&lt;&gt;"","Poplar|","")&amp;IF(H73&lt;&gt;"","FJ Primed Poplar|","")&amp;IF(I73&lt;&gt;"","FJ Primed Pine|","")&amp;IF(J73&lt;&gt;"","Clear Pine|","")&amp;IF(K73&lt;&gt;"","Primed MDF|","")&amp;IF(L73&lt;&gt;"","White Oak|","")&amp;IF(M73&lt;&gt;"","Red Oak|","")&amp;IF(N73&lt;&gt;"","Hard Maple|","")&amp;IF(O73&lt;&gt;"","Black Walnut|","")&amp;IF(P73&lt;&gt;"","Douglas Fir|","")&amp;IF(Q73&lt;&gt;"","Western Red Cedar|","")&amp;IF(R73&lt;&gt;"","PVC|","")&amp;IF(S73&lt;&gt;"","Flex|","")&amp;IF(T73&lt;&gt;"","Steel|","")&amp;IF(U73&lt;&gt;"","Plastic|","")&amp;IF(V73&lt;&gt;"",V73&amp;"|","")</f>
        <v/>
      </c>
    </row>
    <row r="74" customFormat="false" ht="16.5" hidden="false" customHeight="true" outlineLevel="0" collapsed="false">
      <c r="A74" s="44" t="s">
        <v>333</v>
      </c>
      <c r="B74" s="45" t="s">
        <v>334</v>
      </c>
      <c r="C74" s="44" t="s">
        <v>274</v>
      </c>
      <c r="D74" s="44" t="s">
        <v>335</v>
      </c>
      <c r="E74" s="44" t="s">
        <v>141</v>
      </c>
      <c r="F74" s="36" t="str">
        <f aca="false">IF(LEN(AA74)=0,"",LEFT(AA74,LEN(AA74)-1))</f>
        <v/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8"/>
      <c r="T74" s="37"/>
      <c r="U74" s="37"/>
      <c r="V74" s="46"/>
      <c r="W74" s="46"/>
      <c r="X74" s="40"/>
      <c r="Y74" s="41"/>
      <c r="Z74" s="42"/>
      <c r="AA74" s="43" t="str">
        <f aca="false">IF(G74&lt;&gt;"","Poplar|","")&amp;IF(H74&lt;&gt;"","FJ Primed Poplar|","")&amp;IF(I74&lt;&gt;"","FJ Primed Pine|","")&amp;IF(J74&lt;&gt;"","Clear Pine|","")&amp;IF(K74&lt;&gt;"","Primed MDF|","")&amp;IF(L74&lt;&gt;"","White Oak|","")&amp;IF(M74&lt;&gt;"","Red Oak|","")&amp;IF(N74&lt;&gt;"","Hard Maple|","")&amp;IF(O74&lt;&gt;"","Black Walnut|","")&amp;IF(P74&lt;&gt;"","Douglas Fir|","")&amp;IF(Q74&lt;&gt;"","Western Red Cedar|","")&amp;IF(R74&lt;&gt;"","PVC|","")&amp;IF(S74&lt;&gt;"","Flex|","")&amp;IF(T74&lt;&gt;"","Steel|","")&amp;IF(U74&lt;&gt;"","Plastic|","")&amp;IF(V74&lt;&gt;"",V74&amp;"|","")</f>
        <v/>
      </c>
    </row>
    <row r="75" customFormat="false" ht="16.5" hidden="false" customHeight="true" outlineLevel="0" collapsed="false">
      <c r="A75" s="44" t="s">
        <v>336</v>
      </c>
      <c r="B75" s="45" t="s">
        <v>337</v>
      </c>
      <c r="C75" s="44" t="s">
        <v>274</v>
      </c>
      <c r="D75" s="44" t="s">
        <v>338</v>
      </c>
      <c r="E75" s="44" t="s">
        <v>141</v>
      </c>
      <c r="F75" s="36" t="str">
        <f aca="false">IF(LEN(AA75)=0,"",LEFT(AA75,LEN(AA75)-1))</f>
        <v/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8"/>
      <c r="T75" s="37"/>
      <c r="U75" s="37"/>
      <c r="V75" s="46"/>
      <c r="W75" s="46"/>
      <c r="X75" s="40"/>
      <c r="Y75" s="41"/>
      <c r="Z75" s="42"/>
      <c r="AA75" s="43" t="str">
        <f aca="false">IF(G75&lt;&gt;"","Poplar|","")&amp;IF(H75&lt;&gt;"","FJ Primed Poplar|","")&amp;IF(I75&lt;&gt;"","FJ Primed Pine|","")&amp;IF(J75&lt;&gt;"","Clear Pine|","")&amp;IF(K75&lt;&gt;"","Primed MDF|","")&amp;IF(L75&lt;&gt;"","White Oak|","")&amp;IF(M75&lt;&gt;"","Red Oak|","")&amp;IF(N75&lt;&gt;"","Hard Maple|","")&amp;IF(O75&lt;&gt;"","Black Walnut|","")&amp;IF(P75&lt;&gt;"","Douglas Fir|","")&amp;IF(Q75&lt;&gt;"","Western Red Cedar|","")&amp;IF(R75&lt;&gt;"","PVC|","")&amp;IF(S75&lt;&gt;"","Flex|","")&amp;IF(T75&lt;&gt;"","Steel|","")&amp;IF(U75&lt;&gt;"","Plastic|","")&amp;IF(V75&lt;&gt;"",V75&amp;"|","")</f>
        <v/>
      </c>
    </row>
    <row r="76" customFormat="false" ht="16.5" hidden="false" customHeight="true" outlineLevel="0" collapsed="false">
      <c r="A76" s="44" t="s">
        <v>339</v>
      </c>
      <c r="B76" s="45" t="s">
        <v>340</v>
      </c>
      <c r="C76" s="44" t="s">
        <v>274</v>
      </c>
      <c r="D76" s="44" t="s">
        <v>341</v>
      </c>
      <c r="E76" s="44" t="s">
        <v>141</v>
      </c>
      <c r="F76" s="36" t="str">
        <f aca="false">IF(LEN(AA76)=0,"",LEFT(AA76,LEN(AA76)-1))</f>
        <v/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8"/>
      <c r="T76" s="37"/>
      <c r="U76" s="37"/>
      <c r="V76" s="46"/>
      <c r="W76" s="46"/>
      <c r="X76" s="40"/>
      <c r="Y76" s="41"/>
      <c r="Z76" s="42"/>
      <c r="AA76" s="43" t="str">
        <f aca="false">IF(G76&lt;&gt;"","Poplar|","")&amp;IF(H76&lt;&gt;"","FJ Primed Poplar|","")&amp;IF(I76&lt;&gt;"","FJ Primed Pine|","")&amp;IF(J76&lt;&gt;"","Clear Pine|","")&amp;IF(K76&lt;&gt;"","Primed MDF|","")&amp;IF(L76&lt;&gt;"","White Oak|","")&amp;IF(M76&lt;&gt;"","Red Oak|","")&amp;IF(N76&lt;&gt;"","Hard Maple|","")&amp;IF(O76&lt;&gt;"","Black Walnut|","")&amp;IF(P76&lt;&gt;"","Douglas Fir|","")&amp;IF(Q76&lt;&gt;"","Western Red Cedar|","")&amp;IF(R76&lt;&gt;"","PVC|","")&amp;IF(S76&lt;&gt;"","Flex|","")&amp;IF(T76&lt;&gt;"","Steel|","")&amp;IF(U76&lt;&gt;"","Plastic|","")&amp;IF(V76&lt;&gt;"",V76&amp;"|","")</f>
        <v/>
      </c>
    </row>
    <row r="77" customFormat="false" ht="16.5" hidden="false" customHeight="true" outlineLevel="0" collapsed="false">
      <c r="A77" s="34" t="s">
        <v>342</v>
      </c>
      <c r="B77" s="35" t="s">
        <v>343</v>
      </c>
      <c r="C77" s="34" t="s">
        <v>344</v>
      </c>
      <c r="D77" s="34" t="s">
        <v>345</v>
      </c>
      <c r="E77" s="34" t="s">
        <v>141</v>
      </c>
      <c r="F77" s="36" t="str">
        <f aca="false">IF(LEN(AA77)=0,"",LEFT(AA77,LEN(AA77)-1))</f>
        <v/>
      </c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8"/>
      <c r="T77" s="37"/>
      <c r="U77" s="37"/>
      <c r="V77" s="39"/>
      <c r="W77" s="39"/>
      <c r="X77" s="40"/>
      <c r="Y77" s="41"/>
      <c r="Z77" s="42"/>
      <c r="AA77" s="43" t="str">
        <f aca="false">IF(G77&lt;&gt;"","Poplar|","")&amp;IF(H77&lt;&gt;"","FJ Primed Poplar|","")&amp;IF(I77&lt;&gt;"","FJ Primed Pine|","")&amp;IF(J77&lt;&gt;"","Clear Pine|","")&amp;IF(K77&lt;&gt;"","Primed MDF|","")&amp;IF(L77&lt;&gt;"","White Oak|","")&amp;IF(M77&lt;&gt;"","Red Oak|","")&amp;IF(N77&lt;&gt;"","Hard Maple|","")&amp;IF(O77&lt;&gt;"","Black Walnut|","")&amp;IF(P77&lt;&gt;"","Douglas Fir|","")&amp;IF(Q77&lt;&gt;"","Western Red Cedar|","")&amp;IF(R77&lt;&gt;"","PVC|","")&amp;IF(S77&lt;&gt;"","Flex|","")&amp;IF(T77&lt;&gt;"","Steel|","")&amp;IF(U77&lt;&gt;"","Plastic|","")&amp;IF(V77&lt;&gt;"",V77&amp;"|","")</f>
        <v/>
      </c>
    </row>
    <row r="78" customFormat="false" ht="16.5" hidden="false" customHeight="true" outlineLevel="0" collapsed="false">
      <c r="A78" s="34" t="s">
        <v>346</v>
      </c>
      <c r="B78" s="35" t="s">
        <v>347</v>
      </c>
      <c r="C78" s="34" t="s">
        <v>344</v>
      </c>
      <c r="D78" s="34" t="s">
        <v>348</v>
      </c>
      <c r="E78" s="34" t="s">
        <v>141</v>
      </c>
      <c r="F78" s="36" t="str">
        <f aca="false">IF(LEN(AA78)=0,"",LEFT(AA78,LEN(AA78)-1))</f>
        <v/>
      </c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8"/>
      <c r="T78" s="37"/>
      <c r="U78" s="37"/>
      <c r="V78" s="39"/>
      <c r="W78" s="39"/>
      <c r="X78" s="40"/>
      <c r="Y78" s="41"/>
      <c r="Z78" s="42"/>
      <c r="AA78" s="43" t="str">
        <f aca="false">IF(G78&lt;&gt;"","Poplar|","")&amp;IF(H78&lt;&gt;"","FJ Primed Poplar|","")&amp;IF(I78&lt;&gt;"","FJ Primed Pine|","")&amp;IF(J78&lt;&gt;"","Clear Pine|","")&amp;IF(K78&lt;&gt;"","Primed MDF|","")&amp;IF(L78&lt;&gt;"","White Oak|","")&amp;IF(M78&lt;&gt;"","Red Oak|","")&amp;IF(N78&lt;&gt;"","Hard Maple|","")&amp;IF(O78&lt;&gt;"","Black Walnut|","")&amp;IF(P78&lt;&gt;"","Douglas Fir|","")&amp;IF(Q78&lt;&gt;"","Western Red Cedar|","")&amp;IF(R78&lt;&gt;"","PVC|","")&amp;IF(S78&lt;&gt;"","Flex|","")&amp;IF(T78&lt;&gt;"","Steel|","")&amp;IF(U78&lt;&gt;"","Plastic|","")&amp;IF(V78&lt;&gt;"",V78&amp;"|","")</f>
        <v/>
      </c>
    </row>
    <row r="79" customFormat="false" ht="16.5" hidden="false" customHeight="true" outlineLevel="0" collapsed="false">
      <c r="A79" s="34" t="s">
        <v>349</v>
      </c>
      <c r="B79" s="35" t="s">
        <v>350</v>
      </c>
      <c r="C79" s="34" t="s">
        <v>344</v>
      </c>
      <c r="D79" s="34" t="s">
        <v>351</v>
      </c>
      <c r="E79" s="34" t="s">
        <v>141</v>
      </c>
      <c r="F79" s="36" t="str">
        <f aca="false">IF(LEN(AA79)=0,"",LEFT(AA79,LEN(AA79)-1))</f>
        <v/>
      </c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8"/>
      <c r="T79" s="37"/>
      <c r="U79" s="37"/>
      <c r="V79" s="39"/>
      <c r="W79" s="39"/>
      <c r="X79" s="40"/>
      <c r="Y79" s="41"/>
      <c r="Z79" s="42"/>
      <c r="AA79" s="43" t="str">
        <f aca="false">IF(G79&lt;&gt;"","Poplar|","")&amp;IF(H79&lt;&gt;"","FJ Primed Poplar|","")&amp;IF(I79&lt;&gt;"","FJ Primed Pine|","")&amp;IF(J79&lt;&gt;"","Clear Pine|","")&amp;IF(K79&lt;&gt;"","Primed MDF|","")&amp;IF(L79&lt;&gt;"","White Oak|","")&amp;IF(M79&lt;&gt;"","Red Oak|","")&amp;IF(N79&lt;&gt;"","Hard Maple|","")&amp;IF(O79&lt;&gt;"","Black Walnut|","")&amp;IF(P79&lt;&gt;"","Douglas Fir|","")&amp;IF(Q79&lt;&gt;"","Western Red Cedar|","")&amp;IF(R79&lt;&gt;"","PVC|","")&amp;IF(S79&lt;&gt;"","Flex|","")&amp;IF(T79&lt;&gt;"","Steel|","")&amp;IF(U79&lt;&gt;"","Plastic|","")&amp;IF(V79&lt;&gt;"",V79&amp;"|","")</f>
        <v/>
      </c>
    </row>
    <row r="80" customFormat="false" ht="16.5" hidden="false" customHeight="true" outlineLevel="0" collapsed="false">
      <c r="A80" s="34" t="s">
        <v>352</v>
      </c>
      <c r="B80" s="35" t="s">
        <v>353</v>
      </c>
      <c r="C80" s="34" t="s">
        <v>344</v>
      </c>
      <c r="D80" s="34" t="s">
        <v>354</v>
      </c>
      <c r="E80" s="34" t="s">
        <v>141</v>
      </c>
      <c r="F80" s="36" t="str">
        <f aca="false">IF(LEN(AA80)=0,"",LEFT(AA80,LEN(AA80)-1))</f>
        <v/>
      </c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8"/>
      <c r="T80" s="37"/>
      <c r="U80" s="37"/>
      <c r="V80" s="39"/>
      <c r="W80" s="39"/>
      <c r="X80" s="40"/>
      <c r="Y80" s="41"/>
      <c r="Z80" s="42"/>
      <c r="AA80" s="43" t="str">
        <f aca="false">IF(G80&lt;&gt;"","Poplar|","")&amp;IF(H80&lt;&gt;"","FJ Primed Poplar|","")&amp;IF(I80&lt;&gt;"","FJ Primed Pine|","")&amp;IF(J80&lt;&gt;"","Clear Pine|","")&amp;IF(K80&lt;&gt;"","Primed MDF|","")&amp;IF(L80&lt;&gt;"","White Oak|","")&amp;IF(M80&lt;&gt;"","Red Oak|","")&amp;IF(N80&lt;&gt;"","Hard Maple|","")&amp;IF(O80&lt;&gt;"","Black Walnut|","")&amp;IF(P80&lt;&gt;"","Douglas Fir|","")&amp;IF(Q80&lt;&gt;"","Western Red Cedar|","")&amp;IF(R80&lt;&gt;"","PVC|","")&amp;IF(S80&lt;&gt;"","Flex|","")&amp;IF(T80&lt;&gt;"","Steel|","")&amp;IF(U80&lt;&gt;"","Plastic|","")&amp;IF(V80&lt;&gt;"",V80&amp;"|","")</f>
        <v/>
      </c>
    </row>
    <row r="81" customFormat="false" ht="16.5" hidden="false" customHeight="true" outlineLevel="0" collapsed="false">
      <c r="A81" s="34" t="s">
        <v>355</v>
      </c>
      <c r="B81" s="35" t="s">
        <v>356</v>
      </c>
      <c r="C81" s="34" t="s">
        <v>344</v>
      </c>
      <c r="D81" s="34" t="s">
        <v>357</v>
      </c>
      <c r="E81" s="34" t="s">
        <v>141</v>
      </c>
      <c r="F81" s="36" t="str">
        <f aca="false">IF(LEN(AA81)=0,"",LEFT(AA81,LEN(AA81)-1))</f>
        <v/>
      </c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8"/>
      <c r="T81" s="37"/>
      <c r="U81" s="37"/>
      <c r="V81" s="39"/>
      <c r="W81" s="39"/>
      <c r="X81" s="40"/>
      <c r="Y81" s="41"/>
      <c r="Z81" s="42"/>
      <c r="AA81" s="43" t="str">
        <f aca="false">IF(G81&lt;&gt;"","Poplar|","")&amp;IF(H81&lt;&gt;"","FJ Primed Poplar|","")&amp;IF(I81&lt;&gt;"","FJ Primed Pine|","")&amp;IF(J81&lt;&gt;"","Clear Pine|","")&amp;IF(K81&lt;&gt;"","Primed MDF|","")&amp;IF(L81&lt;&gt;"","White Oak|","")&amp;IF(M81&lt;&gt;"","Red Oak|","")&amp;IF(N81&lt;&gt;"","Hard Maple|","")&amp;IF(O81&lt;&gt;"","Black Walnut|","")&amp;IF(P81&lt;&gt;"","Douglas Fir|","")&amp;IF(Q81&lt;&gt;"","Western Red Cedar|","")&amp;IF(R81&lt;&gt;"","PVC|","")&amp;IF(S81&lt;&gt;"","Flex|","")&amp;IF(T81&lt;&gt;"","Steel|","")&amp;IF(U81&lt;&gt;"","Plastic|","")&amp;IF(V81&lt;&gt;"",V81&amp;"|","")</f>
        <v/>
      </c>
    </row>
    <row r="82" customFormat="false" ht="16.5" hidden="false" customHeight="true" outlineLevel="0" collapsed="false">
      <c r="A82" s="34" t="s">
        <v>358</v>
      </c>
      <c r="B82" s="35" t="s">
        <v>359</v>
      </c>
      <c r="C82" s="34" t="s">
        <v>344</v>
      </c>
      <c r="D82" s="34" t="s">
        <v>360</v>
      </c>
      <c r="E82" s="34" t="s">
        <v>141</v>
      </c>
      <c r="F82" s="36" t="str">
        <f aca="false">IF(LEN(AA82)=0,"",LEFT(AA82,LEN(AA82)-1))</f>
        <v/>
      </c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8"/>
      <c r="T82" s="37"/>
      <c r="U82" s="37"/>
      <c r="V82" s="39"/>
      <c r="W82" s="39"/>
      <c r="X82" s="40"/>
      <c r="Y82" s="41"/>
      <c r="Z82" s="42"/>
      <c r="AA82" s="43" t="str">
        <f aca="false">IF(G82&lt;&gt;"","Poplar|","")&amp;IF(H82&lt;&gt;"","FJ Primed Poplar|","")&amp;IF(I82&lt;&gt;"","FJ Primed Pine|","")&amp;IF(J82&lt;&gt;"","Clear Pine|","")&amp;IF(K82&lt;&gt;"","Primed MDF|","")&amp;IF(L82&lt;&gt;"","White Oak|","")&amp;IF(M82&lt;&gt;"","Red Oak|","")&amp;IF(N82&lt;&gt;"","Hard Maple|","")&amp;IF(O82&lt;&gt;"","Black Walnut|","")&amp;IF(P82&lt;&gt;"","Douglas Fir|","")&amp;IF(Q82&lt;&gt;"","Western Red Cedar|","")&amp;IF(R82&lt;&gt;"","PVC|","")&amp;IF(S82&lt;&gt;"","Flex|","")&amp;IF(T82&lt;&gt;"","Steel|","")&amp;IF(U82&lt;&gt;"","Plastic|","")&amp;IF(V82&lt;&gt;"",V82&amp;"|","")</f>
        <v/>
      </c>
    </row>
    <row r="83" customFormat="false" ht="16.5" hidden="false" customHeight="true" outlineLevel="0" collapsed="false">
      <c r="A83" s="34" t="s">
        <v>361</v>
      </c>
      <c r="B83" s="35" t="s">
        <v>362</v>
      </c>
      <c r="C83" s="34" t="s">
        <v>344</v>
      </c>
      <c r="D83" s="34" t="s">
        <v>363</v>
      </c>
      <c r="E83" s="34" t="s">
        <v>141</v>
      </c>
      <c r="F83" s="36" t="str">
        <f aca="false">IF(LEN(AA83)=0,"",LEFT(AA83,LEN(AA83)-1))</f>
        <v/>
      </c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8"/>
      <c r="T83" s="37"/>
      <c r="U83" s="37"/>
      <c r="V83" s="39"/>
      <c r="W83" s="39"/>
      <c r="X83" s="40"/>
      <c r="Y83" s="41"/>
      <c r="Z83" s="42"/>
      <c r="AA83" s="43" t="str">
        <f aca="false">IF(G83&lt;&gt;"","Poplar|","")&amp;IF(H83&lt;&gt;"","FJ Primed Poplar|","")&amp;IF(I83&lt;&gt;"","FJ Primed Pine|","")&amp;IF(J83&lt;&gt;"","Clear Pine|","")&amp;IF(K83&lt;&gt;"","Primed MDF|","")&amp;IF(L83&lt;&gt;"","White Oak|","")&amp;IF(M83&lt;&gt;"","Red Oak|","")&amp;IF(N83&lt;&gt;"","Hard Maple|","")&amp;IF(O83&lt;&gt;"","Black Walnut|","")&amp;IF(P83&lt;&gt;"","Douglas Fir|","")&amp;IF(Q83&lt;&gt;"","Western Red Cedar|","")&amp;IF(R83&lt;&gt;"","PVC|","")&amp;IF(S83&lt;&gt;"","Flex|","")&amp;IF(T83&lt;&gt;"","Steel|","")&amp;IF(U83&lt;&gt;"","Plastic|","")&amp;IF(V83&lt;&gt;"",V83&amp;"|","")</f>
        <v/>
      </c>
    </row>
    <row r="84" customFormat="false" ht="16.5" hidden="false" customHeight="true" outlineLevel="0" collapsed="false">
      <c r="A84" s="44" t="s">
        <v>364</v>
      </c>
      <c r="B84" s="45" t="s">
        <v>365</v>
      </c>
      <c r="C84" s="44" t="s">
        <v>366</v>
      </c>
      <c r="D84" s="44" t="s">
        <v>367</v>
      </c>
      <c r="E84" s="44" t="s">
        <v>141</v>
      </c>
      <c r="F84" s="36" t="str">
        <f aca="false">IF(LEN(AA84)=0,"",LEFT(AA84,LEN(AA84)-1))</f>
        <v/>
      </c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8"/>
      <c r="T84" s="37"/>
      <c r="U84" s="37"/>
      <c r="V84" s="46"/>
      <c r="W84" s="46"/>
      <c r="X84" s="40"/>
      <c r="Y84" s="41"/>
      <c r="Z84" s="42"/>
      <c r="AA84" s="43" t="str">
        <f aca="false">IF(G84&lt;&gt;"","Poplar|","")&amp;IF(H84&lt;&gt;"","FJ Primed Poplar|","")&amp;IF(I84&lt;&gt;"","FJ Primed Pine|","")&amp;IF(J84&lt;&gt;"","Clear Pine|","")&amp;IF(K84&lt;&gt;"","Primed MDF|","")&amp;IF(L84&lt;&gt;"","White Oak|","")&amp;IF(M84&lt;&gt;"","Red Oak|","")&amp;IF(N84&lt;&gt;"","Hard Maple|","")&amp;IF(O84&lt;&gt;"","Black Walnut|","")&amp;IF(P84&lt;&gt;"","Douglas Fir|","")&amp;IF(Q84&lt;&gt;"","Western Red Cedar|","")&amp;IF(R84&lt;&gt;"","PVC|","")&amp;IF(S84&lt;&gt;"","Flex|","")&amp;IF(T84&lt;&gt;"","Steel|","")&amp;IF(U84&lt;&gt;"","Plastic|","")&amp;IF(V84&lt;&gt;"",V84&amp;"|","")</f>
        <v/>
      </c>
    </row>
    <row r="85" customFormat="false" ht="16.5" hidden="false" customHeight="true" outlineLevel="0" collapsed="false">
      <c r="A85" s="44" t="s">
        <v>368</v>
      </c>
      <c r="B85" s="45" t="s">
        <v>369</v>
      </c>
      <c r="C85" s="44" t="s">
        <v>366</v>
      </c>
      <c r="D85" s="44" t="s">
        <v>370</v>
      </c>
      <c r="E85" s="44" t="s">
        <v>141</v>
      </c>
      <c r="F85" s="36" t="str">
        <f aca="false">IF(LEN(AA85)=0,"",LEFT(AA85,LEN(AA85)-1))</f>
        <v/>
      </c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8"/>
      <c r="T85" s="37"/>
      <c r="U85" s="37"/>
      <c r="V85" s="46"/>
      <c r="W85" s="46"/>
      <c r="X85" s="40"/>
      <c r="Y85" s="41"/>
      <c r="Z85" s="42"/>
      <c r="AA85" s="43" t="str">
        <f aca="false">IF(G85&lt;&gt;"","Poplar|","")&amp;IF(H85&lt;&gt;"","FJ Primed Poplar|","")&amp;IF(I85&lt;&gt;"","FJ Primed Pine|","")&amp;IF(J85&lt;&gt;"","Clear Pine|","")&amp;IF(K85&lt;&gt;"","Primed MDF|","")&amp;IF(L85&lt;&gt;"","White Oak|","")&amp;IF(M85&lt;&gt;"","Red Oak|","")&amp;IF(N85&lt;&gt;"","Hard Maple|","")&amp;IF(O85&lt;&gt;"","Black Walnut|","")&amp;IF(P85&lt;&gt;"","Douglas Fir|","")&amp;IF(Q85&lt;&gt;"","Western Red Cedar|","")&amp;IF(R85&lt;&gt;"","PVC|","")&amp;IF(S85&lt;&gt;"","Flex|","")&amp;IF(T85&lt;&gt;"","Steel|","")&amp;IF(U85&lt;&gt;"","Plastic|","")&amp;IF(V85&lt;&gt;"",V85&amp;"|","")</f>
        <v/>
      </c>
    </row>
    <row r="86" customFormat="false" ht="16.5" hidden="false" customHeight="true" outlineLevel="0" collapsed="false">
      <c r="A86" s="44" t="s">
        <v>371</v>
      </c>
      <c r="B86" s="45" t="s">
        <v>372</v>
      </c>
      <c r="C86" s="44" t="s">
        <v>366</v>
      </c>
      <c r="D86" s="44" t="s">
        <v>373</v>
      </c>
      <c r="E86" s="44" t="s">
        <v>141</v>
      </c>
      <c r="F86" s="36" t="str">
        <f aca="false">IF(LEN(AA86)=0,"",LEFT(AA86,LEN(AA86)-1))</f>
        <v/>
      </c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8"/>
      <c r="T86" s="37"/>
      <c r="U86" s="37"/>
      <c r="V86" s="46"/>
      <c r="W86" s="46"/>
      <c r="X86" s="40"/>
      <c r="Y86" s="41"/>
      <c r="Z86" s="42"/>
      <c r="AA86" s="43" t="str">
        <f aca="false">IF(G86&lt;&gt;"","Poplar|","")&amp;IF(H86&lt;&gt;"","FJ Primed Poplar|","")&amp;IF(I86&lt;&gt;"","FJ Primed Pine|","")&amp;IF(J86&lt;&gt;"","Clear Pine|","")&amp;IF(K86&lt;&gt;"","Primed MDF|","")&amp;IF(L86&lt;&gt;"","White Oak|","")&amp;IF(M86&lt;&gt;"","Red Oak|","")&amp;IF(N86&lt;&gt;"","Hard Maple|","")&amp;IF(O86&lt;&gt;"","Black Walnut|","")&amp;IF(P86&lt;&gt;"","Douglas Fir|","")&amp;IF(Q86&lt;&gt;"","Western Red Cedar|","")&amp;IF(R86&lt;&gt;"","PVC|","")&amp;IF(S86&lt;&gt;"","Flex|","")&amp;IF(T86&lt;&gt;"","Steel|","")&amp;IF(U86&lt;&gt;"","Plastic|","")&amp;IF(V86&lt;&gt;"",V86&amp;"|","")</f>
        <v/>
      </c>
    </row>
    <row r="87" customFormat="false" ht="16.5" hidden="false" customHeight="true" outlineLevel="0" collapsed="false">
      <c r="A87" s="44" t="s">
        <v>374</v>
      </c>
      <c r="B87" s="45" t="s">
        <v>375</v>
      </c>
      <c r="C87" s="44" t="s">
        <v>366</v>
      </c>
      <c r="D87" s="44" t="s">
        <v>376</v>
      </c>
      <c r="E87" s="44" t="s">
        <v>141</v>
      </c>
      <c r="F87" s="36" t="str">
        <f aca="false">IF(LEN(AA87)=0,"",LEFT(AA87,LEN(AA87)-1))</f>
        <v/>
      </c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8"/>
      <c r="T87" s="37"/>
      <c r="U87" s="37"/>
      <c r="V87" s="46"/>
      <c r="W87" s="46"/>
      <c r="X87" s="40"/>
      <c r="Y87" s="41"/>
      <c r="Z87" s="42"/>
      <c r="AA87" s="43" t="str">
        <f aca="false">IF(G87&lt;&gt;"","Poplar|","")&amp;IF(H87&lt;&gt;"","FJ Primed Poplar|","")&amp;IF(I87&lt;&gt;"","FJ Primed Pine|","")&amp;IF(J87&lt;&gt;"","Clear Pine|","")&amp;IF(K87&lt;&gt;"","Primed MDF|","")&amp;IF(L87&lt;&gt;"","White Oak|","")&amp;IF(M87&lt;&gt;"","Red Oak|","")&amp;IF(N87&lt;&gt;"","Hard Maple|","")&amp;IF(O87&lt;&gt;"","Black Walnut|","")&amp;IF(P87&lt;&gt;"","Douglas Fir|","")&amp;IF(Q87&lt;&gt;"","Western Red Cedar|","")&amp;IF(R87&lt;&gt;"","PVC|","")&amp;IF(S87&lt;&gt;"","Flex|","")&amp;IF(T87&lt;&gt;"","Steel|","")&amp;IF(U87&lt;&gt;"","Plastic|","")&amp;IF(V87&lt;&gt;"",V87&amp;"|","")</f>
        <v/>
      </c>
    </row>
    <row r="88" customFormat="false" ht="16.5" hidden="false" customHeight="true" outlineLevel="0" collapsed="false">
      <c r="A88" s="34" t="s">
        <v>377</v>
      </c>
      <c r="B88" s="35" t="s">
        <v>378</v>
      </c>
      <c r="C88" s="34" t="s">
        <v>379</v>
      </c>
      <c r="D88" s="34" t="s">
        <v>284</v>
      </c>
      <c r="E88" s="34" t="s">
        <v>141</v>
      </c>
      <c r="F88" s="36" t="str">
        <f aca="false">IF(LEN(AA88)=0,"",LEFT(AA88,LEN(AA88)-1))</f>
        <v/>
      </c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8"/>
      <c r="T88" s="37"/>
      <c r="U88" s="37"/>
      <c r="V88" s="39"/>
      <c r="W88" s="39"/>
      <c r="X88" s="40"/>
      <c r="Y88" s="41"/>
      <c r="Z88" s="42"/>
      <c r="AA88" s="43" t="str">
        <f aca="false">IF(G88&lt;&gt;"","Poplar|","")&amp;IF(H88&lt;&gt;"","FJ Primed Poplar|","")&amp;IF(I88&lt;&gt;"","FJ Primed Pine|","")&amp;IF(J88&lt;&gt;"","Clear Pine|","")&amp;IF(K88&lt;&gt;"","Primed MDF|","")&amp;IF(L88&lt;&gt;"","White Oak|","")&amp;IF(M88&lt;&gt;"","Red Oak|","")&amp;IF(N88&lt;&gt;"","Hard Maple|","")&amp;IF(O88&lt;&gt;"","Black Walnut|","")&amp;IF(P88&lt;&gt;"","Douglas Fir|","")&amp;IF(Q88&lt;&gt;"","Western Red Cedar|","")&amp;IF(R88&lt;&gt;"","PVC|","")&amp;IF(S88&lt;&gt;"","Flex|","")&amp;IF(T88&lt;&gt;"","Steel|","")&amp;IF(U88&lt;&gt;"","Plastic|","")&amp;IF(V88&lt;&gt;"",V88&amp;"|","")</f>
        <v/>
      </c>
    </row>
    <row r="89" customFormat="false" ht="16.5" hidden="false" customHeight="true" outlineLevel="0" collapsed="false">
      <c r="A89" s="34" t="s">
        <v>380</v>
      </c>
      <c r="B89" s="35" t="s">
        <v>381</v>
      </c>
      <c r="C89" s="34" t="s">
        <v>379</v>
      </c>
      <c r="D89" s="34" t="s">
        <v>382</v>
      </c>
      <c r="E89" s="34" t="s">
        <v>141</v>
      </c>
      <c r="F89" s="36" t="str">
        <f aca="false">IF(LEN(AA89)=0,"",LEFT(AA89,LEN(AA89)-1))</f>
        <v/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8"/>
      <c r="T89" s="37"/>
      <c r="U89" s="37"/>
      <c r="V89" s="39"/>
      <c r="W89" s="39"/>
      <c r="X89" s="40"/>
      <c r="Y89" s="41"/>
      <c r="Z89" s="42"/>
      <c r="AA89" s="43" t="str">
        <f aca="false">IF(G89&lt;&gt;"","Poplar|","")&amp;IF(H89&lt;&gt;"","FJ Primed Poplar|","")&amp;IF(I89&lt;&gt;"","FJ Primed Pine|","")&amp;IF(J89&lt;&gt;"","Clear Pine|","")&amp;IF(K89&lt;&gt;"","Primed MDF|","")&amp;IF(L89&lt;&gt;"","White Oak|","")&amp;IF(M89&lt;&gt;"","Red Oak|","")&amp;IF(N89&lt;&gt;"","Hard Maple|","")&amp;IF(O89&lt;&gt;"","Black Walnut|","")&amp;IF(P89&lt;&gt;"","Douglas Fir|","")&amp;IF(Q89&lt;&gt;"","Western Red Cedar|","")&amp;IF(R89&lt;&gt;"","PVC|","")&amp;IF(S89&lt;&gt;"","Flex|","")&amp;IF(T89&lt;&gt;"","Steel|","")&amp;IF(U89&lt;&gt;"","Plastic|","")&amp;IF(V89&lt;&gt;"",V89&amp;"|","")</f>
        <v/>
      </c>
    </row>
    <row r="90" customFormat="false" ht="16.5" hidden="false" customHeight="true" outlineLevel="0" collapsed="false">
      <c r="A90" s="34" t="s">
        <v>383</v>
      </c>
      <c r="B90" s="35" t="s">
        <v>384</v>
      </c>
      <c r="C90" s="34" t="s">
        <v>379</v>
      </c>
      <c r="D90" s="34" t="s">
        <v>385</v>
      </c>
      <c r="E90" s="34" t="s">
        <v>141</v>
      </c>
      <c r="F90" s="36" t="str">
        <f aca="false">IF(LEN(AA90)=0,"",LEFT(AA90,LEN(AA90)-1))</f>
        <v/>
      </c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8"/>
      <c r="T90" s="37"/>
      <c r="U90" s="37"/>
      <c r="V90" s="39"/>
      <c r="W90" s="39"/>
      <c r="X90" s="40"/>
      <c r="Y90" s="41"/>
      <c r="Z90" s="42"/>
      <c r="AA90" s="43" t="str">
        <f aca="false">IF(G90&lt;&gt;"","Poplar|","")&amp;IF(H90&lt;&gt;"","FJ Primed Poplar|","")&amp;IF(I90&lt;&gt;"","FJ Primed Pine|","")&amp;IF(J90&lt;&gt;"","Clear Pine|","")&amp;IF(K90&lt;&gt;"","Primed MDF|","")&amp;IF(L90&lt;&gt;"","White Oak|","")&amp;IF(M90&lt;&gt;"","Red Oak|","")&amp;IF(N90&lt;&gt;"","Hard Maple|","")&amp;IF(O90&lt;&gt;"","Black Walnut|","")&amp;IF(P90&lt;&gt;"","Douglas Fir|","")&amp;IF(Q90&lt;&gt;"","Western Red Cedar|","")&amp;IF(R90&lt;&gt;"","PVC|","")&amp;IF(S90&lt;&gt;"","Flex|","")&amp;IF(T90&lt;&gt;"","Steel|","")&amp;IF(U90&lt;&gt;"","Plastic|","")&amp;IF(V90&lt;&gt;"",V90&amp;"|","")</f>
        <v/>
      </c>
    </row>
    <row r="91" customFormat="false" ht="16.5" hidden="false" customHeight="true" outlineLevel="0" collapsed="false">
      <c r="A91" s="34" t="s">
        <v>386</v>
      </c>
      <c r="B91" s="35" t="s">
        <v>387</v>
      </c>
      <c r="C91" s="34" t="s">
        <v>379</v>
      </c>
      <c r="D91" s="34" t="s">
        <v>376</v>
      </c>
      <c r="E91" s="34" t="s">
        <v>141</v>
      </c>
      <c r="F91" s="36" t="str">
        <f aca="false">IF(LEN(AA91)=0,"",LEFT(AA91,LEN(AA91)-1))</f>
        <v/>
      </c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8"/>
      <c r="T91" s="37"/>
      <c r="U91" s="37"/>
      <c r="V91" s="39"/>
      <c r="W91" s="39"/>
      <c r="X91" s="40"/>
      <c r="Y91" s="41"/>
      <c r="Z91" s="42"/>
      <c r="AA91" s="43" t="str">
        <f aca="false">IF(G91&lt;&gt;"","Poplar|","")&amp;IF(H91&lt;&gt;"","FJ Primed Poplar|","")&amp;IF(I91&lt;&gt;"","FJ Primed Pine|","")&amp;IF(J91&lt;&gt;"","Clear Pine|","")&amp;IF(K91&lt;&gt;"","Primed MDF|","")&amp;IF(L91&lt;&gt;"","White Oak|","")&amp;IF(M91&lt;&gt;"","Red Oak|","")&amp;IF(N91&lt;&gt;"","Hard Maple|","")&amp;IF(O91&lt;&gt;"","Black Walnut|","")&amp;IF(P91&lt;&gt;"","Douglas Fir|","")&amp;IF(Q91&lt;&gt;"","Western Red Cedar|","")&amp;IF(R91&lt;&gt;"","PVC|","")&amp;IF(S91&lt;&gt;"","Flex|","")&amp;IF(T91&lt;&gt;"","Steel|","")&amp;IF(U91&lt;&gt;"","Plastic|","")&amp;IF(V91&lt;&gt;"",V91&amp;"|","")</f>
        <v/>
      </c>
    </row>
    <row r="92" customFormat="false" ht="16.5" hidden="false" customHeight="true" outlineLevel="0" collapsed="false">
      <c r="A92" s="34" t="s">
        <v>388</v>
      </c>
      <c r="B92" s="35" t="s">
        <v>389</v>
      </c>
      <c r="C92" s="34" t="s">
        <v>379</v>
      </c>
      <c r="D92" s="34" t="s">
        <v>329</v>
      </c>
      <c r="E92" s="34" t="s">
        <v>141</v>
      </c>
      <c r="F92" s="36" t="str">
        <f aca="false">IF(LEN(AA92)=0,"",LEFT(AA92,LEN(AA92)-1))</f>
        <v/>
      </c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8"/>
      <c r="T92" s="37"/>
      <c r="U92" s="37"/>
      <c r="V92" s="39"/>
      <c r="W92" s="39"/>
      <c r="X92" s="40"/>
      <c r="Y92" s="41"/>
      <c r="Z92" s="42"/>
      <c r="AA92" s="43" t="str">
        <f aca="false">IF(G92&lt;&gt;"","Poplar|","")&amp;IF(H92&lt;&gt;"","FJ Primed Poplar|","")&amp;IF(I92&lt;&gt;"","FJ Primed Pine|","")&amp;IF(J92&lt;&gt;"","Clear Pine|","")&amp;IF(K92&lt;&gt;"","Primed MDF|","")&amp;IF(L92&lt;&gt;"","White Oak|","")&amp;IF(M92&lt;&gt;"","Red Oak|","")&amp;IF(N92&lt;&gt;"","Hard Maple|","")&amp;IF(O92&lt;&gt;"","Black Walnut|","")&amp;IF(P92&lt;&gt;"","Douglas Fir|","")&amp;IF(Q92&lt;&gt;"","Western Red Cedar|","")&amp;IF(R92&lt;&gt;"","PVC|","")&amp;IF(S92&lt;&gt;"","Flex|","")&amp;IF(T92&lt;&gt;"","Steel|","")&amp;IF(U92&lt;&gt;"","Plastic|","")&amp;IF(V92&lt;&gt;"",V92&amp;"|","")</f>
        <v/>
      </c>
    </row>
    <row r="93" customFormat="false" ht="16.5" hidden="false" customHeight="true" outlineLevel="0" collapsed="false">
      <c r="A93" s="34" t="s">
        <v>390</v>
      </c>
      <c r="B93" s="35" t="s">
        <v>391</v>
      </c>
      <c r="C93" s="34" t="s">
        <v>379</v>
      </c>
      <c r="D93" s="34" t="s">
        <v>392</v>
      </c>
      <c r="E93" s="34" t="s">
        <v>141</v>
      </c>
      <c r="F93" s="36" t="str">
        <f aca="false">IF(LEN(AA93)=0,"",LEFT(AA93,LEN(AA93)-1))</f>
        <v/>
      </c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8"/>
      <c r="T93" s="37"/>
      <c r="U93" s="37"/>
      <c r="V93" s="39"/>
      <c r="W93" s="39"/>
      <c r="X93" s="40"/>
      <c r="Y93" s="41"/>
      <c r="Z93" s="42"/>
      <c r="AA93" s="43" t="str">
        <f aca="false">IF(G93&lt;&gt;"","Poplar|","")&amp;IF(H93&lt;&gt;"","FJ Primed Poplar|","")&amp;IF(I93&lt;&gt;"","FJ Primed Pine|","")&amp;IF(J93&lt;&gt;"","Clear Pine|","")&amp;IF(K93&lt;&gt;"","Primed MDF|","")&amp;IF(L93&lt;&gt;"","White Oak|","")&amp;IF(M93&lt;&gt;"","Red Oak|","")&amp;IF(N93&lt;&gt;"","Hard Maple|","")&amp;IF(O93&lt;&gt;"","Black Walnut|","")&amp;IF(P93&lt;&gt;"","Douglas Fir|","")&amp;IF(Q93&lt;&gt;"","Western Red Cedar|","")&amp;IF(R93&lt;&gt;"","PVC|","")&amp;IF(S93&lt;&gt;"","Flex|","")&amp;IF(T93&lt;&gt;"","Steel|","")&amp;IF(U93&lt;&gt;"","Plastic|","")&amp;IF(V93&lt;&gt;"",V93&amp;"|","")</f>
        <v/>
      </c>
    </row>
    <row r="94" customFormat="false" ht="16.5" hidden="false" customHeight="true" outlineLevel="0" collapsed="false">
      <c r="A94" s="34" t="s">
        <v>393</v>
      </c>
      <c r="B94" s="35" t="s">
        <v>394</v>
      </c>
      <c r="C94" s="34" t="s">
        <v>379</v>
      </c>
      <c r="D94" s="34" t="s">
        <v>395</v>
      </c>
      <c r="E94" s="34" t="s">
        <v>141</v>
      </c>
      <c r="F94" s="36" t="str">
        <f aca="false">IF(LEN(AA94)=0,"",LEFT(AA94,LEN(AA94)-1))</f>
        <v/>
      </c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8"/>
      <c r="T94" s="37"/>
      <c r="U94" s="37"/>
      <c r="V94" s="39"/>
      <c r="W94" s="39"/>
      <c r="X94" s="40"/>
      <c r="Y94" s="41"/>
      <c r="Z94" s="42"/>
      <c r="AA94" s="43" t="str">
        <f aca="false">IF(G94&lt;&gt;"","Poplar|","")&amp;IF(H94&lt;&gt;"","FJ Primed Poplar|","")&amp;IF(I94&lt;&gt;"","FJ Primed Pine|","")&amp;IF(J94&lt;&gt;"","Clear Pine|","")&amp;IF(K94&lt;&gt;"","Primed MDF|","")&amp;IF(L94&lt;&gt;"","White Oak|","")&amp;IF(M94&lt;&gt;"","Red Oak|","")&amp;IF(N94&lt;&gt;"","Hard Maple|","")&amp;IF(O94&lt;&gt;"","Black Walnut|","")&amp;IF(P94&lt;&gt;"","Douglas Fir|","")&amp;IF(Q94&lt;&gt;"","Western Red Cedar|","")&amp;IF(R94&lt;&gt;"","PVC|","")&amp;IF(S94&lt;&gt;"","Flex|","")&amp;IF(T94&lt;&gt;"","Steel|","")&amp;IF(U94&lt;&gt;"","Plastic|","")&amp;IF(V94&lt;&gt;"",V94&amp;"|","")</f>
        <v/>
      </c>
    </row>
    <row r="95" customFormat="false" ht="16.5" hidden="false" customHeight="true" outlineLevel="0" collapsed="false">
      <c r="A95" s="34" t="s">
        <v>396</v>
      </c>
      <c r="B95" s="35" t="s">
        <v>397</v>
      </c>
      <c r="C95" s="34" t="s">
        <v>379</v>
      </c>
      <c r="D95" s="34" t="s">
        <v>312</v>
      </c>
      <c r="E95" s="34" t="s">
        <v>141</v>
      </c>
      <c r="F95" s="36" t="str">
        <f aca="false">IF(LEN(AA95)=0,"",LEFT(AA95,LEN(AA95)-1))</f>
        <v/>
      </c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8"/>
      <c r="T95" s="37"/>
      <c r="U95" s="37"/>
      <c r="V95" s="39"/>
      <c r="W95" s="39"/>
      <c r="X95" s="40"/>
      <c r="Y95" s="41"/>
      <c r="Z95" s="42"/>
      <c r="AA95" s="43" t="str">
        <f aca="false">IF(G95&lt;&gt;"","Poplar|","")&amp;IF(H95&lt;&gt;"","FJ Primed Poplar|","")&amp;IF(I95&lt;&gt;"","FJ Primed Pine|","")&amp;IF(J95&lt;&gt;"","Clear Pine|","")&amp;IF(K95&lt;&gt;"","Primed MDF|","")&amp;IF(L95&lt;&gt;"","White Oak|","")&amp;IF(M95&lt;&gt;"","Red Oak|","")&amp;IF(N95&lt;&gt;"","Hard Maple|","")&amp;IF(O95&lt;&gt;"","Black Walnut|","")&amp;IF(P95&lt;&gt;"","Douglas Fir|","")&amp;IF(Q95&lt;&gt;"","Western Red Cedar|","")&amp;IF(R95&lt;&gt;"","PVC|","")&amp;IF(S95&lt;&gt;"","Flex|","")&amp;IF(T95&lt;&gt;"","Steel|","")&amp;IF(U95&lt;&gt;"","Plastic|","")&amp;IF(V95&lt;&gt;"",V95&amp;"|","")</f>
        <v/>
      </c>
    </row>
    <row r="96" customFormat="false" ht="16.5" hidden="false" customHeight="true" outlineLevel="0" collapsed="false">
      <c r="A96" s="34" t="s">
        <v>398</v>
      </c>
      <c r="B96" s="35" t="s">
        <v>399</v>
      </c>
      <c r="C96" s="34" t="s">
        <v>379</v>
      </c>
      <c r="D96" s="34" t="s">
        <v>400</v>
      </c>
      <c r="E96" s="34" t="s">
        <v>141</v>
      </c>
      <c r="F96" s="36" t="str">
        <f aca="false">IF(LEN(AA96)=0,"",LEFT(AA96,LEN(AA96)-1))</f>
        <v/>
      </c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8"/>
      <c r="T96" s="37"/>
      <c r="U96" s="37"/>
      <c r="V96" s="39"/>
      <c r="W96" s="39"/>
      <c r="X96" s="40"/>
      <c r="Y96" s="41"/>
      <c r="Z96" s="42"/>
      <c r="AA96" s="43" t="str">
        <f aca="false">IF(G96&lt;&gt;"","Poplar|","")&amp;IF(H96&lt;&gt;"","FJ Primed Poplar|","")&amp;IF(I96&lt;&gt;"","FJ Primed Pine|","")&amp;IF(J96&lt;&gt;"","Clear Pine|","")&amp;IF(K96&lt;&gt;"","Primed MDF|","")&amp;IF(L96&lt;&gt;"","White Oak|","")&amp;IF(M96&lt;&gt;"","Red Oak|","")&amp;IF(N96&lt;&gt;"","Hard Maple|","")&amp;IF(O96&lt;&gt;"","Black Walnut|","")&amp;IF(P96&lt;&gt;"","Douglas Fir|","")&amp;IF(Q96&lt;&gt;"","Western Red Cedar|","")&amp;IF(R96&lt;&gt;"","PVC|","")&amp;IF(S96&lt;&gt;"","Flex|","")&amp;IF(T96&lt;&gt;"","Steel|","")&amp;IF(U96&lt;&gt;"","Plastic|","")&amp;IF(V96&lt;&gt;"",V96&amp;"|","")</f>
        <v/>
      </c>
    </row>
    <row r="97" customFormat="false" ht="16.5" hidden="false" customHeight="true" outlineLevel="0" collapsed="false">
      <c r="A97" s="34" t="s">
        <v>401</v>
      </c>
      <c r="B97" s="35" t="s">
        <v>402</v>
      </c>
      <c r="C97" s="34" t="s">
        <v>379</v>
      </c>
      <c r="D97" s="34" t="s">
        <v>403</v>
      </c>
      <c r="E97" s="34" t="s">
        <v>141</v>
      </c>
      <c r="F97" s="36" t="str">
        <f aca="false">IF(LEN(AA97)=0,"",LEFT(AA97,LEN(AA97)-1))</f>
        <v/>
      </c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8"/>
      <c r="T97" s="37"/>
      <c r="U97" s="37"/>
      <c r="V97" s="39"/>
      <c r="W97" s="39"/>
      <c r="X97" s="40"/>
      <c r="Y97" s="41"/>
      <c r="Z97" s="42"/>
      <c r="AA97" s="43" t="str">
        <f aca="false">IF(G97&lt;&gt;"","Poplar|","")&amp;IF(H97&lt;&gt;"","FJ Primed Poplar|","")&amp;IF(I97&lt;&gt;"","FJ Primed Pine|","")&amp;IF(J97&lt;&gt;"","Clear Pine|","")&amp;IF(K97&lt;&gt;"","Primed MDF|","")&amp;IF(L97&lt;&gt;"","White Oak|","")&amp;IF(M97&lt;&gt;"","Red Oak|","")&amp;IF(N97&lt;&gt;"","Hard Maple|","")&amp;IF(O97&lt;&gt;"","Black Walnut|","")&amp;IF(P97&lt;&gt;"","Douglas Fir|","")&amp;IF(Q97&lt;&gt;"","Western Red Cedar|","")&amp;IF(R97&lt;&gt;"","PVC|","")&amp;IF(S97&lt;&gt;"","Flex|","")&amp;IF(T97&lt;&gt;"","Steel|","")&amp;IF(U97&lt;&gt;"","Plastic|","")&amp;IF(V97&lt;&gt;"",V97&amp;"|","")</f>
        <v/>
      </c>
    </row>
    <row r="98" customFormat="false" ht="16.5" hidden="false" customHeight="true" outlineLevel="0" collapsed="false">
      <c r="A98" s="34" t="s">
        <v>404</v>
      </c>
      <c r="B98" s="35" t="s">
        <v>405</v>
      </c>
      <c r="C98" s="34" t="s">
        <v>379</v>
      </c>
      <c r="D98" s="34" t="s">
        <v>406</v>
      </c>
      <c r="E98" s="34" t="s">
        <v>141</v>
      </c>
      <c r="F98" s="36" t="str">
        <f aca="false">IF(LEN(AA98)=0,"",LEFT(AA98,LEN(AA98)-1))</f>
        <v/>
      </c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8"/>
      <c r="T98" s="37"/>
      <c r="U98" s="37"/>
      <c r="V98" s="39"/>
      <c r="W98" s="39"/>
      <c r="X98" s="40"/>
      <c r="Y98" s="41"/>
      <c r="Z98" s="42"/>
      <c r="AA98" s="43" t="str">
        <f aca="false">IF(G98&lt;&gt;"","Poplar|","")&amp;IF(H98&lt;&gt;"","FJ Primed Poplar|","")&amp;IF(I98&lt;&gt;"","FJ Primed Pine|","")&amp;IF(J98&lt;&gt;"","Clear Pine|","")&amp;IF(K98&lt;&gt;"","Primed MDF|","")&amp;IF(L98&lt;&gt;"","White Oak|","")&amp;IF(M98&lt;&gt;"","Red Oak|","")&amp;IF(N98&lt;&gt;"","Hard Maple|","")&amp;IF(O98&lt;&gt;"","Black Walnut|","")&amp;IF(P98&lt;&gt;"","Douglas Fir|","")&amp;IF(Q98&lt;&gt;"","Western Red Cedar|","")&amp;IF(R98&lt;&gt;"","PVC|","")&amp;IF(S98&lt;&gt;"","Flex|","")&amp;IF(T98&lt;&gt;"","Steel|","")&amp;IF(U98&lt;&gt;"","Plastic|","")&amp;IF(V98&lt;&gt;"",V98&amp;"|","")</f>
        <v/>
      </c>
    </row>
    <row r="99" customFormat="false" ht="16.5" hidden="false" customHeight="true" outlineLevel="0" collapsed="false">
      <c r="A99" s="34" t="s">
        <v>407</v>
      </c>
      <c r="B99" s="35" t="s">
        <v>408</v>
      </c>
      <c r="C99" s="34" t="s">
        <v>379</v>
      </c>
      <c r="D99" s="34" t="s">
        <v>409</v>
      </c>
      <c r="E99" s="34" t="s">
        <v>141</v>
      </c>
      <c r="F99" s="36" t="str">
        <f aca="false">IF(LEN(AA99)=0,"",LEFT(AA99,LEN(AA99)-1))</f>
        <v/>
      </c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8"/>
      <c r="T99" s="37"/>
      <c r="U99" s="37"/>
      <c r="V99" s="39"/>
      <c r="W99" s="39"/>
      <c r="X99" s="40"/>
      <c r="Y99" s="41"/>
      <c r="Z99" s="42"/>
      <c r="AA99" s="43" t="str">
        <f aca="false">IF(G99&lt;&gt;"","Poplar|","")&amp;IF(H99&lt;&gt;"","FJ Primed Poplar|","")&amp;IF(I99&lt;&gt;"","FJ Primed Pine|","")&amp;IF(J99&lt;&gt;"","Clear Pine|","")&amp;IF(K99&lt;&gt;"","Primed MDF|","")&amp;IF(L99&lt;&gt;"","White Oak|","")&amp;IF(M99&lt;&gt;"","Red Oak|","")&amp;IF(N99&lt;&gt;"","Hard Maple|","")&amp;IF(O99&lt;&gt;"","Black Walnut|","")&amp;IF(P99&lt;&gt;"","Douglas Fir|","")&amp;IF(Q99&lt;&gt;"","Western Red Cedar|","")&amp;IF(R99&lt;&gt;"","PVC|","")&amp;IF(S99&lt;&gt;"","Flex|","")&amp;IF(T99&lt;&gt;"","Steel|","")&amp;IF(U99&lt;&gt;"","Plastic|","")&amp;IF(V99&lt;&gt;"",V99&amp;"|","")</f>
        <v/>
      </c>
    </row>
    <row r="100" customFormat="false" ht="16.5" hidden="false" customHeight="true" outlineLevel="0" collapsed="false">
      <c r="A100" s="34" t="s">
        <v>410</v>
      </c>
      <c r="B100" s="35" t="s">
        <v>411</v>
      </c>
      <c r="C100" s="34" t="s">
        <v>379</v>
      </c>
      <c r="D100" s="34" t="s">
        <v>412</v>
      </c>
      <c r="E100" s="34" t="s">
        <v>413</v>
      </c>
      <c r="F100" s="36" t="str">
        <f aca="false">IF(LEN(AA100)=0,"",LEFT(AA100,LEN(AA100)-1))</f>
        <v/>
      </c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8"/>
      <c r="T100" s="37"/>
      <c r="U100" s="37"/>
      <c r="V100" s="39"/>
      <c r="W100" s="39"/>
      <c r="X100" s="40"/>
      <c r="Y100" s="41"/>
      <c r="Z100" s="42"/>
      <c r="AA100" s="43" t="str">
        <f aca="false">IF(G100&lt;&gt;"","Poplar|","")&amp;IF(H100&lt;&gt;"","FJ Primed Poplar|","")&amp;IF(I100&lt;&gt;"","FJ Primed Pine|","")&amp;IF(J100&lt;&gt;"","Clear Pine|","")&amp;IF(K100&lt;&gt;"","Primed MDF|","")&amp;IF(L100&lt;&gt;"","White Oak|","")&amp;IF(M100&lt;&gt;"","Red Oak|","")&amp;IF(N100&lt;&gt;"","Hard Maple|","")&amp;IF(O100&lt;&gt;"","Black Walnut|","")&amp;IF(P100&lt;&gt;"","Douglas Fir|","")&amp;IF(Q100&lt;&gt;"","Western Red Cedar|","")&amp;IF(R100&lt;&gt;"","PVC|","")&amp;IF(S100&lt;&gt;"","Flex|","")&amp;IF(T100&lt;&gt;"","Steel|","")&amp;IF(U100&lt;&gt;"","Plastic|","")&amp;IF(V100&lt;&gt;"",V100&amp;"|","")</f>
        <v/>
      </c>
    </row>
    <row r="101" customFormat="false" ht="16.5" hidden="false" customHeight="true" outlineLevel="0" collapsed="false">
      <c r="A101" s="34" t="s">
        <v>414</v>
      </c>
      <c r="B101" s="35" t="s">
        <v>415</v>
      </c>
      <c r="C101" s="34" t="s">
        <v>379</v>
      </c>
      <c r="D101" s="34" t="s">
        <v>416</v>
      </c>
      <c r="E101" s="34" t="s">
        <v>417</v>
      </c>
      <c r="F101" s="36" t="str">
        <f aca="false">IF(LEN(AA101)=0,"",LEFT(AA101,LEN(AA101)-1))</f>
        <v/>
      </c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8"/>
      <c r="T101" s="37"/>
      <c r="U101" s="37"/>
      <c r="V101" s="39"/>
      <c r="W101" s="39"/>
      <c r="X101" s="40"/>
      <c r="Y101" s="41"/>
      <c r="Z101" s="42"/>
      <c r="AA101" s="43" t="str">
        <f aca="false">IF(G101&lt;&gt;"","Poplar|","")&amp;IF(H101&lt;&gt;"","FJ Primed Poplar|","")&amp;IF(I101&lt;&gt;"","FJ Primed Pine|","")&amp;IF(J101&lt;&gt;"","Clear Pine|","")&amp;IF(K101&lt;&gt;"","Primed MDF|","")&amp;IF(L101&lt;&gt;"","White Oak|","")&amp;IF(M101&lt;&gt;"","Red Oak|","")&amp;IF(N101&lt;&gt;"","Hard Maple|","")&amp;IF(O101&lt;&gt;"","Black Walnut|","")&amp;IF(P101&lt;&gt;"","Douglas Fir|","")&amp;IF(Q101&lt;&gt;"","Western Red Cedar|","")&amp;IF(R101&lt;&gt;"","PVC|","")&amp;IF(S101&lt;&gt;"","Flex|","")&amp;IF(T101&lt;&gt;"","Steel|","")&amp;IF(U101&lt;&gt;"","Plastic|","")&amp;IF(V101&lt;&gt;"",V101&amp;"|","")</f>
        <v/>
      </c>
    </row>
    <row r="102" customFormat="false" ht="16.5" hidden="false" customHeight="true" outlineLevel="0" collapsed="false">
      <c r="A102" s="44" t="s">
        <v>418</v>
      </c>
      <c r="B102" s="45" t="s">
        <v>419</v>
      </c>
      <c r="C102" s="44" t="s">
        <v>420</v>
      </c>
      <c r="D102" s="44" t="s">
        <v>421</v>
      </c>
      <c r="E102" s="44" t="s">
        <v>141</v>
      </c>
      <c r="F102" s="36" t="str">
        <f aca="false">IF(LEN(AA102)=0,"",LEFT(AA102,LEN(AA102)-1))</f>
        <v/>
      </c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8"/>
      <c r="T102" s="37"/>
      <c r="U102" s="37"/>
      <c r="V102" s="46"/>
      <c r="W102" s="46"/>
      <c r="X102" s="40"/>
      <c r="Y102" s="41"/>
      <c r="Z102" s="42"/>
      <c r="AA102" s="43" t="str">
        <f aca="false">IF(G102&lt;&gt;"","Poplar|","")&amp;IF(H102&lt;&gt;"","FJ Primed Poplar|","")&amp;IF(I102&lt;&gt;"","FJ Primed Pine|","")&amp;IF(J102&lt;&gt;"","Clear Pine|","")&amp;IF(K102&lt;&gt;"","Primed MDF|","")&amp;IF(L102&lt;&gt;"","White Oak|","")&amp;IF(M102&lt;&gt;"","Red Oak|","")&amp;IF(N102&lt;&gt;"","Hard Maple|","")&amp;IF(O102&lt;&gt;"","Black Walnut|","")&amp;IF(P102&lt;&gt;"","Douglas Fir|","")&amp;IF(Q102&lt;&gt;"","Western Red Cedar|","")&amp;IF(R102&lt;&gt;"","PVC|","")&amp;IF(S102&lt;&gt;"","Flex|","")&amp;IF(T102&lt;&gt;"","Steel|","")&amp;IF(U102&lt;&gt;"","Plastic|","")&amp;IF(V102&lt;&gt;"",V102&amp;"|","")</f>
        <v/>
      </c>
    </row>
    <row r="103" customFormat="false" ht="16.5" hidden="false" customHeight="true" outlineLevel="0" collapsed="false">
      <c r="A103" s="44" t="s">
        <v>422</v>
      </c>
      <c r="B103" s="45" t="s">
        <v>423</v>
      </c>
      <c r="C103" s="44" t="s">
        <v>420</v>
      </c>
      <c r="D103" s="44" t="s">
        <v>424</v>
      </c>
      <c r="E103" s="44" t="s">
        <v>141</v>
      </c>
      <c r="F103" s="36" t="str">
        <f aca="false">IF(LEN(AA103)=0,"",LEFT(AA103,LEN(AA103)-1))</f>
        <v/>
      </c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8"/>
      <c r="T103" s="37"/>
      <c r="U103" s="37"/>
      <c r="V103" s="46"/>
      <c r="W103" s="46"/>
      <c r="X103" s="40"/>
      <c r="Y103" s="41"/>
      <c r="Z103" s="42"/>
      <c r="AA103" s="43" t="str">
        <f aca="false">IF(G103&lt;&gt;"","Poplar|","")&amp;IF(H103&lt;&gt;"","FJ Primed Poplar|","")&amp;IF(I103&lt;&gt;"","FJ Primed Pine|","")&amp;IF(J103&lt;&gt;"","Clear Pine|","")&amp;IF(K103&lt;&gt;"","Primed MDF|","")&amp;IF(L103&lt;&gt;"","White Oak|","")&amp;IF(M103&lt;&gt;"","Red Oak|","")&amp;IF(N103&lt;&gt;"","Hard Maple|","")&amp;IF(O103&lt;&gt;"","Black Walnut|","")&amp;IF(P103&lt;&gt;"","Douglas Fir|","")&amp;IF(Q103&lt;&gt;"","Western Red Cedar|","")&amp;IF(R103&lt;&gt;"","PVC|","")&amp;IF(S103&lt;&gt;"","Flex|","")&amp;IF(T103&lt;&gt;"","Steel|","")&amp;IF(U103&lt;&gt;"","Plastic|","")&amp;IF(V103&lt;&gt;"",V103&amp;"|","")</f>
        <v/>
      </c>
    </row>
    <row r="104" customFormat="false" ht="16.5" hidden="false" customHeight="true" outlineLevel="0" collapsed="false">
      <c r="A104" s="44" t="s">
        <v>425</v>
      </c>
      <c r="B104" s="45" t="s">
        <v>426</v>
      </c>
      <c r="C104" s="44" t="s">
        <v>420</v>
      </c>
      <c r="D104" s="44" t="s">
        <v>427</v>
      </c>
      <c r="E104" s="44" t="s">
        <v>141</v>
      </c>
      <c r="F104" s="36" t="str">
        <f aca="false">IF(LEN(AA104)=0,"",LEFT(AA104,LEN(AA104)-1))</f>
        <v/>
      </c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8"/>
      <c r="T104" s="37"/>
      <c r="U104" s="37"/>
      <c r="V104" s="46"/>
      <c r="W104" s="46"/>
      <c r="X104" s="40"/>
      <c r="Y104" s="41"/>
      <c r="Z104" s="42"/>
      <c r="AA104" s="43" t="str">
        <f aca="false">IF(G104&lt;&gt;"","Poplar|","")&amp;IF(H104&lt;&gt;"","FJ Primed Poplar|","")&amp;IF(I104&lt;&gt;"","FJ Primed Pine|","")&amp;IF(J104&lt;&gt;"","Clear Pine|","")&amp;IF(K104&lt;&gt;"","Primed MDF|","")&amp;IF(L104&lt;&gt;"","White Oak|","")&amp;IF(M104&lt;&gt;"","Red Oak|","")&amp;IF(N104&lt;&gt;"","Hard Maple|","")&amp;IF(O104&lt;&gt;"","Black Walnut|","")&amp;IF(P104&lt;&gt;"","Douglas Fir|","")&amp;IF(Q104&lt;&gt;"","Western Red Cedar|","")&amp;IF(R104&lt;&gt;"","PVC|","")&amp;IF(S104&lt;&gt;"","Flex|","")&amp;IF(T104&lt;&gt;"","Steel|","")&amp;IF(U104&lt;&gt;"","Plastic|","")&amp;IF(V104&lt;&gt;"",V104&amp;"|","")</f>
        <v/>
      </c>
    </row>
    <row r="105" customFormat="false" ht="16.5" hidden="false" customHeight="true" outlineLevel="0" collapsed="false">
      <c r="A105" s="44" t="s">
        <v>428</v>
      </c>
      <c r="B105" s="45" t="s">
        <v>429</v>
      </c>
      <c r="C105" s="44" t="s">
        <v>420</v>
      </c>
      <c r="D105" s="44" t="s">
        <v>430</v>
      </c>
      <c r="E105" s="44" t="s">
        <v>141</v>
      </c>
      <c r="F105" s="36" t="str">
        <f aca="false">IF(LEN(AA105)=0,"",LEFT(AA105,LEN(AA105)-1))</f>
        <v/>
      </c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8"/>
      <c r="T105" s="37"/>
      <c r="U105" s="37"/>
      <c r="V105" s="46"/>
      <c r="W105" s="46"/>
      <c r="X105" s="40"/>
      <c r="Y105" s="41"/>
      <c r="Z105" s="42"/>
      <c r="AA105" s="43" t="str">
        <f aca="false">IF(G105&lt;&gt;"","Poplar|","")&amp;IF(H105&lt;&gt;"","FJ Primed Poplar|","")&amp;IF(I105&lt;&gt;"","FJ Primed Pine|","")&amp;IF(J105&lt;&gt;"","Clear Pine|","")&amp;IF(K105&lt;&gt;"","Primed MDF|","")&amp;IF(L105&lt;&gt;"","White Oak|","")&amp;IF(M105&lt;&gt;"","Red Oak|","")&amp;IF(N105&lt;&gt;"","Hard Maple|","")&amp;IF(O105&lt;&gt;"","Black Walnut|","")&amp;IF(P105&lt;&gt;"","Douglas Fir|","")&amp;IF(Q105&lt;&gt;"","Western Red Cedar|","")&amp;IF(R105&lt;&gt;"","PVC|","")&amp;IF(S105&lt;&gt;"","Flex|","")&amp;IF(T105&lt;&gt;"","Steel|","")&amp;IF(U105&lt;&gt;"","Plastic|","")&amp;IF(V105&lt;&gt;"",V105&amp;"|","")</f>
        <v/>
      </c>
    </row>
    <row r="106" customFormat="false" ht="16.5" hidden="false" customHeight="true" outlineLevel="0" collapsed="false">
      <c r="A106" s="44" t="s">
        <v>431</v>
      </c>
      <c r="B106" s="45" t="s">
        <v>432</v>
      </c>
      <c r="C106" s="44" t="s">
        <v>420</v>
      </c>
      <c r="D106" s="44" t="s">
        <v>433</v>
      </c>
      <c r="E106" s="44" t="s">
        <v>141</v>
      </c>
      <c r="F106" s="36" t="str">
        <f aca="false">IF(LEN(AA106)=0,"",LEFT(AA106,LEN(AA106)-1))</f>
        <v/>
      </c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8"/>
      <c r="T106" s="37"/>
      <c r="U106" s="37"/>
      <c r="V106" s="46"/>
      <c r="W106" s="46"/>
      <c r="X106" s="40"/>
      <c r="Y106" s="41"/>
      <c r="Z106" s="42"/>
      <c r="AA106" s="43" t="str">
        <f aca="false">IF(G106&lt;&gt;"","Poplar|","")&amp;IF(H106&lt;&gt;"","FJ Primed Poplar|","")&amp;IF(I106&lt;&gt;"","FJ Primed Pine|","")&amp;IF(J106&lt;&gt;"","Clear Pine|","")&amp;IF(K106&lt;&gt;"","Primed MDF|","")&amp;IF(L106&lt;&gt;"","White Oak|","")&amp;IF(M106&lt;&gt;"","Red Oak|","")&amp;IF(N106&lt;&gt;"","Hard Maple|","")&amp;IF(O106&lt;&gt;"","Black Walnut|","")&amp;IF(P106&lt;&gt;"","Douglas Fir|","")&amp;IF(Q106&lt;&gt;"","Western Red Cedar|","")&amp;IF(R106&lt;&gt;"","PVC|","")&amp;IF(S106&lt;&gt;"","Flex|","")&amp;IF(T106&lt;&gt;"","Steel|","")&amp;IF(U106&lt;&gt;"","Plastic|","")&amp;IF(V106&lt;&gt;"",V106&amp;"|","")</f>
        <v/>
      </c>
    </row>
    <row r="107" customFormat="false" ht="16.5" hidden="false" customHeight="true" outlineLevel="0" collapsed="false">
      <c r="A107" s="44" t="s">
        <v>434</v>
      </c>
      <c r="B107" s="45" t="s">
        <v>435</v>
      </c>
      <c r="C107" s="44" t="s">
        <v>420</v>
      </c>
      <c r="D107" s="44" t="s">
        <v>436</v>
      </c>
      <c r="E107" s="44" t="s">
        <v>141</v>
      </c>
      <c r="F107" s="36" t="str">
        <f aca="false">IF(LEN(AA107)=0,"",LEFT(AA107,LEN(AA107)-1))</f>
        <v/>
      </c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8"/>
      <c r="T107" s="37"/>
      <c r="U107" s="37"/>
      <c r="V107" s="46"/>
      <c r="W107" s="46"/>
      <c r="X107" s="40"/>
      <c r="Y107" s="41"/>
      <c r="Z107" s="42"/>
      <c r="AA107" s="43" t="str">
        <f aca="false">IF(G107&lt;&gt;"","Poplar|","")&amp;IF(H107&lt;&gt;"","FJ Primed Poplar|","")&amp;IF(I107&lt;&gt;"","FJ Primed Pine|","")&amp;IF(J107&lt;&gt;"","Clear Pine|","")&amp;IF(K107&lt;&gt;"","Primed MDF|","")&amp;IF(L107&lt;&gt;"","White Oak|","")&amp;IF(M107&lt;&gt;"","Red Oak|","")&amp;IF(N107&lt;&gt;"","Hard Maple|","")&amp;IF(O107&lt;&gt;"","Black Walnut|","")&amp;IF(P107&lt;&gt;"","Douglas Fir|","")&amp;IF(Q107&lt;&gt;"","Western Red Cedar|","")&amp;IF(R107&lt;&gt;"","PVC|","")&amp;IF(S107&lt;&gt;"","Flex|","")&amp;IF(T107&lt;&gt;"","Steel|","")&amp;IF(U107&lt;&gt;"","Plastic|","")&amp;IF(V107&lt;&gt;"",V107&amp;"|","")</f>
        <v/>
      </c>
    </row>
    <row r="108" customFormat="false" ht="16.5" hidden="false" customHeight="true" outlineLevel="0" collapsed="false">
      <c r="A108" s="44" t="s">
        <v>437</v>
      </c>
      <c r="B108" s="45" t="s">
        <v>438</v>
      </c>
      <c r="C108" s="44" t="s">
        <v>420</v>
      </c>
      <c r="D108" s="44" t="s">
        <v>439</v>
      </c>
      <c r="E108" s="44" t="s">
        <v>141</v>
      </c>
      <c r="F108" s="36" t="str">
        <f aca="false">IF(LEN(AA108)=0,"",LEFT(AA108,LEN(AA108)-1))</f>
        <v/>
      </c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8"/>
      <c r="T108" s="37"/>
      <c r="U108" s="37"/>
      <c r="V108" s="46"/>
      <c r="W108" s="46"/>
      <c r="X108" s="40"/>
      <c r="Y108" s="41"/>
      <c r="Z108" s="42"/>
      <c r="AA108" s="43" t="str">
        <f aca="false">IF(G108&lt;&gt;"","Poplar|","")&amp;IF(H108&lt;&gt;"","FJ Primed Poplar|","")&amp;IF(I108&lt;&gt;"","FJ Primed Pine|","")&amp;IF(J108&lt;&gt;"","Clear Pine|","")&amp;IF(K108&lt;&gt;"","Primed MDF|","")&amp;IF(L108&lt;&gt;"","White Oak|","")&amp;IF(M108&lt;&gt;"","Red Oak|","")&amp;IF(N108&lt;&gt;"","Hard Maple|","")&amp;IF(O108&lt;&gt;"","Black Walnut|","")&amp;IF(P108&lt;&gt;"","Douglas Fir|","")&amp;IF(Q108&lt;&gt;"","Western Red Cedar|","")&amp;IF(R108&lt;&gt;"","PVC|","")&amp;IF(S108&lt;&gt;"","Flex|","")&amp;IF(T108&lt;&gt;"","Steel|","")&amp;IF(U108&lt;&gt;"","Plastic|","")&amp;IF(V108&lt;&gt;"",V108&amp;"|","")</f>
        <v/>
      </c>
    </row>
    <row r="109" customFormat="false" ht="16.5" hidden="false" customHeight="true" outlineLevel="0" collapsed="false">
      <c r="A109" s="44" t="s">
        <v>440</v>
      </c>
      <c r="B109" s="45" t="s">
        <v>441</v>
      </c>
      <c r="C109" s="44" t="s">
        <v>420</v>
      </c>
      <c r="D109" s="44" t="s">
        <v>442</v>
      </c>
      <c r="E109" s="44" t="s">
        <v>141</v>
      </c>
      <c r="F109" s="36" t="str">
        <f aca="false">IF(LEN(AA109)=0,"",LEFT(AA109,LEN(AA109)-1))</f>
        <v/>
      </c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8"/>
      <c r="T109" s="37"/>
      <c r="U109" s="37"/>
      <c r="V109" s="46"/>
      <c r="W109" s="46"/>
      <c r="X109" s="40"/>
      <c r="Y109" s="41"/>
      <c r="Z109" s="42"/>
      <c r="AA109" s="43" t="str">
        <f aca="false">IF(G109&lt;&gt;"","Poplar|","")&amp;IF(H109&lt;&gt;"","FJ Primed Poplar|","")&amp;IF(I109&lt;&gt;"","FJ Primed Pine|","")&amp;IF(J109&lt;&gt;"","Clear Pine|","")&amp;IF(K109&lt;&gt;"","Primed MDF|","")&amp;IF(L109&lt;&gt;"","White Oak|","")&amp;IF(M109&lt;&gt;"","Red Oak|","")&amp;IF(N109&lt;&gt;"","Hard Maple|","")&amp;IF(O109&lt;&gt;"","Black Walnut|","")&amp;IF(P109&lt;&gt;"","Douglas Fir|","")&amp;IF(Q109&lt;&gt;"","Western Red Cedar|","")&amp;IF(R109&lt;&gt;"","PVC|","")&amp;IF(S109&lt;&gt;"","Flex|","")&amp;IF(T109&lt;&gt;"","Steel|","")&amp;IF(U109&lt;&gt;"","Plastic|","")&amp;IF(V109&lt;&gt;"",V109&amp;"|","")</f>
        <v/>
      </c>
    </row>
    <row r="110" customFormat="false" ht="16.5" hidden="false" customHeight="true" outlineLevel="0" collapsed="false">
      <c r="A110" s="44" t="s">
        <v>443</v>
      </c>
      <c r="B110" s="45" t="s">
        <v>444</v>
      </c>
      <c r="C110" s="44" t="s">
        <v>420</v>
      </c>
      <c r="D110" s="44" t="s">
        <v>445</v>
      </c>
      <c r="E110" s="44" t="s">
        <v>141</v>
      </c>
      <c r="F110" s="36" t="str">
        <f aca="false">IF(LEN(AA110)=0,"",LEFT(AA110,LEN(AA110)-1))</f>
        <v/>
      </c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8"/>
      <c r="T110" s="37"/>
      <c r="U110" s="37"/>
      <c r="V110" s="46"/>
      <c r="W110" s="46"/>
      <c r="X110" s="40"/>
      <c r="Y110" s="41"/>
      <c r="Z110" s="42"/>
      <c r="AA110" s="43" t="str">
        <f aca="false">IF(G110&lt;&gt;"","Poplar|","")&amp;IF(H110&lt;&gt;"","FJ Primed Poplar|","")&amp;IF(I110&lt;&gt;"","FJ Primed Pine|","")&amp;IF(J110&lt;&gt;"","Clear Pine|","")&amp;IF(K110&lt;&gt;"","Primed MDF|","")&amp;IF(L110&lt;&gt;"","White Oak|","")&amp;IF(M110&lt;&gt;"","Red Oak|","")&amp;IF(N110&lt;&gt;"","Hard Maple|","")&amp;IF(O110&lt;&gt;"","Black Walnut|","")&amp;IF(P110&lt;&gt;"","Douglas Fir|","")&amp;IF(Q110&lt;&gt;"","Western Red Cedar|","")&amp;IF(R110&lt;&gt;"","PVC|","")&amp;IF(S110&lt;&gt;"","Flex|","")&amp;IF(T110&lt;&gt;"","Steel|","")&amp;IF(U110&lt;&gt;"","Plastic|","")&amp;IF(V110&lt;&gt;"",V110&amp;"|","")</f>
        <v/>
      </c>
    </row>
    <row r="111" customFormat="false" ht="16.5" hidden="false" customHeight="true" outlineLevel="0" collapsed="false">
      <c r="A111" s="44" t="s">
        <v>446</v>
      </c>
      <c r="B111" s="45" t="s">
        <v>447</v>
      </c>
      <c r="C111" s="44" t="s">
        <v>420</v>
      </c>
      <c r="D111" s="44" t="s">
        <v>448</v>
      </c>
      <c r="E111" s="44" t="s">
        <v>141</v>
      </c>
      <c r="F111" s="36" t="str">
        <f aca="false">IF(LEN(AA111)=0,"",LEFT(AA111,LEN(AA111)-1))</f>
        <v/>
      </c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8"/>
      <c r="T111" s="37"/>
      <c r="U111" s="37"/>
      <c r="V111" s="46"/>
      <c r="W111" s="46"/>
      <c r="X111" s="40"/>
      <c r="Y111" s="41"/>
      <c r="Z111" s="42"/>
      <c r="AA111" s="43" t="str">
        <f aca="false">IF(G111&lt;&gt;"","Poplar|","")&amp;IF(H111&lt;&gt;"","FJ Primed Poplar|","")&amp;IF(I111&lt;&gt;"","FJ Primed Pine|","")&amp;IF(J111&lt;&gt;"","Clear Pine|","")&amp;IF(K111&lt;&gt;"","Primed MDF|","")&amp;IF(L111&lt;&gt;"","White Oak|","")&amp;IF(M111&lt;&gt;"","Red Oak|","")&amp;IF(N111&lt;&gt;"","Hard Maple|","")&amp;IF(O111&lt;&gt;"","Black Walnut|","")&amp;IF(P111&lt;&gt;"","Douglas Fir|","")&amp;IF(Q111&lt;&gt;"","Western Red Cedar|","")&amp;IF(R111&lt;&gt;"","PVC|","")&amp;IF(S111&lt;&gt;"","Flex|","")&amp;IF(T111&lt;&gt;"","Steel|","")&amp;IF(U111&lt;&gt;"","Plastic|","")&amp;IF(V111&lt;&gt;"",V111&amp;"|","")</f>
        <v/>
      </c>
    </row>
    <row r="112" customFormat="false" ht="16.5" hidden="false" customHeight="true" outlineLevel="0" collapsed="false">
      <c r="A112" s="44" t="s">
        <v>449</v>
      </c>
      <c r="B112" s="45" t="s">
        <v>450</v>
      </c>
      <c r="C112" s="44" t="s">
        <v>420</v>
      </c>
      <c r="D112" s="44" t="s">
        <v>445</v>
      </c>
      <c r="E112" s="44" t="s">
        <v>141</v>
      </c>
      <c r="F112" s="36" t="str">
        <f aca="false">IF(LEN(AA112)=0,"",LEFT(AA112,LEN(AA112)-1))</f>
        <v/>
      </c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8"/>
      <c r="T112" s="37"/>
      <c r="U112" s="37"/>
      <c r="V112" s="46"/>
      <c r="W112" s="46"/>
      <c r="X112" s="40"/>
      <c r="Y112" s="41"/>
      <c r="Z112" s="42"/>
      <c r="AA112" s="43" t="str">
        <f aca="false">IF(G112&lt;&gt;"","Poplar|","")&amp;IF(H112&lt;&gt;"","FJ Primed Poplar|","")&amp;IF(I112&lt;&gt;"","FJ Primed Pine|","")&amp;IF(J112&lt;&gt;"","Clear Pine|","")&amp;IF(K112&lt;&gt;"","Primed MDF|","")&amp;IF(L112&lt;&gt;"","White Oak|","")&amp;IF(M112&lt;&gt;"","Red Oak|","")&amp;IF(N112&lt;&gt;"","Hard Maple|","")&amp;IF(O112&lt;&gt;"","Black Walnut|","")&amp;IF(P112&lt;&gt;"","Douglas Fir|","")&amp;IF(Q112&lt;&gt;"","Western Red Cedar|","")&amp;IF(R112&lt;&gt;"","PVC|","")&amp;IF(S112&lt;&gt;"","Flex|","")&amp;IF(T112&lt;&gt;"","Steel|","")&amp;IF(U112&lt;&gt;"","Plastic|","")&amp;IF(V112&lt;&gt;"",V112&amp;"|","")</f>
        <v/>
      </c>
    </row>
    <row r="113" customFormat="false" ht="16.5" hidden="false" customHeight="true" outlineLevel="0" collapsed="false">
      <c r="A113" s="44" t="s">
        <v>451</v>
      </c>
      <c r="B113" s="45" t="s">
        <v>452</v>
      </c>
      <c r="C113" s="44" t="s">
        <v>420</v>
      </c>
      <c r="D113" s="44" t="s">
        <v>453</v>
      </c>
      <c r="E113" s="44" t="s">
        <v>141</v>
      </c>
      <c r="F113" s="36" t="str">
        <f aca="false">IF(LEN(AA113)=0,"",LEFT(AA113,LEN(AA113)-1))</f>
        <v/>
      </c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8"/>
      <c r="T113" s="37"/>
      <c r="U113" s="37"/>
      <c r="V113" s="46"/>
      <c r="W113" s="46"/>
      <c r="X113" s="40"/>
      <c r="Y113" s="41"/>
      <c r="Z113" s="42"/>
      <c r="AA113" s="43" t="str">
        <f aca="false">IF(G113&lt;&gt;"","Poplar|","")&amp;IF(H113&lt;&gt;"","FJ Primed Poplar|","")&amp;IF(I113&lt;&gt;"","FJ Primed Pine|","")&amp;IF(J113&lt;&gt;"","Clear Pine|","")&amp;IF(K113&lt;&gt;"","Primed MDF|","")&amp;IF(L113&lt;&gt;"","White Oak|","")&amp;IF(M113&lt;&gt;"","Red Oak|","")&amp;IF(N113&lt;&gt;"","Hard Maple|","")&amp;IF(O113&lt;&gt;"","Black Walnut|","")&amp;IF(P113&lt;&gt;"","Douglas Fir|","")&amp;IF(Q113&lt;&gt;"","Western Red Cedar|","")&amp;IF(R113&lt;&gt;"","PVC|","")&amp;IF(S113&lt;&gt;"","Flex|","")&amp;IF(T113&lt;&gt;"","Steel|","")&amp;IF(U113&lt;&gt;"","Plastic|","")&amp;IF(V113&lt;&gt;"",V113&amp;"|","")</f>
        <v/>
      </c>
    </row>
    <row r="114" customFormat="false" ht="16.5" hidden="false" customHeight="true" outlineLevel="0" collapsed="false">
      <c r="A114" s="44" t="s">
        <v>454</v>
      </c>
      <c r="B114" s="45" t="s">
        <v>455</v>
      </c>
      <c r="C114" s="44" t="s">
        <v>420</v>
      </c>
      <c r="D114" s="44" t="s">
        <v>456</v>
      </c>
      <c r="E114" s="44" t="s">
        <v>141</v>
      </c>
      <c r="F114" s="36" t="str">
        <f aca="false">IF(LEN(AA114)=0,"",LEFT(AA114,LEN(AA114)-1))</f>
        <v/>
      </c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8"/>
      <c r="T114" s="37"/>
      <c r="U114" s="37"/>
      <c r="V114" s="46"/>
      <c r="W114" s="46"/>
      <c r="X114" s="40"/>
      <c r="Y114" s="41"/>
      <c r="Z114" s="42"/>
      <c r="AA114" s="43" t="str">
        <f aca="false">IF(G114&lt;&gt;"","Poplar|","")&amp;IF(H114&lt;&gt;"","FJ Primed Poplar|","")&amp;IF(I114&lt;&gt;"","FJ Primed Pine|","")&amp;IF(J114&lt;&gt;"","Clear Pine|","")&amp;IF(K114&lt;&gt;"","Primed MDF|","")&amp;IF(L114&lt;&gt;"","White Oak|","")&amp;IF(M114&lt;&gt;"","Red Oak|","")&amp;IF(N114&lt;&gt;"","Hard Maple|","")&amp;IF(O114&lt;&gt;"","Black Walnut|","")&amp;IF(P114&lt;&gt;"","Douglas Fir|","")&amp;IF(Q114&lt;&gt;"","Western Red Cedar|","")&amp;IF(R114&lt;&gt;"","PVC|","")&amp;IF(S114&lt;&gt;"","Flex|","")&amp;IF(T114&lt;&gt;"","Steel|","")&amp;IF(U114&lt;&gt;"","Plastic|","")&amp;IF(V114&lt;&gt;"",V114&amp;"|","")</f>
        <v/>
      </c>
    </row>
    <row r="115" customFormat="false" ht="16.5" hidden="false" customHeight="true" outlineLevel="0" collapsed="false">
      <c r="A115" s="44" t="s">
        <v>457</v>
      </c>
      <c r="B115" s="45" t="s">
        <v>458</v>
      </c>
      <c r="C115" s="44" t="s">
        <v>420</v>
      </c>
      <c r="D115" s="44" t="s">
        <v>459</v>
      </c>
      <c r="E115" s="44" t="s">
        <v>141</v>
      </c>
      <c r="F115" s="36" t="str">
        <f aca="false">IF(LEN(AA115)=0,"",LEFT(AA115,LEN(AA115)-1))</f>
        <v/>
      </c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8"/>
      <c r="T115" s="37"/>
      <c r="U115" s="37"/>
      <c r="V115" s="46"/>
      <c r="W115" s="46"/>
      <c r="X115" s="40"/>
      <c r="Y115" s="41"/>
      <c r="Z115" s="42"/>
      <c r="AA115" s="43" t="str">
        <f aca="false">IF(G115&lt;&gt;"","Poplar|","")&amp;IF(H115&lt;&gt;"","FJ Primed Poplar|","")&amp;IF(I115&lt;&gt;"","FJ Primed Pine|","")&amp;IF(J115&lt;&gt;"","Clear Pine|","")&amp;IF(K115&lt;&gt;"","Primed MDF|","")&amp;IF(L115&lt;&gt;"","White Oak|","")&amp;IF(M115&lt;&gt;"","Red Oak|","")&amp;IF(N115&lt;&gt;"","Hard Maple|","")&amp;IF(O115&lt;&gt;"","Black Walnut|","")&amp;IF(P115&lt;&gt;"","Douglas Fir|","")&amp;IF(Q115&lt;&gt;"","Western Red Cedar|","")&amp;IF(R115&lt;&gt;"","PVC|","")&amp;IF(S115&lt;&gt;"","Flex|","")&amp;IF(T115&lt;&gt;"","Steel|","")&amp;IF(U115&lt;&gt;"","Plastic|","")&amp;IF(V115&lt;&gt;"",V115&amp;"|","")</f>
        <v/>
      </c>
    </row>
    <row r="116" customFormat="false" ht="16.5" hidden="false" customHeight="true" outlineLevel="0" collapsed="false">
      <c r="A116" s="44" t="s">
        <v>460</v>
      </c>
      <c r="B116" s="45" t="s">
        <v>461</v>
      </c>
      <c r="C116" s="44" t="s">
        <v>420</v>
      </c>
      <c r="D116" s="44" t="s">
        <v>462</v>
      </c>
      <c r="E116" s="44" t="s">
        <v>141</v>
      </c>
      <c r="F116" s="36" t="str">
        <f aca="false">IF(LEN(AA116)=0,"",LEFT(AA116,LEN(AA116)-1))</f>
        <v/>
      </c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8"/>
      <c r="T116" s="37"/>
      <c r="U116" s="37"/>
      <c r="V116" s="46"/>
      <c r="W116" s="46"/>
      <c r="X116" s="40"/>
      <c r="Y116" s="41"/>
      <c r="Z116" s="42"/>
      <c r="AA116" s="43" t="str">
        <f aca="false">IF(G116&lt;&gt;"","Poplar|","")&amp;IF(H116&lt;&gt;"","FJ Primed Poplar|","")&amp;IF(I116&lt;&gt;"","FJ Primed Pine|","")&amp;IF(J116&lt;&gt;"","Clear Pine|","")&amp;IF(K116&lt;&gt;"","Primed MDF|","")&amp;IF(L116&lt;&gt;"","White Oak|","")&amp;IF(M116&lt;&gt;"","Red Oak|","")&amp;IF(N116&lt;&gt;"","Hard Maple|","")&amp;IF(O116&lt;&gt;"","Black Walnut|","")&amp;IF(P116&lt;&gt;"","Douglas Fir|","")&amp;IF(Q116&lt;&gt;"","Western Red Cedar|","")&amp;IF(R116&lt;&gt;"","PVC|","")&amp;IF(S116&lt;&gt;"","Flex|","")&amp;IF(T116&lt;&gt;"","Steel|","")&amp;IF(U116&lt;&gt;"","Plastic|","")&amp;IF(V116&lt;&gt;"",V116&amp;"|","")</f>
        <v/>
      </c>
    </row>
    <row r="117" customFormat="false" ht="16.5" hidden="false" customHeight="true" outlineLevel="0" collapsed="false">
      <c r="A117" s="44" t="s">
        <v>463</v>
      </c>
      <c r="B117" s="45" t="s">
        <v>464</v>
      </c>
      <c r="C117" s="44" t="s">
        <v>420</v>
      </c>
      <c r="D117" s="44" t="s">
        <v>465</v>
      </c>
      <c r="E117" s="44" t="s">
        <v>141</v>
      </c>
      <c r="F117" s="36" t="str">
        <f aca="false">IF(LEN(AA117)=0,"",LEFT(AA117,LEN(AA117)-1))</f>
        <v/>
      </c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8"/>
      <c r="T117" s="37"/>
      <c r="U117" s="37"/>
      <c r="V117" s="46"/>
      <c r="W117" s="46"/>
      <c r="X117" s="40"/>
      <c r="Y117" s="41"/>
      <c r="Z117" s="42"/>
      <c r="AA117" s="43" t="str">
        <f aca="false">IF(G117&lt;&gt;"","Poplar|","")&amp;IF(H117&lt;&gt;"","FJ Primed Poplar|","")&amp;IF(I117&lt;&gt;"","FJ Primed Pine|","")&amp;IF(J117&lt;&gt;"","Clear Pine|","")&amp;IF(K117&lt;&gt;"","Primed MDF|","")&amp;IF(L117&lt;&gt;"","White Oak|","")&amp;IF(M117&lt;&gt;"","Red Oak|","")&amp;IF(N117&lt;&gt;"","Hard Maple|","")&amp;IF(O117&lt;&gt;"","Black Walnut|","")&amp;IF(P117&lt;&gt;"","Douglas Fir|","")&amp;IF(Q117&lt;&gt;"","Western Red Cedar|","")&amp;IF(R117&lt;&gt;"","PVC|","")&amp;IF(S117&lt;&gt;"","Flex|","")&amp;IF(T117&lt;&gt;"","Steel|","")&amp;IF(U117&lt;&gt;"","Plastic|","")&amp;IF(V117&lt;&gt;"",V117&amp;"|","")</f>
        <v/>
      </c>
    </row>
    <row r="118" customFormat="false" ht="16.5" hidden="false" customHeight="true" outlineLevel="0" collapsed="false">
      <c r="A118" s="44" t="s">
        <v>466</v>
      </c>
      <c r="B118" s="45" t="s">
        <v>467</v>
      </c>
      <c r="C118" s="44" t="s">
        <v>420</v>
      </c>
      <c r="D118" s="44" t="s">
        <v>468</v>
      </c>
      <c r="E118" s="44" t="s">
        <v>141</v>
      </c>
      <c r="F118" s="36" t="str">
        <f aca="false">IF(LEN(AA118)=0,"",LEFT(AA118,LEN(AA118)-1))</f>
        <v/>
      </c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8"/>
      <c r="T118" s="37"/>
      <c r="U118" s="37"/>
      <c r="V118" s="46"/>
      <c r="W118" s="46"/>
      <c r="X118" s="40"/>
      <c r="Y118" s="41"/>
      <c r="Z118" s="42"/>
      <c r="AA118" s="43" t="str">
        <f aca="false">IF(G118&lt;&gt;"","Poplar|","")&amp;IF(H118&lt;&gt;"","FJ Primed Poplar|","")&amp;IF(I118&lt;&gt;"","FJ Primed Pine|","")&amp;IF(J118&lt;&gt;"","Clear Pine|","")&amp;IF(K118&lt;&gt;"","Primed MDF|","")&amp;IF(L118&lt;&gt;"","White Oak|","")&amp;IF(M118&lt;&gt;"","Red Oak|","")&amp;IF(N118&lt;&gt;"","Hard Maple|","")&amp;IF(O118&lt;&gt;"","Black Walnut|","")&amp;IF(P118&lt;&gt;"","Douglas Fir|","")&amp;IF(Q118&lt;&gt;"","Western Red Cedar|","")&amp;IF(R118&lt;&gt;"","PVC|","")&amp;IF(S118&lt;&gt;"","Flex|","")&amp;IF(T118&lt;&gt;"","Steel|","")&amp;IF(U118&lt;&gt;"","Plastic|","")&amp;IF(V118&lt;&gt;"",V118&amp;"|","")</f>
        <v/>
      </c>
    </row>
    <row r="119" customFormat="false" ht="16.5" hidden="false" customHeight="true" outlineLevel="0" collapsed="false">
      <c r="A119" s="44" t="s">
        <v>469</v>
      </c>
      <c r="B119" s="45" t="s">
        <v>470</v>
      </c>
      <c r="C119" s="44" t="s">
        <v>420</v>
      </c>
      <c r="D119" s="44" t="s">
        <v>471</v>
      </c>
      <c r="E119" s="44" t="s">
        <v>141</v>
      </c>
      <c r="F119" s="36" t="str">
        <f aca="false">IF(LEN(AA119)=0,"",LEFT(AA119,LEN(AA119)-1))</f>
        <v/>
      </c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8"/>
      <c r="T119" s="37"/>
      <c r="U119" s="37"/>
      <c r="V119" s="46"/>
      <c r="W119" s="46"/>
      <c r="X119" s="40"/>
      <c r="Y119" s="41"/>
      <c r="Z119" s="42"/>
      <c r="AA119" s="43" t="str">
        <f aca="false">IF(G119&lt;&gt;"","Poplar|","")&amp;IF(H119&lt;&gt;"","FJ Primed Poplar|","")&amp;IF(I119&lt;&gt;"","FJ Primed Pine|","")&amp;IF(J119&lt;&gt;"","Clear Pine|","")&amp;IF(K119&lt;&gt;"","Primed MDF|","")&amp;IF(L119&lt;&gt;"","White Oak|","")&amp;IF(M119&lt;&gt;"","Red Oak|","")&amp;IF(N119&lt;&gt;"","Hard Maple|","")&amp;IF(O119&lt;&gt;"","Black Walnut|","")&amp;IF(P119&lt;&gt;"","Douglas Fir|","")&amp;IF(Q119&lt;&gt;"","Western Red Cedar|","")&amp;IF(R119&lt;&gt;"","PVC|","")&amp;IF(S119&lt;&gt;"","Flex|","")&amp;IF(T119&lt;&gt;"","Steel|","")&amp;IF(U119&lt;&gt;"","Plastic|","")&amp;IF(V119&lt;&gt;"",V119&amp;"|","")</f>
        <v/>
      </c>
    </row>
    <row r="120" customFormat="false" ht="16.5" hidden="false" customHeight="true" outlineLevel="0" collapsed="false">
      <c r="A120" s="44" t="s">
        <v>472</v>
      </c>
      <c r="B120" s="45" t="s">
        <v>473</v>
      </c>
      <c r="C120" s="44" t="s">
        <v>420</v>
      </c>
      <c r="D120" s="44" t="s">
        <v>474</v>
      </c>
      <c r="E120" s="44" t="s">
        <v>141</v>
      </c>
      <c r="F120" s="36" t="str">
        <f aca="false">IF(LEN(AA120)=0,"",LEFT(AA120,LEN(AA120)-1))</f>
        <v/>
      </c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8"/>
      <c r="T120" s="37"/>
      <c r="U120" s="37"/>
      <c r="V120" s="46"/>
      <c r="W120" s="46"/>
      <c r="X120" s="40"/>
      <c r="Y120" s="41"/>
      <c r="Z120" s="42"/>
      <c r="AA120" s="43" t="str">
        <f aca="false">IF(G120&lt;&gt;"","Poplar|","")&amp;IF(H120&lt;&gt;"","FJ Primed Poplar|","")&amp;IF(I120&lt;&gt;"","FJ Primed Pine|","")&amp;IF(J120&lt;&gt;"","Clear Pine|","")&amp;IF(K120&lt;&gt;"","Primed MDF|","")&amp;IF(L120&lt;&gt;"","White Oak|","")&amp;IF(M120&lt;&gt;"","Red Oak|","")&amp;IF(N120&lt;&gt;"","Hard Maple|","")&amp;IF(O120&lt;&gt;"","Black Walnut|","")&amp;IF(P120&lt;&gt;"","Douglas Fir|","")&amp;IF(Q120&lt;&gt;"","Western Red Cedar|","")&amp;IF(R120&lt;&gt;"","PVC|","")&amp;IF(S120&lt;&gt;"","Flex|","")&amp;IF(T120&lt;&gt;"","Steel|","")&amp;IF(U120&lt;&gt;"","Plastic|","")&amp;IF(V120&lt;&gt;"",V120&amp;"|","")</f>
        <v/>
      </c>
    </row>
    <row r="121" customFormat="false" ht="16.5" hidden="false" customHeight="true" outlineLevel="0" collapsed="false">
      <c r="A121" s="44" t="s">
        <v>475</v>
      </c>
      <c r="B121" s="45" t="s">
        <v>476</v>
      </c>
      <c r="C121" s="44" t="s">
        <v>420</v>
      </c>
      <c r="D121" s="44" t="s">
        <v>262</v>
      </c>
      <c r="E121" s="44" t="s">
        <v>141</v>
      </c>
      <c r="F121" s="36" t="str">
        <f aca="false">IF(LEN(AA121)=0,"",LEFT(AA121,LEN(AA121)-1))</f>
        <v/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8"/>
      <c r="T121" s="37"/>
      <c r="U121" s="37"/>
      <c r="V121" s="46"/>
      <c r="W121" s="46"/>
      <c r="X121" s="40"/>
      <c r="Y121" s="41"/>
      <c r="Z121" s="42"/>
      <c r="AA121" s="43" t="str">
        <f aca="false">IF(G121&lt;&gt;"","Poplar|","")&amp;IF(H121&lt;&gt;"","FJ Primed Poplar|","")&amp;IF(I121&lt;&gt;"","FJ Primed Pine|","")&amp;IF(J121&lt;&gt;"","Clear Pine|","")&amp;IF(K121&lt;&gt;"","Primed MDF|","")&amp;IF(L121&lt;&gt;"","White Oak|","")&amp;IF(M121&lt;&gt;"","Red Oak|","")&amp;IF(N121&lt;&gt;"","Hard Maple|","")&amp;IF(O121&lt;&gt;"","Black Walnut|","")&amp;IF(P121&lt;&gt;"","Douglas Fir|","")&amp;IF(Q121&lt;&gt;"","Western Red Cedar|","")&amp;IF(R121&lt;&gt;"","PVC|","")&amp;IF(S121&lt;&gt;"","Flex|","")&amp;IF(T121&lt;&gt;"","Steel|","")&amp;IF(U121&lt;&gt;"","Plastic|","")&amp;IF(V121&lt;&gt;"",V121&amp;"|","")</f>
        <v/>
      </c>
    </row>
    <row r="122" customFormat="false" ht="16.5" hidden="false" customHeight="true" outlineLevel="0" collapsed="false">
      <c r="A122" s="44" t="s">
        <v>477</v>
      </c>
      <c r="B122" s="45" t="s">
        <v>478</v>
      </c>
      <c r="C122" s="44" t="s">
        <v>420</v>
      </c>
      <c r="D122" s="44" t="s">
        <v>146</v>
      </c>
      <c r="E122" s="44" t="s">
        <v>141</v>
      </c>
      <c r="F122" s="36" t="str">
        <f aca="false">IF(LEN(AA122)=0,"",LEFT(AA122,LEN(AA122)-1))</f>
        <v/>
      </c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8"/>
      <c r="T122" s="37"/>
      <c r="U122" s="37"/>
      <c r="V122" s="46"/>
      <c r="W122" s="46"/>
      <c r="X122" s="40"/>
      <c r="Y122" s="41"/>
      <c r="Z122" s="42"/>
      <c r="AA122" s="43" t="str">
        <f aca="false">IF(G122&lt;&gt;"","Poplar|","")&amp;IF(H122&lt;&gt;"","FJ Primed Poplar|","")&amp;IF(I122&lt;&gt;"","FJ Primed Pine|","")&amp;IF(J122&lt;&gt;"","Clear Pine|","")&amp;IF(K122&lt;&gt;"","Primed MDF|","")&amp;IF(L122&lt;&gt;"","White Oak|","")&amp;IF(M122&lt;&gt;"","Red Oak|","")&amp;IF(N122&lt;&gt;"","Hard Maple|","")&amp;IF(O122&lt;&gt;"","Black Walnut|","")&amp;IF(P122&lt;&gt;"","Douglas Fir|","")&amp;IF(Q122&lt;&gt;"","Western Red Cedar|","")&amp;IF(R122&lt;&gt;"","PVC|","")&amp;IF(S122&lt;&gt;"","Flex|","")&amp;IF(T122&lt;&gt;"","Steel|","")&amp;IF(U122&lt;&gt;"","Plastic|","")&amp;IF(V122&lt;&gt;"",V122&amp;"|","")</f>
        <v/>
      </c>
    </row>
    <row r="123" customFormat="false" ht="16.5" hidden="false" customHeight="true" outlineLevel="0" collapsed="false">
      <c r="A123" s="44" t="s">
        <v>479</v>
      </c>
      <c r="B123" s="45" t="s">
        <v>480</v>
      </c>
      <c r="C123" s="44" t="s">
        <v>420</v>
      </c>
      <c r="D123" s="44" t="s">
        <v>262</v>
      </c>
      <c r="E123" s="44" t="s">
        <v>141</v>
      </c>
      <c r="F123" s="36" t="str">
        <f aca="false">IF(LEN(AA123)=0,"",LEFT(AA123,LEN(AA123)-1))</f>
        <v/>
      </c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8"/>
      <c r="T123" s="37"/>
      <c r="U123" s="37"/>
      <c r="V123" s="46"/>
      <c r="W123" s="46"/>
      <c r="X123" s="40"/>
      <c r="Y123" s="41"/>
      <c r="Z123" s="42"/>
      <c r="AA123" s="43" t="str">
        <f aca="false">IF(G123&lt;&gt;"","Poplar|","")&amp;IF(H123&lt;&gt;"","FJ Primed Poplar|","")&amp;IF(I123&lt;&gt;"","FJ Primed Pine|","")&amp;IF(J123&lt;&gt;"","Clear Pine|","")&amp;IF(K123&lt;&gt;"","Primed MDF|","")&amp;IF(L123&lt;&gt;"","White Oak|","")&amp;IF(M123&lt;&gt;"","Red Oak|","")&amp;IF(N123&lt;&gt;"","Hard Maple|","")&amp;IF(O123&lt;&gt;"","Black Walnut|","")&amp;IF(P123&lt;&gt;"","Douglas Fir|","")&amp;IF(Q123&lt;&gt;"","Western Red Cedar|","")&amp;IF(R123&lt;&gt;"","PVC|","")&amp;IF(S123&lt;&gt;"","Flex|","")&amp;IF(T123&lt;&gt;"","Steel|","")&amp;IF(U123&lt;&gt;"","Plastic|","")&amp;IF(V123&lt;&gt;"",V123&amp;"|","")</f>
        <v/>
      </c>
    </row>
    <row r="124" customFormat="false" ht="16.5" hidden="false" customHeight="true" outlineLevel="0" collapsed="false">
      <c r="A124" s="44" t="s">
        <v>481</v>
      </c>
      <c r="B124" s="45" t="s">
        <v>482</v>
      </c>
      <c r="C124" s="44" t="s">
        <v>420</v>
      </c>
      <c r="D124" s="44" t="s">
        <v>483</v>
      </c>
      <c r="E124" s="44" t="s">
        <v>141</v>
      </c>
      <c r="F124" s="36" t="str">
        <f aca="false">IF(LEN(AA124)=0,"",LEFT(AA124,LEN(AA124)-1))</f>
        <v/>
      </c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8"/>
      <c r="T124" s="37"/>
      <c r="U124" s="37"/>
      <c r="V124" s="46"/>
      <c r="W124" s="46"/>
      <c r="X124" s="40"/>
      <c r="Y124" s="41"/>
      <c r="Z124" s="42"/>
      <c r="AA124" s="43" t="str">
        <f aca="false">IF(G124&lt;&gt;"","Poplar|","")&amp;IF(H124&lt;&gt;"","FJ Primed Poplar|","")&amp;IF(I124&lt;&gt;"","FJ Primed Pine|","")&amp;IF(J124&lt;&gt;"","Clear Pine|","")&amp;IF(K124&lt;&gt;"","Primed MDF|","")&amp;IF(L124&lt;&gt;"","White Oak|","")&amp;IF(M124&lt;&gt;"","Red Oak|","")&amp;IF(N124&lt;&gt;"","Hard Maple|","")&amp;IF(O124&lt;&gt;"","Black Walnut|","")&amp;IF(P124&lt;&gt;"","Douglas Fir|","")&amp;IF(Q124&lt;&gt;"","Western Red Cedar|","")&amp;IF(R124&lt;&gt;"","PVC|","")&amp;IF(S124&lt;&gt;"","Flex|","")&amp;IF(T124&lt;&gt;"","Steel|","")&amp;IF(U124&lt;&gt;"","Plastic|","")&amp;IF(V124&lt;&gt;"",V124&amp;"|","")</f>
        <v/>
      </c>
    </row>
    <row r="125" customFormat="false" ht="16.5" hidden="false" customHeight="true" outlineLevel="0" collapsed="false">
      <c r="A125" s="44" t="s">
        <v>484</v>
      </c>
      <c r="B125" s="45" t="s">
        <v>485</v>
      </c>
      <c r="C125" s="44" t="s">
        <v>420</v>
      </c>
      <c r="D125" s="44" t="s">
        <v>486</v>
      </c>
      <c r="E125" s="44" t="s">
        <v>141</v>
      </c>
      <c r="F125" s="36" t="str">
        <f aca="false">IF(LEN(AA125)=0,"",LEFT(AA125,LEN(AA125)-1))</f>
        <v/>
      </c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37"/>
      <c r="U125" s="37"/>
      <c r="V125" s="46"/>
      <c r="W125" s="46"/>
      <c r="X125" s="40"/>
      <c r="Y125" s="41"/>
      <c r="Z125" s="42"/>
      <c r="AA125" s="43" t="str">
        <f aca="false">IF(G125&lt;&gt;"","Poplar|","")&amp;IF(H125&lt;&gt;"","FJ Primed Poplar|","")&amp;IF(I125&lt;&gt;"","FJ Primed Pine|","")&amp;IF(J125&lt;&gt;"","Clear Pine|","")&amp;IF(K125&lt;&gt;"","Primed MDF|","")&amp;IF(L125&lt;&gt;"","White Oak|","")&amp;IF(M125&lt;&gt;"","Red Oak|","")&amp;IF(N125&lt;&gt;"","Hard Maple|","")&amp;IF(O125&lt;&gt;"","Black Walnut|","")&amp;IF(P125&lt;&gt;"","Douglas Fir|","")&amp;IF(Q125&lt;&gt;"","Western Red Cedar|","")&amp;IF(R125&lt;&gt;"","PVC|","")&amp;IF(S125&lt;&gt;"","Flex|","")&amp;IF(T125&lt;&gt;"","Steel|","")&amp;IF(U125&lt;&gt;"","Plastic|","")&amp;IF(V125&lt;&gt;"",V125&amp;"|","")</f>
        <v/>
      </c>
    </row>
    <row r="126" customFormat="false" ht="16.5" hidden="false" customHeight="true" outlineLevel="0" collapsed="false">
      <c r="A126" s="44" t="s">
        <v>487</v>
      </c>
      <c r="B126" s="45" t="s">
        <v>488</v>
      </c>
      <c r="C126" s="44" t="s">
        <v>420</v>
      </c>
      <c r="D126" s="44" t="s">
        <v>489</v>
      </c>
      <c r="E126" s="44" t="s">
        <v>141</v>
      </c>
      <c r="F126" s="36" t="str">
        <f aca="false">IF(LEN(AA126)=0,"",LEFT(AA126,LEN(AA126)-1))</f>
        <v/>
      </c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8"/>
      <c r="T126" s="37"/>
      <c r="U126" s="37"/>
      <c r="V126" s="46"/>
      <c r="W126" s="46"/>
      <c r="X126" s="40"/>
      <c r="Y126" s="41"/>
      <c r="Z126" s="42"/>
      <c r="AA126" s="43" t="str">
        <f aca="false">IF(G126&lt;&gt;"","Poplar|","")&amp;IF(H126&lt;&gt;"","FJ Primed Poplar|","")&amp;IF(I126&lt;&gt;"","FJ Primed Pine|","")&amp;IF(J126&lt;&gt;"","Clear Pine|","")&amp;IF(K126&lt;&gt;"","Primed MDF|","")&amp;IF(L126&lt;&gt;"","White Oak|","")&amp;IF(M126&lt;&gt;"","Red Oak|","")&amp;IF(N126&lt;&gt;"","Hard Maple|","")&amp;IF(O126&lt;&gt;"","Black Walnut|","")&amp;IF(P126&lt;&gt;"","Douglas Fir|","")&amp;IF(Q126&lt;&gt;"","Western Red Cedar|","")&amp;IF(R126&lt;&gt;"","PVC|","")&amp;IF(S126&lt;&gt;"","Flex|","")&amp;IF(T126&lt;&gt;"","Steel|","")&amp;IF(U126&lt;&gt;"","Plastic|","")&amp;IF(V126&lt;&gt;"",V126&amp;"|","")</f>
        <v/>
      </c>
    </row>
    <row r="127" customFormat="false" ht="16.5" hidden="false" customHeight="true" outlineLevel="0" collapsed="false">
      <c r="A127" s="44" t="s">
        <v>490</v>
      </c>
      <c r="B127" s="45" t="s">
        <v>491</v>
      </c>
      <c r="C127" s="44" t="s">
        <v>420</v>
      </c>
      <c r="D127" s="44" t="s">
        <v>492</v>
      </c>
      <c r="E127" s="44" t="s">
        <v>141</v>
      </c>
      <c r="F127" s="36" t="str">
        <f aca="false">IF(LEN(AA127)=0,"",LEFT(AA127,LEN(AA127)-1))</f>
        <v/>
      </c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8"/>
      <c r="T127" s="37"/>
      <c r="U127" s="37"/>
      <c r="V127" s="46"/>
      <c r="W127" s="46"/>
      <c r="X127" s="40"/>
      <c r="Y127" s="41"/>
      <c r="Z127" s="42"/>
      <c r="AA127" s="43" t="str">
        <f aca="false">IF(G127&lt;&gt;"","Poplar|","")&amp;IF(H127&lt;&gt;"","FJ Primed Poplar|","")&amp;IF(I127&lt;&gt;"","FJ Primed Pine|","")&amp;IF(J127&lt;&gt;"","Clear Pine|","")&amp;IF(K127&lt;&gt;"","Primed MDF|","")&amp;IF(L127&lt;&gt;"","White Oak|","")&amp;IF(M127&lt;&gt;"","Red Oak|","")&amp;IF(N127&lt;&gt;"","Hard Maple|","")&amp;IF(O127&lt;&gt;"","Black Walnut|","")&amp;IF(P127&lt;&gt;"","Douglas Fir|","")&amp;IF(Q127&lt;&gt;"","Western Red Cedar|","")&amp;IF(R127&lt;&gt;"","PVC|","")&amp;IF(S127&lt;&gt;"","Flex|","")&amp;IF(T127&lt;&gt;"","Steel|","")&amp;IF(U127&lt;&gt;"","Plastic|","")&amp;IF(V127&lt;&gt;"",V127&amp;"|","")</f>
        <v/>
      </c>
    </row>
    <row r="128" customFormat="false" ht="16.5" hidden="false" customHeight="true" outlineLevel="0" collapsed="false">
      <c r="A128" s="44" t="s">
        <v>493</v>
      </c>
      <c r="B128" s="45" t="s">
        <v>494</v>
      </c>
      <c r="C128" s="44" t="s">
        <v>420</v>
      </c>
      <c r="D128" s="44" t="s">
        <v>495</v>
      </c>
      <c r="E128" s="44" t="s">
        <v>141</v>
      </c>
      <c r="F128" s="36" t="str">
        <f aca="false">IF(LEN(AA128)=0,"",LEFT(AA128,LEN(AA128)-1))</f>
        <v/>
      </c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8"/>
      <c r="T128" s="37"/>
      <c r="U128" s="37"/>
      <c r="V128" s="46"/>
      <c r="W128" s="46"/>
      <c r="X128" s="40"/>
      <c r="Y128" s="41"/>
      <c r="Z128" s="42"/>
      <c r="AA128" s="43" t="str">
        <f aca="false">IF(G128&lt;&gt;"","Poplar|","")&amp;IF(H128&lt;&gt;"","FJ Primed Poplar|","")&amp;IF(I128&lt;&gt;"","FJ Primed Pine|","")&amp;IF(J128&lt;&gt;"","Clear Pine|","")&amp;IF(K128&lt;&gt;"","Primed MDF|","")&amp;IF(L128&lt;&gt;"","White Oak|","")&amp;IF(M128&lt;&gt;"","Red Oak|","")&amp;IF(N128&lt;&gt;"","Hard Maple|","")&amp;IF(O128&lt;&gt;"","Black Walnut|","")&amp;IF(P128&lt;&gt;"","Douglas Fir|","")&amp;IF(Q128&lt;&gt;"","Western Red Cedar|","")&amp;IF(R128&lt;&gt;"","PVC|","")&amp;IF(S128&lt;&gt;"","Flex|","")&amp;IF(T128&lt;&gt;"","Steel|","")&amp;IF(U128&lt;&gt;"","Plastic|","")&amp;IF(V128&lt;&gt;"",V128&amp;"|","")</f>
        <v/>
      </c>
    </row>
    <row r="129" customFormat="false" ht="16.5" hidden="false" customHeight="true" outlineLevel="0" collapsed="false">
      <c r="A129" s="34" t="s">
        <v>496</v>
      </c>
      <c r="B129" s="35" t="s">
        <v>497</v>
      </c>
      <c r="C129" s="34" t="s">
        <v>498</v>
      </c>
      <c r="D129" s="34" t="s">
        <v>499</v>
      </c>
      <c r="E129" s="34" t="s">
        <v>141</v>
      </c>
      <c r="F129" s="36" t="str">
        <f aca="false">IF(LEN(AA129)=0,"",LEFT(AA129,LEN(AA129)-1))</f>
        <v/>
      </c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8"/>
      <c r="T129" s="37"/>
      <c r="U129" s="37"/>
      <c r="V129" s="39"/>
      <c r="W129" s="39"/>
      <c r="X129" s="40"/>
      <c r="Y129" s="41"/>
      <c r="Z129" s="42"/>
      <c r="AA129" s="43" t="str">
        <f aca="false">IF(G129&lt;&gt;"","Poplar|","")&amp;IF(H129&lt;&gt;"","FJ Primed Poplar|","")&amp;IF(I129&lt;&gt;"","FJ Primed Pine|","")&amp;IF(J129&lt;&gt;"","Clear Pine|","")&amp;IF(K129&lt;&gt;"","Primed MDF|","")&amp;IF(L129&lt;&gt;"","White Oak|","")&amp;IF(M129&lt;&gt;"","Red Oak|","")&amp;IF(N129&lt;&gt;"","Hard Maple|","")&amp;IF(O129&lt;&gt;"","Black Walnut|","")&amp;IF(P129&lt;&gt;"","Douglas Fir|","")&amp;IF(Q129&lt;&gt;"","Western Red Cedar|","")&amp;IF(R129&lt;&gt;"","PVC|","")&amp;IF(S129&lt;&gt;"","Flex|","")&amp;IF(T129&lt;&gt;"","Steel|","")&amp;IF(U129&lt;&gt;"","Plastic|","")&amp;IF(V129&lt;&gt;"",V129&amp;"|","")</f>
        <v/>
      </c>
    </row>
    <row r="130" customFormat="false" ht="16.5" hidden="false" customHeight="true" outlineLevel="0" collapsed="false">
      <c r="A130" s="34" t="s">
        <v>500</v>
      </c>
      <c r="B130" s="35" t="s">
        <v>501</v>
      </c>
      <c r="C130" s="34" t="s">
        <v>498</v>
      </c>
      <c r="D130" s="34" t="s">
        <v>502</v>
      </c>
      <c r="E130" s="34" t="s">
        <v>141</v>
      </c>
      <c r="F130" s="36" t="str">
        <f aca="false">IF(LEN(AA130)=0,"",LEFT(AA130,LEN(AA130)-1))</f>
        <v/>
      </c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8"/>
      <c r="T130" s="37"/>
      <c r="U130" s="37"/>
      <c r="V130" s="39"/>
      <c r="W130" s="39"/>
      <c r="X130" s="40"/>
      <c r="Y130" s="41"/>
      <c r="Z130" s="42"/>
      <c r="AA130" s="43" t="str">
        <f aca="false">IF(G130&lt;&gt;"","Poplar|","")&amp;IF(H130&lt;&gt;"","FJ Primed Poplar|","")&amp;IF(I130&lt;&gt;"","FJ Primed Pine|","")&amp;IF(J130&lt;&gt;"","Clear Pine|","")&amp;IF(K130&lt;&gt;"","Primed MDF|","")&amp;IF(L130&lt;&gt;"","White Oak|","")&amp;IF(M130&lt;&gt;"","Red Oak|","")&amp;IF(N130&lt;&gt;"","Hard Maple|","")&amp;IF(O130&lt;&gt;"","Black Walnut|","")&amp;IF(P130&lt;&gt;"","Douglas Fir|","")&amp;IF(Q130&lt;&gt;"","Western Red Cedar|","")&amp;IF(R130&lt;&gt;"","PVC|","")&amp;IF(S130&lt;&gt;"","Flex|","")&amp;IF(T130&lt;&gt;"","Steel|","")&amp;IF(U130&lt;&gt;"","Plastic|","")&amp;IF(V130&lt;&gt;"",V130&amp;"|","")</f>
        <v/>
      </c>
    </row>
    <row r="131" customFormat="false" ht="16.5" hidden="false" customHeight="true" outlineLevel="0" collapsed="false">
      <c r="A131" s="44" t="s">
        <v>503</v>
      </c>
      <c r="B131" s="45" t="s">
        <v>504</v>
      </c>
      <c r="C131" s="44" t="s">
        <v>505</v>
      </c>
      <c r="D131" s="44" t="s">
        <v>506</v>
      </c>
      <c r="E131" s="44" t="s">
        <v>141</v>
      </c>
      <c r="F131" s="36" t="str">
        <f aca="false">IF(LEN(AA131)=0,"",LEFT(AA131,LEN(AA131)-1))</f>
        <v/>
      </c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8"/>
      <c r="T131" s="37"/>
      <c r="U131" s="37"/>
      <c r="V131" s="46"/>
      <c r="W131" s="46"/>
      <c r="X131" s="40"/>
      <c r="Y131" s="41"/>
      <c r="Z131" s="42"/>
      <c r="AA131" s="43" t="str">
        <f aca="false">IF(G131&lt;&gt;"","Poplar|","")&amp;IF(H131&lt;&gt;"","FJ Primed Poplar|","")&amp;IF(I131&lt;&gt;"","FJ Primed Pine|","")&amp;IF(J131&lt;&gt;"","Clear Pine|","")&amp;IF(K131&lt;&gt;"","Primed MDF|","")&amp;IF(L131&lt;&gt;"","White Oak|","")&amp;IF(M131&lt;&gt;"","Red Oak|","")&amp;IF(N131&lt;&gt;"","Hard Maple|","")&amp;IF(O131&lt;&gt;"","Black Walnut|","")&amp;IF(P131&lt;&gt;"","Douglas Fir|","")&amp;IF(Q131&lt;&gt;"","Western Red Cedar|","")&amp;IF(R131&lt;&gt;"","PVC|","")&amp;IF(S131&lt;&gt;"","Flex|","")&amp;IF(T131&lt;&gt;"","Steel|","")&amp;IF(U131&lt;&gt;"","Plastic|","")&amp;IF(V131&lt;&gt;"",V131&amp;"|","")</f>
        <v/>
      </c>
    </row>
    <row r="132" customFormat="false" ht="16.5" hidden="false" customHeight="true" outlineLevel="0" collapsed="false">
      <c r="A132" s="44" t="s">
        <v>507</v>
      </c>
      <c r="B132" s="45" t="s">
        <v>508</v>
      </c>
      <c r="C132" s="44" t="s">
        <v>505</v>
      </c>
      <c r="D132" s="44" t="s">
        <v>509</v>
      </c>
      <c r="E132" s="44" t="s">
        <v>141</v>
      </c>
      <c r="F132" s="36" t="str">
        <f aca="false">IF(LEN(AA132)=0,"",LEFT(AA132,LEN(AA132)-1))</f>
        <v/>
      </c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8"/>
      <c r="T132" s="37"/>
      <c r="U132" s="37"/>
      <c r="V132" s="46"/>
      <c r="W132" s="46"/>
      <c r="X132" s="40"/>
      <c r="Y132" s="41"/>
      <c r="Z132" s="42"/>
      <c r="AA132" s="43" t="str">
        <f aca="false">IF(G132&lt;&gt;"","Poplar|","")&amp;IF(H132&lt;&gt;"","FJ Primed Poplar|","")&amp;IF(I132&lt;&gt;"","FJ Primed Pine|","")&amp;IF(J132&lt;&gt;"","Clear Pine|","")&amp;IF(K132&lt;&gt;"","Primed MDF|","")&amp;IF(L132&lt;&gt;"","White Oak|","")&amp;IF(M132&lt;&gt;"","Red Oak|","")&amp;IF(N132&lt;&gt;"","Hard Maple|","")&amp;IF(O132&lt;&gt;"","Black Walnut|","")&amp;IF(P132&lt;&gt;"","Douglas Fir|","")&amp;IF(Q132&lt;&gt;"","Western Red Cedar|","")&amp;IF(R132&lt;&gt;"","PVC|","")&amp;IF(S132&lt;&gt;"","Flex|","")&amp;IF(T132&lt;&gt;"","Steel|","")&amp;IF(U132&lt;&gt;"","Plastic|","")&amp;IF(V132&lt;&gt;"",V132&amp;"|","")</f>
        <v/>
      </c>
    </row>
    <row r="133" customFormat="false" ht="16.5" hidden="false" customHeight="true" outlineLevel="0" collapsed="false">
      <c r="A133" s="44" t="s">
        <v>510</v>
      </c>
      <c r="B133" s="45" t="s">
        <v>511</v>
      </c>
      <c r="C133" s="44" t="s">
        <v>505</v>
      </c>
      <c r="D133" s="44" t="s">
        <v>512</v>
      </c>
      <c r="E133" s="44" t="s">
        <v>141</v>
      </c>
      <c r="F133" s="36" t="str">
        <f aca="false">IF(LEN(AA133)=0,"",LEFT(AA133,LEN(AA133)-1))</f>
        <v/>
      </c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8"/>
      <c r="T133" s="37"/>
      <c r="U133" s="37"/>
      <c r="V133" s="46"/>
      <c r="W133" s="46"/>
      <c r="X133" s="40"/>
      <c r="Y133" s="41"/>
      <c r="Z133" s="42"/>
      <c r="AA133" s="43" t="str">
        <f aca="false">IF(G133&lt;&gt;"","Poplar|","")&amp;IF(H133&lt;&gt;"","FJ Primed Poplar|","")&amp;IF(I133&lt;&gt;"","FJ Primed Pine|","")&amp;IF(J133&lt;&gt;"","Clear Pine|","")&amp;IF(K133&lt;&gt;"","Primed MDF|","")&amp;IF(L133&lt;&gt;"","White Oak|","")&amp;IF(M133&lt;&gt;"","Red Oak|","")&amp;IF(N133&lt;&gt;"","Hard Maple|","")&amp;IF(O133&lt;&gt;"","Black Walnut|","")&amp;IF(P133&lt;&gt;"","Douglas Fir|","")&amp;IF(Q133&lt;&gt;"","Western Red Cedar|","")&amp;IF(R133&lt;&gt;"","PVC|","")&amp;IF(S133&lt;&gt;"","Flex|","")&amp;IF(T133&lt;&gt;"","Steel|","")&amp;IF(U133&lt;&gt;"","Plastic|","")&amp;IF(V133&lt;&gt;"",V133&amp;"|","")</f>
        <v/>
      </c>
    </row>
    <row r="134" customFormat="false" ht="16.5" hidden="false" customHeight="true" outlineLevel="0" collapsed="false">
      <c r="A134" s="44" t="s">
        <v>513</v>
      </c>
      <c r="B134" s="45" t="s">
        <v>514</v>
      </c>
      <c r="C134" s="44" t="s">
        <v>505</v>
      </c>
      <c r="D134" s="44" t="s">
        <v>515</v>
      </c>
      <c r="E134" s="44" t="s">
        <v>141</v>
      </c>
      <c r="F134" s="36" t="str">
        <f aca="false">IF(LEN(AA134)=0,"",LEFT(AA134,LEN(AA134)-1))</f>
        <v/>
      </c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8"/>
      <c r="T134" s="37"/>
      <c r="U134" s="37"/>
      <c r="V134" s="46"/>
      <c r="W134" s="46"/>
      <c r="X134" s="40"/>
      <c r="Y134" s="41"/>
      <c r="Z134" s="42"/>
      <c r="AA134" s="43" t="str">
        <f aca="false">IF(G134&lt;&gt;"","Poplar|","")&amp;IF(H134&lt;&gt;"","FJ Primed Poplar|","")&amp;IF(I134&lt;&gt;"","FJ Primed Pine|","")&amp;IF(J134&lt;&gt;"","Clear Pine|","")&amp;IF(K134&lt;&gt;"","Primed MDF|","")&amp;IF(L134&lt;&gt;"","White Oak|","")&amp;IF(M134&lt;&gt;"","Red Oak|","")&amp;IF(N134&lt;&gt;"","Hard Maple|","")&amp;IF(O134&lt;&gt;"","Black Walnut|","")&amp;IF(P134&lt;&gt;"","Douglas Fir|","")&amp;IF(Q134&lt;&gt;"","Western Red Cedar|","")&amp;IF(R134&lt;&gt;"","PVC|","")&amp;IF(S134&lt;&gt;"","Flex|","")&amp;IF(T134&lt;&gt;"","Steel|","")&amp;IF(U134&lt;&gt;"","Plastic|","")&amp;IF(V134&lt;&gt;"",V134&amp;"|","")</f>
        <v/>
      </c>
    </row>
    <row r="135" customFormat="false" ht="16.5" hidden="false" customHeight="true" outlineLevel="0" collapsed="false">
      <c r="A135" s="44" t="s">
        <v>516</v>
      </c>
      <c r="B135" s="45" t="s">
        <v>517</v>
      </c>
      <c r="C135" s="44" t="s">
        <v>505</v>
      </c>
      <c r="D135" s="44" t="s">
        <v>245</v>
      </c>
      <c r="E135" s="44" t="s">
        <v>141</v>
      </c>
      <c r="F135" s="36" t="str">
        <f aca="false">IF(LEN(AA135)=0,"",LEFT(AA135,LEN(AA135)-1))</f>
        <v/>
      </c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8"/>
      <c r="T135" s="37"/>
      <c r="U135" s="37"/>
      <c r="V135" s="46"/>
      <c r="W135" s="46"/>
      <c r="X135" s="40"/>
      <c r="Y135" s="41"/>
      <c r="Z135" s="42"/>
      <c r="AA135" s="43" t="str">
        <f aca="false">IF(G135&lt;&gt;"","Poplar|","")&amp;IF(H135&lt;&gt;"","FJ Primed Poplar|","")&amp;IF(I135&lt;&gt;"","FJ Primed Pine|","")&amp;IF(J135&lt;&gt;"","Clear Pine|","")&amp;IF(K135&lt;&gt;"","Primed MDF|","")&amp;IF(L135&lt;&gt;"","White Oak|","")&amp;IF(M135&lt;&gt;"","Red Oak|","")&amp;IF(N135&lt;&gt;"","Hard Maple|","")&amp;IF(O135&lt;&gt;"","Black Walnut|","")&amp;IF(P135&lt;&gt;"","Douglas Fir|","")&amp;IF(Q135&lt;&gt;"","Western Red Cedar|","")&amp;IF(R135&lt;&gt;"","PVC|","")&amp;IF(S135&lt;&gt;"","Flex|","")&amp;IF(T135&lt;&gt;"","Steel|","")&amp;IF(U135&lt;&gt;"","Plastic|","")&amp;IF(V135&lt;&gt;"",V135&amp;"|","")</f>
        <v/>
      </c>
    </row>
    <row r="136" customFormat="false" ht="16.5" hidden="false" customHeight="true" outlineLevel="0" collapsed="false">
      <c r="A136" s="44" t="s">
        <v>518</v>
      </c>
      <c r="B136" s="45" t="s">
        <v>519</v>
      </c>
      <c r="C136" s="44" t="s">
        <v>505</v>
      </c>
      <c r="D136" s="44" t="s">
        <v>252</v>
      </c>
      <c r="E136" s="44" t="s">
        <v>141</v>
      </c>
      <c r="F136" s="36" t="str">
        <f aca="false">IF(LEN(AA136)=0,"",LEFT(AA136,LEN(AA136)-1))</f>
        <v/>
      </c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8"/>
      <c r="T136" s="37"/>
      <c r="U136" s="37"/>
      <c r="V136" s="46"/>
      <c r="W136" s="46"/>
      <c r="X136" s="40"/>
      <c r="Y136" s="41"/>
      <c r="Z136" s="42"/>
      <c r="AA136" s="43" t="str">
        <f aca="false">IF(G136&lt;&gt;"","Poplar|","")&amp;IF(H136&lt;&gt;"","FJ Primed Poplar|","")&amp;IF(I136&lt;&gt;"","FJ Primed Pine|","")&amp;IF(J136&lt;&gt;"","Clear Pine|","")&amp;IF(K136&lt;&gt;"","Primed MDF|","")&amp;IF(L136&lt;&gt;"","White Oak|","")&amp;IF(M136&lt;&gt;"","Red Oak|","")&amp;IF(N136&lt;&gt;"","Hard Maple|","")&amp;IF(O136&lt;&gt;"","Black Walnut|","")&amp;IF(P136&lt;&gt;"","Douglas Fir|","")&amp;IF(Q136&lt;&gt;"","Western Red Cedar|","")&amp;IF(R136&lt;&gt;"","PVC|","")&amp;IF(S136&lt;&gt;"","Flex|","")&amp;IF(T136&lt;&gt;"","Steel|","")&amp;IF(U136&lt;&gt;"","Plastic|","")&amp;IF(V136&lt;&gt;"",V136&amp;"|","")</f>
        <v/>
      </c>
    </row>
    <row r="137" customFormat="false" ht="16.5" hidden="false" customHeight="true" outlineLevel="0" collapsed="false">
      <c r="A137" s="44" t="s">
        <v>520</v>
      </c>
      <c r="B137" s="45" t="s">
        <v>521</v>
      </c>
      <c r="C137" s="44" t="s">
        <v>505</v>
      </c>
      <c r="D137" s="44" t="s">
        <v>245</v>
      </c>
      <c r="E137" s="44" t="s">
        <v>141</v>
      </c>
      <c r="F137" s="36" t="str">
        <f aca="false">IF(LEN(AA137)=0,"",LEFT(AA137,LEN(AA137)-1))</f>
        <v/>
      </c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8"/>
      <c r="T137" s="37"/>
      <c r="U137" s="37"/>
      <c r="V137" s="46"/>
      <c r="W137" s="46"/>
      <c r="X137" s="40"/>
      <c r="Y137" s="41"/>
      <c r="Z137" s="42"/>
      <c r="AA137" s="43" t="str">
        <f aca="false">IF(G137&lt;&gt;"","Poplar|","")&amp;IF(H137&lt;&gt;"","FJ Primed Poplar|","")&amp;IF(I137&lt;&gt;"","FJ Primed Pine|","")&amp;IF(J137&lt;&gt;"","Clear Pine|","")&amp;IF(K137&lt;&gt;"","Primed MDF|","")&amp;IF(L137&lt;&gt;"","White Oak|","")&amp;IF(M137&lt;&gt;"","Red Oak|","")&amp;IF(N137&lt;&gt;"","Hard Maple|","")&amp;IF(O137&lt;&gt;"","Black Walnut|","")&amp;IF(P137&lt;&gt;"","Douglas Fir|","")&amp;IF(Q137&lt;&gt;"","Western Red Cedar|","")&amp;IF(R137&lt;&gt;"","PVC|","")&amp;IF(S137&lt;&gt;"","Flex|","")&amp;IF(T137&lt;&gt;"","Steel|","")&amp;IF(U137&lt;&gt;"","Plastic|","")&amp;IF(V137&lt;&gt;"",V137&amp;"|","")</f>
        <v/>
      </c>
    </row>
    <row r="138" customFormat="false" ht="16.5" hidden="false" customHeight="true" outlineLevel="0" collapsed="false">
      <c r="A138" s="44" t="s">
        <v>522</v>
      </c>
      <c r="B138" s="45" t="s">
        <v>523</v>
      </c>
      <c r="C138" s="44" t="s">
        <v>505</v>
      </c>
      <c r="D138" s="44" t="s">
        <v>241</v>
      </c>
      <c r="E138" s="44" t="s">
        <v>141</v>
      </c>
      <c r="F138" s="36" t="str">
        <f aca="false">IF(LEN(AA138)=0,"",LEFT(AA138,LEN(AA138)-1))</f>
        <v/>
      </c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8"/>
      <c r="T138" s="37"/>
      <c r="U138" s="37"/>
      <c r="V138" s="46"/>
      <c r="W138" s="46"/>
      <c r="X138" s="40"/>
      <c r="Y138" s="41"/>
      <c r="Z138" s="42"/>
      <c r="AA138" s="43" t="str">
        <f aca="false">IF(G138&lt;&gt;"","Poplar|","")&amp;IF(H138&lt;&gt;"","FJ Primed Poplar|","")&amp;IF(I138&lt;&gt;"","FJ Primed Pine|","")&amp;IF(J138&lt;&gt;"","Clear Pine|","")&amp;IF(K138&lt;&gt;"","Primed MDF|","")&amp;IF(L138&lt;&gt;"","White Oak|","")&amp;IF(M138&lt;&gt;"","Red Oak|","")&amp;IF(N138&lt;&gt;"","Hard Maple|","")&amp;IF(O138&lt;&gt;"","Black Walnut|","")&amp;IF(P138&lt;&gt;"","Douglas Fir|","")&amp;IF(Q138&lt;&gt;"","Western Red Cedar|","")&amp;IF(R138&lt;&gt;"","PVC|","")&amp;IF(S138&lt;&gt;"","Flex|","")&amp;IF(T138&lt;&gt;"","Steel|","")&amp;IF(U138&lt;&gt;"","Plastic|","")&amp;IF(V138&lt;&gt;"",V138&amp;"|","")</f>
        <v/>
      </c>
    </row>
    <row r="139" customFormat="false" ht="16.5" hidden="false" customHeight="true" outlineLevel="0" collapsed="false">
      <c r="A139" s="44" t="s">
        <v>524</v>
      </c>
      <c r="B139" s="45" t="s">
        <v>525</v>
      </c>
      <c r="C139" s="44" t="s">
        <v>505</v>
      </c>
      <c r="D139" s="44" t="s">
        <v>526</v>
      </c>
      <c r="E139" s="44" t="s">
        <v>162</v>
      </c>
      <c r="F139" s="36" t="str">
        <f aca="false">IF(LEN(AA139)=0,"",LEFT(AA139,LEN(AA139)-1))</f>
        <v/>
      </c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8"/>
      <c r="T139" s="37"/>
      <c r="U139" s="37"/>
      <c r="V139" s="46"/>
      <c r="W139" s="46"/>
      <c r="X139" s="40"/>
      <c r="Y139" s="41"/>
      <c r="Z139" s="42"/>
      <c r="AA139" s="43" t="str">
        <f aca="false">IF(G139&lt;&gt;"","Poplar|","")&amp;IF(H139&lt;&gt;"","FJ Primed Poplar|","")&amp;IF(I139&lt;&gt;"","FJ Primed Pine|","")&amp;IF(J139&lt;&gt;"","Clear Pine|","")&amp;IF(K139&lt;&gt;"","Primed MDF|","")&amp;IF(L139&lt;&gt;"","White Oak|","")&amp;IF(M139&lt;&gt;"","Red Oak|","")&amp;IF(N139&lt;&gt;"","Hard Maple|","")&amp;IF(O139&lt;&gt;"","Black Walnut|","")&amp;IF(P139&lt;&gt;"","Douglas Fir|","")&amp;IF(Q139&lt;&gt;"","Western Red Cedar|","")&amp;IF(R139&lt;&gt;"","PVC|","")&amp;IF(S139&lt;&gt;"","Flex|","")&amp;IF(T139&lt;&gt;"","Steel|","")&amp;IF(U139&lt;&gt;"","Plastic|","")&amp;IF(V139&lt;&gt;"",V139&amp;"|","")</f>
        <v/>
      </c>
    </row>
    <row r="140" customFormat="false" ht="16.5" hidden="false" customHeight="true" outlineLevel="0" collapsed="false">
      <c r="A140" s="34" t="s">
        <v>527</v>
      </c>
      <c r="B140" s="35" t="s">
        <v>528</v>
      </c>
      <c r="C140" s="34" t="s">
        <v>529</v>
      </c>
      <c r="D140" s="34" t="s">
        <v>439</v>
      </c>
      <c r="E140" s="34" t="s">
        <v>141</v>
      </c>
      <c r="F140" s="36" t="str">
        <f aca="false">IF(LEN(AA140)=0,"",LEFT(AA140,LEN(AA140)-1))</f>
        <v/>
      </c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8"/>
      <c r="T140" s="37"/>
      <c r="U140" s="37"/>
      <c r="V140" s="39"/>
      <c r="W140" s="39"/>
      <c r="X140" s="40"/>
      <c r="Y140" s="41"/>
      <c r="Z140" s="42"/>
      <c r="AA140" s="43" t="str">
        <f aca="false">IF(G140&lt;&gt;"","Poplar|","")&amp;IF(H140&lt;&gt;"","FJ Primed Poplar|","")&amp;IF(I140&lt;&gt;"","FJ Primed Pine|","")&amp;IF(J140&lt;&gt;"","Clear Pine|","")&amp;IF(K140&lt;&gt;"","Primed MDF|","")&amp;IF(L140&lt;&gt;"","White Oak|","")&amp;IF(M140&lt;&gt;"","Red Oak|","")&amp;IF(N140&lt;&gt;"","Hard Maple|","")&amp;IF(O140&lt;&gt;"","Black Walnut|","")&amp;IF(P140&lt;&gt;"","Douglas Fir|","")&amp;IF(Q140&lt;&gt;"","Western Red Cedar|","")&amp;IF(R140&lt;&gt;"","PVC|","")&amp;IF(S140&lt;&gt;"","Flex|","")&amp;IF(T140&lt;&gt;"","Steel|","")&amp;IF(U140&lt;&gt;"","Plastic|","")&amp;IF(V140&lt;&gt;"",V140&amp;"|","")</f>
        <v/>
      </c>
    </row>
    <row r="141" customFormat="false" ht="16.5" hidden="false" customHeight="true" outlineLevel="0" collapsed="false">
      <c r="A141" s="34" t="s">
        <v>530</v>
      </c>
      <c r="B141" s="35" t="s">
        <v>531</v>
      </c>
      <c r="C141" s="34" t="s">
        <v>529</v>
      </c>
      <c r="D141" s="34" t="s">
        <v>532</v>
      </c>
      <c r="E141" s="34" t="s">
        <v>141</v>
      </c>
      <c r="F141" s="36" t="str">
        <f aca="false">IF(LEN(AA141)=0,"",LEFT(AA141,LEN(AA141)-1))</f>
        <v/>
      </c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8"/>
      <c r="T141" s="37"/>
      <c r="U141" s="37"/>
      <c r="V141" s="39"/>
      <c r="W141" s="39"/>
      <c r="X141" s="40"/>
      <c r="Y141" s="41"/>
      <c r="Z141" s="42"/>
      <c r="AA141" s="43" t="str">
        <f aca="false">IF(G141&lt;&gt;"","Poplar|","")&amp;IF(H141&lt;&gt;"","FJ Primed Poplar|","")&amp;IF(I141&lt;&gt;"","FJ Primed Pine|","")&amp;IF(J141&lt;&gt;"","Clear Pine|","")&amp;IF(K141&lt;&gt;"","Primed MDF|","")&amp;IF(L141&lt;&gt;"","White Oak|","")&amp;IF(M141&lt;&gt;"","Red Oak|","")&amp;IF(N141&lt;&gt;"","Hard Maple|","")&amp;IF(O141&lt;&gt;"","Black Walnut|","")&amp;IF(P141&lt;&gt;"","Douglas Fir|","")&amp;IF(Q141&lt;&gt;"","Western Red Cedar|","")&amp;IF(R141&lt;&gt;"","PVC|","")&amp;IF(S141&lt;&gt;"","Flex|","")&amp;IF(T141&lt;&gt;"","Steel|","")&amp;IF(U141&lt;&gt;"","Plastic|","")&amp;IF(V141&lt;&gt;"",V141&amp;"|","")</f>
        <v/>
      </c>
    </row>
    <row r="142" customFormat="false" ht="16.5" hidden="false" customHeight="true" outlineLevel="0" collapsed="false">
      <c r="A142" s="34" t="s">
        <v>533</v>
      </c>
      <c r="B142" s="35" t="s">
        <v>534</v>
      </c>
      <c r="C142" s="34" t="s">
        <v>529</v>
      </c>
      <c r="D142" s="34" t="s">
        <v>535</v>
      </c>
      <c r="E142" s="34" t="s">
        <v>141</v>
      </c>
      <c r="F142" s="36" t="str">
        <f aca="false">IF(LEN(AA142)=0,"",LEFT(AA142,LEN(AA142)-1))</f>
        <v/>
      </c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8"/>
      <c r="T142" s="37"/>
      <c r="U142" s="37"/>
      <c r="V142" s="39"/>
      <c r="W142" s="39"/>
      <c r="X142" s="40"/>
      <c r="Y142" s="41"/>
      <c r="Z142" s="42"/>
      <c r="AA142" s="43" t="str">
        <f aca="false">IF(G142&lt;&gt;"","Poplar|","")&amp;IF(H142&lt;&gt;"","FJ Primed Poplar|","")&amp;IF(I142&lt;&gt;"","FJ Primed Pine|","")&amp;IF(J142&lt;&gt;"","Clear Pine|","")&amp;IF(K142&lt;&gt;"","Primed MDF|","")&amp;IF(L142&lt;&gt;"","White Oak|","")&amp;IF(M142&lt;&gt;"","Red Oak|","")&amp;IF(N142&lt;&gt;"","Hard Maple|","")&amp;IF(O142&lt;&gt;"","Black Walnut|","")&amp;IF(P142&lt;&gt;"","Douglas Fir|","")&amp;IF(Q142&lt;&gt;"","Western Red Cedar|","")&amp;IF(R142&lt;&gt;"","PVC|","")&amp;IF(S142&lt;&gt;"","Flex|","")&amp;IF(T142&lt;&gt;"","Steel|","")&amp;IF(U142&lt;&gt;"","Plastic|","")&amp;IF(V142&lt;&gt;"",V142&amp;"|","")</f>
        <v/>
      </c>
    </row>
    <row r="143" customFormat="false" ht="16.5" hidden="false" customHeight="true" outlineLevel="0" collapsed="false">
      <c r="A143" s="34" t="s">
        <v>536</v>
      </c>
      <c r="B143" s="35" t="s">
        <v>537</v>
      </c>
      <c r="C143" s="34" t="s">
        <v>529</v>
      </c>
      <c r="D143" s="34" t="s">
        <v>456</v>
      </c>
      <c r="E143" s="34" t="s">
        <v>141</v>
      </c>
      <c r="F143" s="36" t="str">
        <f aca="false">IF(LEN(AA143)=0,"",LEFT(AA143,LEN(AA143)-1))</f>
        <v/>
      </c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8"/>
      <c r="T143" s="37"/>
      <c r="U143" s="37"/>
      <c r="V143" s="39"/>
      <c r="W143" s="39"/>
      <c r="X143" s="40"/>
      <c r="Y143" s="41"/>
      <c r="Z143" s="42"/>
      <c r="AA143" s="43" t="str">
        <f aca="false">IF(G143&lt;&gt;"","Poplar|","")&amp;IF(H143&lt;&gt;"","FJ Primed Poplar|","")&amp;IF(I143&lt;&gt;"","FJ Primed Pine|","")&amp;IF(J143&lt;&gt;"","Clear Pine|","")&amp;IF(K143&lt;&gt;"","Primed MDF|","")&amp;IF(L143&lt;&gt;"","White Oak|","")&amp;IF(M143&lt;&gt;"","Red Oak|","")&amp;IF(N143&lt;&gt;"","Hard Maple|","")&amp;IF(O143&lt;&gt;"","Black Walnut|","")&amp;IF(P143&lt;&gt;"","Douglas Fir|","")&amp;IF(Q143&lt;&gt;"","Western Red Cedar|","")&amp;IF(R143&lt;&gt;"","PVC|","")&amp;IF(S143&lt;&gt;"","Flex|","")&amp;IF(T143&lt;&gt;"","Steel|","")&amp;IF(U143&lt;&gt;"","Plastic|","")&amp;IF(V143&lt;&gt;"",V143&amp;"|","")</f>
        <v/>
      </c>
    </row>
    <row r="144" customFormat="false" ht="16.5" hidden="false" customHeight="true" outlineLevel="0" collapsed="false">
      <c r="A144" s="34" t="s">
        <v>538</v>
      </c>
      <c r="B144" s="35" t="s">
        <v>539</v>
      </c>
      <c r="C144" s="34" t="s">
        <v>529</v>
      </c>
      <c r="D144" s="34" t="s">
        <v>540</v>
      </c>
      <c r="E144" s="34" t="s">
        <v>141</v>
      </c>
      <c r="F144" s="36" t="str">
        <f aca="false">IF(LEN(AA144)=0,"",LEFT(AA144,LEN(AA144)-1))</f>
        <v/>
      </c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8"/>
      <c r="T144" s="37"/>
      <c r="U144" s="37"/>
      <c r="V144" s="39"/>
      <c r="W144" s="39"/>
      <c r="X144" s="40"/>
      <c r="Y144" s="41"/>
      <c r="Z144" s="42"/>
      <c r="AA144" s="43" t="str">
        <f aca="false">IF(G144&lt;&gt;"","Poplar|","")&amp;IF(H144&lt;&gt;"","FJ Primed Poplar|","")&amp;IF(I144&lt;&gt;"","FJ Primed Pine|","")&amp;IF(J144&lt;&gt;"","Clear Pine|","")&amp;IF(K144&lt;&gt;"","Primed MDF|","")&amp;IF(L144&lt;&gt;"","White Oak|","")&amp;IF(M144&lt;&gt;"","Red Oak|","")&amp;IF(N144&lt;&gt;"","Hard Maple|","")&amp;IF(O144&lt;&gt;"","Black Walnut|","")&amp;IF(P144&lt;&gt;"","Douglas Fir|","")&amp;IF(Q144&lt;&gt;"","Western Red Cedar|","")&amp;IF(R144&lt;&gt;"","PVC|","")&amp;IF(S144&lt;&gt;"","Flex|","")&amp;IF(T144&lt;&gt;"","Steel|","")&amp;IF(U144&lt;&gt;"","Plastic|","")&amp;IF(V144&lt;&gt;"",V144&amp;"|","")</f>
        <v/>
      </c>
    </row>
    <row r="145" customFormat="false" ht="16.5" hidden="false" customHeight="true" outlineLevel="0" collapsed="false">
      <c r="A145" s="34" t="s">
        <v>541</v>
      </c>
      <c r="B145" s="35" t="s">
        <v>542</v>
      </c>
      <c r="C145" s="34" t="s">
        <v>529</v>
      </c>
      <c r="D145" s="34" t="s">
        <v>543</v>
      </c>
      <c r="E145" s="34" t="s">
        <v>141</v>
      </c>
      <c r="F145" s="36" t="str">
        <f aca="false">IF(LEN(AA145)=0,"",LEFT(AA145,LEN(AA145)-1))</f>
        <v/>
      </c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8"/>
      <c r="T145" s="37"/>
      <c r="U145" s="37"/>
      <c r="V145" s="39"/>
      <c r="W145" s="39"/>
      <c r="X145" s="40"/>
      <c r="Y145" s="41"/>
      <c r="Z145" s="42"/>
      <c r="AA145" s="43" t="str">
        <f aca="false">IF(G145&lt;&gt;"","Poplar|","")&amp;IF(H145&lt;&gt;"","FJ Primed Poplar|","")&amp;IF(I145&lt;&gt;"","FJ Primed Pine|","")&amp;IF(J145&lt;&gt;"","Clear Pine|","")&amp;IF(K145&lt;&gt;"","Primed MDF|","")&amp;IF(L145&lt;&gt;"","White Oak|","")&amp;IF(M145&lt;&gt;"","Red Oak|","")&amp;IF(N145&lt;&gt;"","Hard Maple|","")&amp;IF(O145&lt;&gt;"","Black Walnut|","")&amp;IF(P145&lt;&gt;"","Douglas Fir|","")&amp;IF(Q145&lt;&gt;"","Western Red Cedar|","")&amp;IF(R145&lt;&gt;"","PVC|","")&amp;IF(S145&lt;&gt;"","Flex|","")&amp;IF(T145&lt;&gt;"","Steel|","")&amp;IF(U145&lt;&gt;"","Plastic|","")&amp;IF(V145&lt;&gt;"",V145&amp;"|","")</f>
        <v/>
      </c>
    </row>
    <row r="146" customFormat="false" ht="16.5" hidden="false" customHeight="true" outlineLevel="0" collapsed="false">
      <c r="A146" s="34" t="s">
        <v>544</v>
      </c>
      <c r="B146" s="35" t="s">
        <v>545</v>
      </c>
      <c r="C146" s="34" t="s">
        <v>529</v>
      </c>
      <c r="D146" s="34" t="s">
        <v>546</v>
      </c>
      <c r="E146" s="34" t="s">
        <v>141</v>
      </c>
      <c r="F146" s="36" t="str">
        <f aca="false">IF(LEN(AA146)=0,"",LEFT(AA146,LEN(AA146)-1))</f>
        <v/>
      </c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8"/>
      <c r="T146" s="37"/>
      <c r="U146" s="37"/>
      <c r="V146" s="39"/>
      <c r="W146" s="39"/>
      <c r="X146" s="40"/>
      <c r="Y146" s="41"/>
      <c r="Z146" s="42"/>
      <c r="AA146" s="43" t="str">
        <f aca="false">IF(G146&lt;&gt;"","Poplar|","")&amp;IF(H146&lt;&gt;"","FJ Primed Poplar|","")&amp;IF(I146&lt;&gt;"","FJ Primed Pine|","")&amp;IF(J146&lt;&gt;"","Clear Pine|","")&amp;IF(K146&lt;&gt;"","Primed MDF|","")&amp;IF(L146&lt;&gt;"","White Oak|","")&amp;IF(M146&lt;&gt;"","Red Oak|","")&amp;IF(N146&lt;&gt;"","Hard Maple|","")&amp;IF(O146&lt;&gt;"","Black Walnut|","")&amp;IF(P146&lt;&gt;"","Douglas Fir|","")&amp;IF(Q146&lt;&gt;"","Western Red Cedar|","")&amp;IF(R146&lt;&gt;"","PVC|","")&amp;IF(S146&lt;&gt;"","Flex|","")&amp;IF(T146&lt;&gt;"","Steel|","")&amp;IF(U146&lt;&gt;"","Plastic|","")&amp;IF(V146&lt;&gt;"",V146&amp;"|","")</f>
        <v/>
      </c>
    </row>
    <row r="147" customFormat="false" ht="16.5" hidden="false" customHeight="true" outlineLevel="0" collapsed="false">
      <c r="A147" s="44" t="s">
        <v>547</v>
      </c>
      <c r="B147" s="45" t="s">
        <v>548</v>
      </c>
      <c r="C147" s="44" t="s">
        <v>549</v>
      </c>
      <c r="D147" s="44" t="s">
        <v>370</v>
      </c>
      <c r="E147" s="44" t="s">
        <v>141</v>
      </c>
      <c r="F147" s="36" t="str">
        <f aca="false">IF(LEN(AA147)=0,"",LEFT(AA147,LEN(AA147)-1))</f>
        <v/>
      </c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8"/>
      <c r="T147" s="37"/>
      <c r="U147" s="37"/>
      <c r="V147" s="46"/>
      <c r="W147" s="46"/>
      <c r="X147" s="40"/>
      <c r="Y147" s="41"/>
      <c r="Z147" s="42"/>
      <c r="AA147" s="43" t="str">
        <f aca="false">IF(G147&lt;&gt;"","Poplar|","")&amp;IF(H147&lt;&gt;"","FJ Primed Poplar|","")&amp;IF(I147&lt;&gt;"","FJ Primed Pine|","")&amp;IF(J147&lt;&gt;"","Clear Pine|","")&amp;IF(K147&lt;&gt;"","Primed MDF|","")&amp;IF(L147&lt;&gt;"","White Oak|","")&amp;IF(M147&lt;&gt;"","Red Oak|","")&amp;IF(N147&lt;&gt;"","Hard Maple|","")&amp;IF(O147&lt;&gt;"","Black Walnut|","")&amp;IF(P147&lt;&gt;"","Douglas Fir|","")&amp;IF(Q147&lt;&gt;"","Western Red Cedar|","")&amp;IF(R147&lt;&gt;"","PVC|","")&amp;IF(S147&lt;&gt;"","Flex|","")&amp;IF(T147&lt;&gt;"","Steel|","")&amp;IF(U147&lt;&gt;"","Plastic|","")&amp;IF(V147&lt;&gt;"",V147&amp;"|","")</f>
        <v/>
      </c>
    </row>
    <row r="148" customFormat="false" ht="16.5" hidden="false" customHeight="true" outlineLevel="0" collapsed="false">
      <c r="A148" s="44" t="s">
        <v>550</v>
      </c>
      <c r="B148" s="45" t="s">
        <v>551</v>
      </c>
      <c r="C148" s="44" t="s">
        <v>549</v>
      </c>
      <c r="D148" s="44" t="s">
        <v>552</v>
      </c>
      <c r="E148" s="44" t="s">
        <v>141</v>
      </c>
      <c r="F148" s="36" t="str">
        <f aca="false">IF(LEN(AA148)=0,"",LEFT(AA148,LEN(AA148)-1))</f>
        <v/>
      </c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8"/>
      <c r="T148" s="37"/>
      <c r="U148" s="37"/>
      <c r="V148" s="46"/>
      <c r="W148" s="46"/>
      <c r="X148" s="40"/>
      <c r="Y148" s="41"/>
      <c r="Z148" s="42"/>
      <c r="AA148" s="43" t="str">
        <f aca="false">IF(G148&lt;&gt;"","Poplar|","")&amp;IF(H148&lt;&gt;"","FJ Primed Poplar|","")&amp;IF(I148&lt;&gt;"","FJ Primed Pine|","")&amp;IF(J148&lt;&gt;"","Clear Pine|","")&amp;IF(K148&lt;&gt;"","Primed MDF|","")&amp;IF(L148&lt;&gt;"","White Oak|","")&amp;IF(M148&lt;&gt;"","Red Oak|","")&amp;IF(N148&lt;&gt;"","Hard Maple|","")&amp;IF(O148&lt;&gt;"","Black Walnut|","")&amp;IF(P148&lt;&gt;"","Douglas Fir|","")&amp;IF(Q148&lt;&gt;"","Western Red Cedar|","")&amp;IF(R148&lt;&gt;"","PVC|","")&amp;IF(S148&lt;&gt;"","Flex|","")&amp;IF(T148&lt;&gt;"","Steel|","")&amp;IF(U148&lt;&gt;"","Plastic|","")&amp;IF(V148&lt;&gt;"",V148&amp;"|","")</f>
        <v/>
      </c>
    </row>
    <row r="149" customFormat="false" ht="16.5" hidden="false" customHeight="true" outlineLevel="0" collapsed="false">
      <c r="A149" s="44" t="s">
        <v>553</v>
      </c>
      <c r="B149" s="45" t="s">
        <v>554</v>
      </c>
      <c r="C149" s="44" t="s">
        <v>549</v>
      </c>
      <c r="D149" s="44" t="s">
        <v>552</v>
      </c>
      <c r="E149" s="44" t="s">
        <v>141</v>
      </c>
      <c r="F149" s="36" t="str">
        <f aca="false">IF(LEN(AA149)=0,"",LEFT(AA149,LEN(AA149)-1))</f>
        <v/>
      </c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8"/>
      <c r="T149" s="37"/>
      <c r="U149" s="37"/>
      <c r="V149" s="46"/>
      <c r="W149" s="46"/>
      <c r="X149" s="40"/>
      <c r="Y149" s="41"/>
      <c r="Z149" s="42"/>
      <c r="AA149" s="43" t="str">
        <f aca="false">IF(G149&lt;&gt;"","Poplar|","")&amp;IF(H149&lt;&gt;"","FJ Primed Poplar|","")&amp;IF(I149&lt;&gt;"","FJ Primed Pine|","")&amp;IF(J149&lt;&gt;"","Clear Pine|","")&amp;IF(K149&lt;&gt;"","Primed MDF|","")&amp;IF(L149&lt;&gt;"","White Oak|","")&amp;IF(M149&lt;&gt;"","Red Oak|","")&amp;IF(N149&lt;&gt;"","Hard Maple|","")&amp;IF(O149&lt;&gt;"","Black Walnut|","")&amp;IF(P149&lt;&gt;"","Douglas Fir|","")&amp;IF(Q149&lt;&gt;"","Western Red Cedar|","")&amp;IF(R149&lt;&gt;"","PVC|","")&amp;IF(S149&lt;&gt;"","Flex|","")&amp;IF(T149&lt;&gt;"","Steel|","")&amp;IF(U149&lt;&gt;"","Plastic|","")&amp;IF(V149&lt;&gt;"",V149&amp;"|","")</f>
        <v/>
      </c>
    </row>
    <row r="150" customFormat="false" ht="16.5" hidden="false" customHeight="true" outlineLevel="0" collapsed="false">
      <c r="A150" s="44" t="s">
        <v>555</v>
      </c>
      <c r="B150" s="45" t="s">
        <v>556</v>
      </c>
      <c r="C150" s="44" t="s">
        <v>549</v>
      </c>
      <c r="D150" s="44" t="s">
        <v>557</v>
      </c>
      <c r="E150" s="44" t="s">
        <v>141</v>
      </c>
      <c r="F150" s="36" t="str">
        <f aca="false">IF(LEN(AA150)=0,"",LEFT(AA150,LEN(AA150)-1))</f>
        <v/>
      </c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8"/>
      <c r="T150" s="37"/>
      <c r="U150" s="37"/>
      <c r="V150" s="46"/>
      <c r="W150" s="46"/>
      <c r="X150" s="40"/>
      <c r="Y150" s="41"/>
      <c r="Z150" s="42"/>
      <c r="AA150" s="43" t="str">
        <f aca="false">IF(G150&lt;&gt;"","Poplar|","")&amp;IF(H150&lt;&gt;"","FJ Primed Poplar|","")&amp;IF(I150&lt;&gt;"","FJ Primed Pine|","")&amp;IF(J150&lt;&gt;"","Clear Pine|","")&amp;IF(K150&lt;&gt;"","Primed MDF|","")&amp;IF(L150&lt;&gt;"","White Oak|","")&amp;IF(M150&lt;&gt;"","Red Oak|","")&amp;IF(N150&lt;&gt;"","Hard Maple|","")&amp;IF(O150&lt;&gt;"","Black Walnut|","")&amp;IF(P150&lt;&gt;"","Douglas Fir|","")&amp;IF(Q150&lt;&gt;"","Western Red Cedar|","")&amp;IF(R150&lt;&gt;"","PVC|","")&amp;IF(S150&lt;&gt;"","Flex|","")&amp;IF(T150&lt;&gt;"","Steel|","")&amp;IF(U150&lt;&gt;"","Plastic|","")&amp;IF(V150&lt;&gt;"",V150&amp;"|","")</f>
        <v/>
      </c>
    </row>
    <row r="151" customFormat="false" ht="16.5" hidden="false" customHeight="true" outlineLevel="0" collapsed="false">
      <c r="A151" s="44" t="s">
        <v>558</v>
      </c>
      <c r="B151" s="45" t="s">
        <v>559</v>
      </c>
      <c r="C151" s="44" t="s">
        <v>549</v>
      </c>
      <c r="D151" s="44" t="s">
        <v>560</v>
      </c>
      <c r="E151" s="44" t="s">
        <v>141</v>
      </c>
      <c r="F151" s="36" t="str">
        <f aca="false">IF(LEN(AA151)=0,"",LEFT(AA151,LEN(AA151)-1))</f>
        <v/>
      </c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8"/>
      <c r="T151" s="37"/>
      <c r="U151" s="37"/>
      <c r="V151" s="46"/>
      <c r="W151" s="46"/>
      <c r="X151" s="40"/>
      <c r="Y151" s="41"/>
      <c r="Z151" s="42"/>
      <c r="AA151" s="43" t="str">
        <f aca="false">IF(G151&lt;&gt;"","Poplar|","")&amp;IF(H151&lt;&gt;"","FJ Primed Poplar|","")&amp;IF(I151&lt;&gt;"","FJ Primed Pine|","")&amp;IF(J151&lt;&gt;"","Clear Pine|","")&amp;IF(K151&lt;&gt;"","Primed MDF|","")&amp;IF(L151&lt;&gt;"","White Oak|","")&amp;IF(M151&lt;&gt;"","Red Oak|","")&amp;IF(N151&lt;&gt;"","Hard Maple|","")&amp;IF(O151&lt;&gt;"","Black Walnut|","")&amp;IF(P151&lt;&gt;"","Douglas Fir|","")&amp;IF(Q151&lt;&gt;"","Western Red Cedar|","")&amp;IF(R151&lt;&gt;"","PVC|","")&amp;IF(S151&lt;&gt;"","Flex|","")&amp;IF(T151&lt;&gt;"","Steel|","")&amp;IF(U151&lt;&gt;"","Plastic|","")&amp;IF(V151&lt;&gt;"",V151&amp;"|","")</f>
        <v/>
      </c>
    </row>
    <row r="152" customFormat="false" ht="16.5" hidden="false" customHeight="true" outlineLevel="0" collapsed="false">
      <c r="A152" s="34" t="s">
        <v>561</v>
      </c>
      <c r="B152" s="35" t="s">
        <v>562</v>
      </c>
      <c r="C152" s="34" t="s">
        <v>563</v>
      </c>
      <c r="D152" s="34" t="s">
        <v>564</v>
      </c>
      <c r="E152" s="34" t="s">
        <v>141</v>
      </c>
      <c r="F152" s="36" t="str">
        <f aca="false">IF(LEN(AA152)=0,"",LEFT(AA152,LEN(AA152)-1))</f>
        <v/>
      </c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8"/>
      <c r="T152" s="37"/>
      <c r="U152" s="37"/>
      <c r="V152" s="39"/>
      <c r="W152" s="39"/>
      <c r="X152" s="40"/>
      <c r="Y152" s="41"/>
      <c r="Z152" s="42"/>
      <c r="AA152" s="43" t="str">
        <f aca="false">IF(G152&lt;&gt;"","Poplar|","")&amp;IF(H152&lt;&gt;"","FJ Primed Poplar|","")&amp;IF(I152&lt;&gt;"","FJ Primed Pine|","")&amp;IF(J152&lt;&gt;"","Clear Pine|","")&amp;IF(K152&lt;&gt;"","Primed MDF|","")&amp;IF(L152&lt;&gt;"","White Oak|","")&amp;IF(M152&lt;&gt;"","Red Oak|","")&amp;IF(N152&lt;&gt;"","Hard Maple|","")&amp;IF(O152&lt;&gt;"","Black Walnut|","")&amp;IF(P152&lt;&gt;"","Douglas Fir|","")&amp;IF(Q152&lt;&gt;"","Western Red Cedar|","")&amp;IF(R152&lt;&gt;"","PVC|","")&amp;IF(S152&lt;&gt;"","Flex|","")&amp;IF(T152&lt;&gt;"","Steel|","")&amp;IF(U152&lt;&gt;"","Plastic|","")&amp;IF(V152&lt;&gt;"",V152&amp;"|","")</f>
        <v/>
      </c>
    </row>
    <row r="153" customFormat="false" ht="16.5" hidden="false" customHeight="true" outlineLevel="0" collapsed="false">
      <c r="A153" s="34" t="s">
        <v>565</v>
      </c>
      <c r="B153" s="35" t="s">
        <v>566</v>
      </c>
      <c r="C153" s="34" t="s">
        <v>563</v>
      </c>
      <c r="D153" s="34" t="s">
        <v>158</v>
      </c>
      <c r="E153" s="34" t="s">
        <v>141</v>
      </c>
      <c r="F153" s="36" t="str">
        <f aca="false">IF(LEN(AA153)=0,"",LEFT(AA153,LEN(AA153)-1))</f>
        <v/>
      </c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8"/>
      <c r="T153" s="37"/>
      <c r="U153" s="37"/>
      <c r="V153" s="39"/>
      <c r="W153" s="39"/>
      <c r="X153" s="40"/>
      <c r="Y153" s="41"/>
      <c r="Z153" s="42"/>
      <c r="AA153" s="43" t="str">
        <f aca="false">IF(G153&lt;&gt;"","Poplar|","")&amp;IF(H153&lt;&gt;"","FJ Primed Poplar|","")&amp;IF(I153&lt;&gt;"","FJ Primed Pine|","")&amp;IF(J153&lt;&gt;"","Clear Pine|","")&amp;IF(K153&lt;&gt;"","Primed MDF|","")&amp;IF(L153&lt;&gt;"","White Oak|","")&amp;IF(M153&lt;&gt;"","Red Oak|","")&amp;IF(N153&lt;&gt;"","Hard Maple|","")&amp;IF(O153&lt;&gt;"","Black Walnut|","")&amp;IF(P153&lt;&gt;"","Douglas Fir|","")&amp;IF(Q153&lt;&gt;"","Western Red Cedar|","")&amp;IF(R153&lt;&gt;"","PVC|","")&amp;IF(S153&lt;&gt;"","Flex|","")&amp;IF(T153&lt;&gt;"","Steel|","")&amp;IF(U153&lt;&gt;"","Plastic|","")&amp;IF(V153&lt;&gt;"",V153&amp;"|","")</f>
        <v/>
      </c>
    </row>
    <row r="154" customFormat="false" ht="16.5" hidden="false" customHeight="true" outlineLevel="0" collapsed="false">
      <c r="A154" s="34" t="s">
        <v>567</v>
      </c>
      <c r="B154" s="35" t="s">
        <v>568</v>
      </c>
      <c r="C154" s="34" t="s">
        <v>563</v>
      </c>
      <c r="D154" s="34" t="s">
        <v>569</v>
      </c>
      <c r="E154" s="34" t="s">
        <v>141</v>
      </c>
      <c r="F154" s="36" t="str">
        <f aca="false">IF(LEN(AA154)=0,"",LEFT(AA154,LEN(AA154)-1))</f>
        <v/>
      </c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8"/>
      <c r="T154" s="37"/>
      <c r="U154" s="37"/>
      <c r="V154" s="39"/>
      <c r="W154" s="39"/>
      <c r="X154" s="40"/>
      <c r="Y154" s="41"/>
      <c r="Z154" s="42"/>
      <c r="AA154" s="43" t="str">
        <f aca="false">IF(G154&lt;&gt;"","Poplar|","")&amp;IF(H154&lt;&gt;"","FJ Primed Poplar|","")&amp;IF(I154&lt;&gt;"","FJ Primed Pine|","")&amp;IF(J154&lt;&gt;"","Clear Pine|","")&amp;IF(K154&lt;&gt;"","Primed MDF|","")&amp;IF(L154&lt;&gt;"","White Oak|","")&amp;IF(M154&lt;&gt;"","Red Oak|","")&amp;IF(N154&lt;&gt;"","Hard Maple|","")&amp;IF(O154&lt;&gt;"","Black Walnut|","")&amp;IF(P154&lt;&gt;"","Douglas Fir|","")&amp;IF(Q154&lt;&gt;"","Western Red Cedar|","")&amp;IF(R154&lt;&gt;"","PVC|","")&amp;IF(S154&lt;&gt;"","Flex|","")&amp;IF(T154&lt;&gt;"","Steel|","")&amp;IF(U154&lt;&gt;"","Plastic|","")&amp;IF(V154&lt;&gt;"",V154&amp;"|","")</f>
        <v/>
      </c>
    </row>
    <row r="155" customFormat="false" ht="16.5" hidden="false" customHeight="true" outlineLevel="0" collapsed="false">
      <c r="A155" s="34" t="s">
        <v>570</v>
      </c>
      <c r="B155" s="35" t="s">
        <v>571</v>
      </c>
      <c r="C155" s="34" t="s">
        <v>563</v>
      </c>
      <c r="D155" s="34" t="s">
        <v>572</v>
      </c>
      <c r="E155" s="34" t="s">
        <v>141</v>
      </c>
      <c r="F155" s="36" t="str">
        <f aca="false">IF(LEN(AA155)=0,"",LEFT(AA155,LEN(AA155)-1))</f>
        <v/>
      </c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8"/>
      <c r="T155" s="37"/>
      <c r="U155" s="37"/>
      <c r="V155" s="39"/>
      <c r="W155" s="39"/>
      <c r="X155" s="40"/>
      <c r="Y155" s="41"/>
      <c r="Z155" s="42"/>
      <c r="AA155" s="43" t="str">
        <f aca="false">IF(G155&lt;&gt;"","Poplar|","")&amp;IF(H155&lt;&gt;"","FJ Primed Poplar|","")&amp;IF(I155&lt;&gt;"","FJ Primed Pine|","")&amp;IF(J155&lt;&gt;"","Clear Pine|","")&amp;IF(K155&lt;&gt;"","Primed MDF|","")&amp;IF(L155&lt;&gt;"","White Oak|","")&amp;IF(M155&lt;&gt;"","Red Oak|","")&amp;IF(N155&lt;&gt;"","Hard Maple|","")&amp;IF(O155&lt;&gt;"","Black Walnut|","")&amp;IF(P155&lt;&gt;"","Douglas Fir|","")&amp;IF(Q155&lt;&gt;"","Western Red Cedar|","")&amp;IF(R155&lt;&gt;"","PVC|","")&amp;IF(S155&lt;&gt;"","Flex|","")&amp;IF(T155&lt;&gt;"","Steel|","")&amp;IF(U155&lt;&gt;"","Plastic|","")&amp;IF(V155&lt;&gt;"",V155&amp;"|","")</f>
        <v/>
      </c>
    </row>
    <row r="156" customFormat="false" ht="16.5" hidden="false" customHeight="true" outlineLevel="0" collapsed="false">
      <c r="A156" s="44" t="s">
        <v>573</v>
      </c>
      <c r="B156" s="45" t="s">
        <v>574</v>
      </c>
      <c r="C156" s="44" t="s">
        <v>575</v>
      </c>
      <c r="D156" s="44"/>
      <c r="E156" s="44" t="s">
        <v>141</v>
      </c>
      <c r="F156" s="36" t="str">
        <f aca="false">IF(LEN(AA156)=0,"",LEFT(AA156,LEN(AA156)-1))</f>
        <v/>
      </c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8"/>
      <c r="T156" s="37"/>
      <c r="U156" s="37"/>
      <c r="V156" s="46"/>
      <c r="W156" s="46"/>
      <c r="X156" s="40"/>
      <c r="Y156" s="41"/>
      <c r="Z156" s="42"/>
      <c r="AA156" s="43" t="str">
        <f aca="false">IF(G156&lt;&gt;"","Poplar|","")&amp;IF(H156&lt;&gt;"","FJ Primed Poplar|","")&amp;IF(I156&lt;&gt;"","FJ Primed Pine|","")&amp;IF(J156&lt;&gt;"","Clear Pine|","")&amp;IF(K156&lt;&gt;"","Primed MDF|","")&amp;IF(L156&lt;&gt;"","White Oak|","")&amp;IF(M156&lt;&gt;"","Red Oak|","")&amp;IF(N156&lt;&gt;"","Hard Maple|","")&amp;IF(O156&lt;&gt;"","Black Walnut|","")&amp;IF(P156&lt;&gt;"","Douglas Fir|","")&amp;IF(Q156&lt;&gt;"","Western Red Cedar|","")&amp;IF(R156&lt;&gt;"","PVC|","")&amp;IF(S156&lt;&gt;"","Flex|","")&amp;IF(T156&lt;&gt;"","Steel|","")&amp;IF(U156&lt;&gt;"","Plastic|","")&amp;IF(V156&lt;&gt;"",V156&amp;"|","")</f>
        <v/>
      </c>
    </row>
    <row r="157" customFormat="false" ht="16.5" hidden="false" customHeight="true" outlineLevel="0" collapsed="false">
      <c r="A157" s="34" t="s">
        <v>576</v>
      </c>
      <c r="B157" s="35" t="s">
        <v>577</v>
      </c>
      <c r="C157" s="34" t="s">
        <v>578</v>
      </c>
      <c r="D157" s="34" t="s">
        <v>579</v>
      </c>
      <c r="E157" s="34" t="s">
        <v>141</v>
      </c>
      <c r="F157" s="36" t="str">
        <f aca="false">IF(LEN(AA157)=0,"",LEFT(AA157,LEN(AA157)-1))</f>
        <v/>
      </c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8"/>
      <c r="T157" s="37"/>
      <c r="U157" s="37"/>
      <c r="V157" s="39"/>
      <c r="W157" s="39"/>
      <c r="X157" s="40"/>
      <c r="Y157" s="41"/>
      <c r="Z157" s="42"/>
      <c r="AA157" s="43" t="str">
        <f aca="false">IF(G157&lt;&gt;"","Poplar|","")&amp;IF(H157&lt;&gt;"","FJ Primed Poplar|","")&amp;IF(I157&lt;&gt;"","FJ Primed Pine|","")&amp;IF(J157&lt;&gt;"","Clear Pine|","")&amp;IF(K157&lt;&gt;"","Primed MDF|","")&amp;IF(L157&lt;&gt;"","White Oak|","")&amp;IF(M157&lt;&gt;"","Red Oak|","")&amp;IF(N157&lt;&gt;"","Hard Maple|","")&amp;IF(O157&lt;&gt;"","Black Walnut|","")&amp;IF(P157&lt;&gt;"","Douglas Fir|","")&amp;IF(Q157&lt;&gt;"","Western Red Cedar|","")&amp;IF(R157&lt;&gt;"","PVC|","")&amp;IF(S157&lt;&gt;"","Flex|","")&amp;IF(T157&lt;&gt;"","Steel|","")&amp;IF(U157&lt;&gt;"","Plastic|","")&amp;IF(V157&lt;&gt;"",V157&amp;"|","")</f>
        <v/>
      </c>
    </row>
    <row r="158" customFormat="false" ht="16.5" hidden="false" customHeight="true" outlineLevel="0" collapsed="false">
      <c r="A158" s="47" t="s">
        <v>580</v>
      </c>
      <c r="B158" s="48" t="s">
        <v>581</v>
      </c>
      <c r="C158" s="47" t="s">
        <v>578</v>
      </c>
      <c r="D158" s="47" t="s">
        <v>582</v>
      </c>
      <c r="E158" s="47" t="s">
        <v>141</v>
      </c>
      <c r="F158" s="49" t="str">
        <f aca="false">IF(LEN(AA158)=0,"",LEFT(AA158,LEN(AA158)-1))</f>
        <v/>
      </c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1"/>
      <c r="T158" s="50"/>
      <c r="U158" s="50"/>
      <c r="V158" s="52"/>
      <c r="W158" s="52"/>
      <c r="X158" s="40"/>
      <c r="Y158" s="41"/>
      <c r="Z158" s="42"/>
      <c r="AA158" s="43" t="str">
        <f aca="false">IF(G158&lt;&gt;"","Poplar|","")&amp;IF(H158&lt;&gt;"","FJ Primed Poplar|","")&amp;IF(I158&lt;&gt;"","FJ Primed Pine|","")&amp;IF(J158&lt;&gt;"","Clear Pine|","")&amp;IF(K158&lt;&gt;"","Primed MDF|","")&amp;IF(L158&lt;&gt;"","White Oak|","")&amp;IF(M158&lt;&gt;"","Red Oak|","")&amp;IF(N158&lt;&gt;"","Hard Maple|","")&amp;IF(O158&lt;&gt;"","Black Walnut|","")&amp;IF(P158&lt;&gt;"","Douglas Fir|","")&amp;IF(Q158&lt;&gt;"","Western Red Cedar|","")&amp;IF(R158&lt;&gt;"","PVC|","")&amp;IF(S158&lt;&gt;"","Flex|","")&amp;IF(T158&lt;&gt;"","Steel|","")&amp;IF(U158&lt;&gt;"","Plastic|","")&amp;IF(V158&lt;&gt;"",V158&amp;"|","")</f>
        <v/>
      </c>
      <c r="AB158" s="53"/>
      <c r="AC158" s="53"/>
    </row>
    <row r="159" customFormat="false" ht="16.5" hidden="false" customHeight="true" outlineLevel="0" collapsed="false">
      <c r="A159" s="34" t="s">
        <v>583</v>
      </c>
      <c r="B159" s="35" t="s">
        <v>584</v>
      </c>
      <c r="C159" s="34" t="s">
        <v>578</v>
      </c>
      <c r="D159" s="34" t="s">
        <v>585</v>
      </c>
      <c r="E159" s="34" t="s">
        <v>141</v>
      </c>
      <c r="F159" s="36" t="str">
        <f aca="false">IF(LEN(AA159)=0,"",LEFT(AA159,LEN(AA159)-1))</f>
        <v/>
      </c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8"/>
      <c r="T159" s="37"/>
      <c r="U159" s="37"/>
      <c r="V159" s="39"/>
      <c r="W159" s="39"/>
      <c r="X159" s="40"/>
      <c r="Y159" s="41"/>
      <c r="Z159" s="42"/>
      <c r="AA159" s="43" t="str">
        <f aca="false">IF(G159&lt;&gt;"","Poplar|","")&amp;IF(H159&lt;&gt;"","FJ Primed Poplar|","")&amp;IF(I159&lt;&gt;"","FJ Primed Pine|","")&amp;IF(J159&lt;&gt;"","Clear Pine|","")&amp;IF(K159&lt;&gt;"","Primed MDF|","")&amp;IF(L159&lt;&gt;"","White Oak|","")&amp;IF(M159&lt;&gt;"","Red Oak|","")&amp;IF(N159&lt;&gt;"","Hard Maple|","")&amp;IF(O159&lt;&gt;"","Black Walnut|","")&amp;IF(P159&lt;&gt;"","Douglas Fir|","")&amp;IF(Q159&lt;&gt;"","Western Red Cedar|","")&amp;IF(R159&lt;&gt;"","PVC|","")&amp;IF(S159&lt;&gt;"","Flex|","")&amp;IF(T159&lt;&gt;"","Steel|","")&amp;IF(U159&lt;&gt;"","Plastic|","")&amp;IF(V159&lt;&gt;"",V159&amp;"|","")</f>
        <v/>
      </c>
    </row>
    <row r="160" customFormat="false" ht="16.5" hidden="false" customHeight="true" outlineLevel="0" collapsed="false">
      <c r="A160" s="34" t="s">
        <v>586</v>
      </c>
      <c r="B160" s="35" t="s">
        <v>587</v>
      </c>
      <c r="C160" s="34" t="s">
        <v>578</v>
      </c>
      <c r="D160" s="34" t="s">
        <v>588</v>
      </c>
      <c r="E160" s="34" t="s">
        <v>141</v>
      </c>
      <c r="F160" s="36" t="str">
        <f aca="false">IF(LEN(AA160)=0,"",LEFT(AA160,LEN(AA160)-1))</f>
        <v/>
      </c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8"/>
      <c r="T160" s="37"/>
      <c r="U160" s="37"/>
      <c r="V160" s="39"/>
      <c r="W160" s="39"/>
      <c r="X160" s="40"/>
      <c r="Y160" s="41"/>
      <c r="Z160" s="42"/>
      <c r="AA160" s="43" t="str">
        <f aca="false">IF(G160&lt;&gt;"","Poplar|","")&amp;IF(H160&lt;&gt;"","FJ Primed Poplar|","")&amp;IF(I160&lt;&gt;"","FJ Primed Pine|","")&amp;IF(J160&lt;&gt;"","Clear Pine|","")&amp;IF(K160&lt;&gt;"","Primed MDF|","")&amp;IF(L160&lt;&gt;"","White Oak|","")&amp;IF(M160&lt;&gt;"","Red Oak|","")&amp;IF(N160&lt;&gt;"","Hard Maple|","")&amp;IF(O160&lt;&gt;"","Black Walnut|","")&amp;IF(P160&lt;&gt;"","Douglas Fir|","")&amp;IF(Q160&lt;&gt;"","Western Red Cedar|","")&amp;IF(R160&lt;&gt;"","PVC|","")&amp;IF(S160&lt;&gt;"","Flex|","")&amp;IF(T160&lt;&gt;"","Steel|","")&amp;IF(U160&lt;&gt;"","Plastic|","")&amp;IF(V160&lt;&gt;"",V160&amp;"|","")</f>
        <v/>
      </c>
    </row>
    <row r="161" customFormat="false" ht="16.5" hidden="false" customHeight="true" outlineLevel="0" collapsed="false">
      <c r="A161" s="34" t="s">
        <v>589</v>
      </c>
      <c r="B161" s="35" t="s">
        <v>590</v>
      </c>
      <c r="C161" s="34" t="s">
        <v>578</v>
      </c>
      <c r="D161" s="34" t="s">
        <v>582</v>
      </c>
      <c r="E161" s="34" t="s">
        <v>141</v>
      </c>
      <c r="F161" s="36" t="str">
        <f aca="false">IF(LEN(AA161)=0,"",LEFT(AA161,LEN(AA161)-1))</f>
        <v/>
      </c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8"/>
      <c r="T161" s="37"/>
      <c r="U161" s="37"/>
      <c r="V161" s="39"/>
      <c r="W161" s="39"/>
      <c r="X161" s="40"/>
      <c r="Y161" s="41"/>
      <c r="Z161" s="42"/>
      <c r="AA161" s="43" t="str">
        <f aca="false">IF(G161&lt;&gt;"","Poplar|","")&amp;IF(H161&lt;&gt;"","FJ Primed Poplar|","")&amp;IF(I161&lt;&gt;"","FJ Primed Pine|","")&amp;IF(J161&lt;&gt;"","Clear Pine|","")&amp;IF(K161&lt;&gt;"","Primed MDF|","")&amp;IF(L161&lt;&gt;"","White Oak|","")&amp;IF(M161&lt;&gt;"","Red Oak|","")&amp;IF(N161&lt;&gt;"","Hard Maple|","")&amp;IF(O161&lt;&gt;"","Black Walnut|","")&amp;IF(P161&lt;&gt;"","Douglas Fir|","")&amp;IF(Q161&lt;&gt;"","Western Red Cedar|","")&amp;IF(R161&lt;&gt;"","PVC|","")&amp;IF(S161&lt;&gt;"","Flex|","")&amp;IF(T161&lt;&gt;"","Steel|","")&amp;IF(U161&lt;&gt;"","Plastic|","")&amp;IF(V161&lt;&gt;"",V161&amp;"|","")</f>
        <v/>
      </c>
    </row>
    <row r="162" customFormat="false" ht="16.5" hidden="false" customHeight="true" outlineLevel="0" collapsed="false">
      <c r="A162" s="34" t="s">
        <v>591</v>
      </c>
      <c r="B162" s="35" t="s">
        <v>592</v>
      </c>
      <c r="C162" s="34" t="s">
        <v>578</v>
      </c>
      <c r="D162" s="34" t="s">
        <v>593</v>
      </c>
      <c r="E162" s="34" t="s">
        <v>141</v>
      </c>
      <c r="F162" s="36" t="str">
        <f aca="false">IF(LEN(AA162)=0,"",LEFT(AA162,LEN(AA162)-1))</f>
        <v/>
      </c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8"/>
      <c r="T162" s="37"/>
      <c r="U162" s="37"/>
      <c r="V162" s="39"/>
      <c r="W162" s="39"/>
      <c r="X162" s="40"/>
      <c r="Y162" s="41"/>
      <c r="Z162" s="42"/>
      <c r="AA162" s="43" t="str">
        <f aca="false">IF(G162&lt;&gt;"","Poplar|","")&amp;IF(H162&lt;&gt;"","FJ Primed Poplar|","")&amp;IF(I162&lt;&gt;"","FJ Primed Pine|","")&amp;IF(J162&lt;&gt;"","Clear Pine|","")&amp;IF(K162&lt;&gt;"","Primed MDF|","")&amp;IF(L162&lt;&gt;"","White Oak|","")&amp;IF(M162&lt;&gt;"","Red Oak|","")&amp;IF(N162&lt;&gt;"","Hard Maple|","")&amp;IF(O162&lt;&gt;"","Black Walnut|","")&amp;IF(P162&lt;&gt;"","Douglas Fir|","")&amp;IF(Q162&lt;&gt;"","Western Red Cedar|","")&amp;IF(R162&lt;&gt;"","PVC|","")&amp;IF(S162&lt;&gt;"","Flex|","")&amp;IF(T162&lt;&gt;"","Steel|","")&amp;IF(U162&lt;&gt;"","Plastic|","")&amp;IF(V162&lt;&gt;"",V162&amp;"|","")</f>
        <v/>
      </c>
    </row>
    <row r="163" customFormat="false" ht="16.5" hidden="false" customHeight="true" outlineLevel="0" collapsed="false">
      <c r="A163" s="34" t="s">
        <v>594</v>
      </c>
      <c r="B163" s="35" t="s">
        <v>595</v>
      </c>
      <c r="C163" s="34" t="s">
        <v>578</v>
      </c>
      <c r="D163" s="34" t="s">
        <v>596</v>
      </c>
      <c r="E163" s="34" t="s">
        <v>141</v>
      </c>
      <c r="F163" s="36" t="str">
        <f aca="false">IF(LEN(AA163)=0,"",LEFT(AA163,LEN(AA163)-1))</f>
        <v/>
      </c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8"/>
      <c r="T163" s="37"/>
      <c r="U163" s="37"/>
      <c r="V163" s="39"/>
      <c r="W163" s="39"/>
      <c r="X163" s="40"/>
      <c r="Y163" s="41"/>
      <c r="Z163" s="42"/>
      <c r="AA163" s="43" t="str">
        <f aca="false">IF(G163&lt;&gt;"","Poplar|","")&amp;IF(H163&lt;&gt;"","FJ Primed Poplar|","")&amp;IF(I163&lt;&gt;"","FJ Primed Pine|","")&amp;IF(J163&lt;&gt;"","Clear Pine|","")&amp;IF(K163&lt;&gt;"","Primed MDF|","")&amp;IF(L163&lt;&gt;"","White Oak|","")&amp;IF(M163&lt;&gt;"","Red Oak|","")&amp;IF(N163&lt;&gt;"","Hard Maple|","")&amp;IF(O163&lt;&gt;"","Black Walnut|","")&amp;IF(P163&lt;&gt;"","Douglas Fir|","")&amp;IF(Q163&lt;&gt;"","Western Red Cedar|","")&amp;IF(R163&lt;&gt;"","PVC|","")&amp;IF(S163&lt;&gt;"","Flex|","")&amp;IF(T163&lt;&gt;"","Steel|","")&amp;IF(U163&lt;&gt;"","Plastic|","")&amp;IF(V163&lt;&gt;"",V163&amp;"|","")</f>
        <v/>
      </c>
    </row>
    <row r="164" customFormat="false" ht="16.5" hidden="false" customHeight="true" outlineLevel="0" collapsed="false">
      <c r="A164" s="44" t="s">
        <v>597</v>
      </c>
      <c r="B164" s="45" t="s">
        <v>598</v>
      </c>
      <c r="C164" s="44" t="s">
        <v>599</v>
      </c>
      <c r="D164" s="44" t="s">
        <v>600</v>
      </c>
      <c r="E164" s="44" t="s">
        <v>141</v>
      </c>
      <c r="F164" s="36" t="str">
        <f aca="false">IF(LEN(AA164)=0,"",LEFT(AA164,LEN(AA164)-1))</f>
        <v/>
      </c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8"/>
      <c r="T164" s="37"/>
      <c r="U164" s="37"/>
      <c r="V164" s="46"/>
      <c r="W164" s="46"/>
      <c r="X164" s="40"/>
      <c r="Y164" s="41"/>
      <c r="Z164" s="42"/>
      <c r="AA164" s="43" t="str">
        <f aca="false">IF(G164&lt;&gt;"","Poplar|","")&amp;IF(H164&lt;&gt;"","FJ Primed Poplar|","")&amp;IF(I164&lt;&gt;"","FJ Primed Pine|","")&amp;IF(J164&lt;&gt;"","Clear Pine|","")&amp;IF(K164&lt;&gt;"","Primed MDF|","")&amp;IF(L164&lt;&gt;"","White Oak|","")&amp;IF(M164&lt;&gt;"","Red Oak|","")&amp;IF(N164&lt;&gt;"","Hard Maple|","")&amp;IF(O164&lt;&gt;"","Black Walnut|","")&amp;IF(P164&lt;&gt;"","Douglas Fir|","")&amp;IF(Q164&lt;&gt;"","Western Red Cedar|","")&amp;IF(R164&lt;&gt;"","PVC|","")&amp;IF(S164&lt;&gt;"","Flex|","")&amp;IF(T164&lt;&gt;"","Steel|","")&amp;IF(U164&lt;&gt;"","Plastic|","")&amp;IF(V164&lt;&gt;"",V164&amp;"|","")</f>
        <v/>
      </c>
    </row>
    <row r="165" customFormat="false" ht="16.5" hidden="false" customHeight="true" outlineLevel="0" collapsed="false">
      <c r="A165" s="44" t="s">
        <v>601</v>
      </c>
      <c r="B165" s="45" t="s">
        <v>602</v>
      </c>
      <c r="C165" s="44" t="s">
        <v>599</v>
      </c>
      <c r="D165" s="44" t="s">
        <v>603</v>
      </c>
      <c r="E165" s="44" t="s">
        <v>141</v>
      </c>
      <c r="F165" s="36" t="str">
        <f aca="false">IF(LEN(AA165)=0,"",LEFT(AA165,LEN(AA165)-1))</f>
        <v/>
      </c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8"/>
      <c r="T165" s="37"/>
      <c r="U165" s="37"/>
      <c r="V165" s="46"/>
      <c r="W165" s="46"/>
      <c r="X165" s="40"/>
      <c r="Y165" s="41"/>
      <c r="Z165" s="42"/>
      <c r="AA165" s="43" t="str">
        <f aca="false">IF(G165&lt;&gt;"","Poplar|","")&amp;IF(H165&lt;&gt;"","FJ Primed Poplar|","")&amp;IF(I165&lt;&gt;"","FJ Primed Pine|","")&amp;IF(J165&lt;&gt;"","Clear Pine|","")&amp;IF(K165&lt;&gt;"","Primed MDF|","")&amp;IF(L165&lt;&gt;"","White Oak|","")&amp;IF(M165&lt;&gt;"","Red Oak|","")&amp;IF(N165&lt;&gt;"","Hard Maple|","")&amp;IF(O165&lt;&gt;"","Black Walnut|","")&amp;IF(P165&lt;&gt;"","Douglas Fir|","")&amp;IF(Q165&lt;&gt;"","Western Red Cedar|","")&amp;IF(R165&lt;&gt;"","PVC|","")&amp;IF(S165&lt;&gt;"","Flex|","")&amp;IF(T165&lt;&gt;"","Steel|","")&amp;IF(U165&lt;&gt;"","Plastic|","")&amp;IF(V165&lt;&gt;"",V165&amp;"|","")</f>
        <v/>
      </c>
    </row>
    <row r="166" customFormat="false" ht="16.5" hidden="false" customHeight="true" outlineLevel="0" collapsed="false">
      <c r="A166" s="44" t="s">
        <v>604</v>
      </c>
      <c r="B166" s="45" t="s">
        <v>605</v>
      </c>
      <c r="C166" s="44" t="s">
        <v>599</v>
      </c>
      <c r="D166" s="44" t="s">
        <v>606</v>
      </c>
      <c r="E166" s="44" t="s">
        <v>141</v>
      </c>
      <c r="F166" s="36" t="str">
        <f aca="false">IF(LEN(AA166)=0,"",LEFT(AA166,LEN(AA166)-1))</f>
        <v/>
      </c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8"/>
      <c r="T166" s="37"/>
      <c r="U166" s="37"/>
      <c r="V166" s="46"/>
      <c r="W166" s="46"/>
      <c r="X166" s="40"/>
      <c r="Y166" s="41"/>
      <c r="Z166" s="42"/>
      <c r="AA166" s="43" t="str">
        <f aca="false">IF(G166&lt;&gt;"","Poplar|","")&amp;IF(H166&lt;&gt;"","FJ Primed Poplar|","")&amp;IF(I166&lt;&gt;"","FJ Primed Pine|","")&amp;IF(J166&lt;&gt;"","Clear Pine|","")&amp;IF(K166&lt;&gt;"","Primed MDF|","")&amp;IF(L166&lt;&gt;"","White Oak|","")&amp;IF(M166&lt;&gt;"","Red Oak|","")&amp;IF(N166&lt;&gt;"","Hard Maple|","")&amp;IF(O166&lt;&gt;"","Black Walnut|","")&amp;IF(P166&lt;&gt;"","Douglas Fir|","")&amp;IF(Q166&lt;&gt;"","Western Red Cedar|","")&amp;IF(R166&lt;&gt;"","PVC|","")&amp;IF(S166&lt;&gt;"","Flex|","")&amp;IF(T166&lt;&gt;"","Steel|","")&amp;IF(U166&lt;&gt;"","Plastic|","")&amp;IF(V166&lt;&gt;"",V166&amp;"|","")</f>
        <v/>
      </c>
    </row>
    <row r="167" customFormat="false" ht="16.5" hidden="false" customHeight="true" outlineLevel="0" collapsed="false">
      <c r="A167" s="44" t="s">
        <v>607</v>
      </c>
      <c r="B167" s="45" t="s">
        <v>608</v>
      </c>
      <c r="C167" s="44" t="s">
        <v>599</v>
      </c>
      <c r="D167" s="44" t="s">
        <v>609</v>
      </c>
      <c r="E167" s="44" t="s">
        <v>141</v>
      </c>
      <c r="F167" s="36" t="str">
        <f aca="false">IF(LEN(AA167)=0,"",LEFT(AA167,LEN(AA167)-1))</f>
        <v/>
      </c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8"/>
      <c r="T167" s="37"/>
      <c r="U167" s="37"/>
      <c r="V167" s="46"/>
      <c r="W167" s="46"/>
      <c r="X167" s="40"/>
      <c r="Y167" s="41"/>
      <c r="Z167" s="42"/>
      <c r="AA167" s="43" t="str">
        <f aca="false">IF(G167&lt;&gt;"","Poplar|","")&amp;IF(H167&lt;&gt;"","FJ Primed Poplar|","")&amp;IF(I167&lt;&gt;"","FJ Primed Pine|","")&amp;IF(J167&lt;&gt;"","Clear Pine|","")&amp;IF(K167&lt;&gt;"","Primed MDF|","")&amp;IF(L167&lt;&gt;"","White Oak|","")&amp;IF(M167&lt;&gt;"","Red Oak|","")&amp;IF(N167&lt;&gt;"","Hard Maple|","")&amp;IF(O167&lt;&gt;"","Black Walnut|","")&amp;IF(P167&lt;&gt;"","Douglas Fir|","")&amp;IF(Q167&lt;&gt;"","Western Red Cedar|","")&amp;IF(R167&lt;&gt;"","PVC|","")&amp;IF(S167&lt;&gt;"","Flex|","")&amp;IF(T167&lt;&gt;"","Steel|","")&amp;IF(U167&lt;&gt;"","Plastic|","")&amp;IF(V167&lt;&gt;"",V167&amp;"|","")</f>
        <v/>
      </c>
    </row>
    <row r="168" customFormat="false" ht="16.5" hidden="false" customHeight="true" outlineLevel="0" collapsed="false">
      <c r="A168" s="44" t="s">
        <v>610</v>
      </c>
      <c r="B168" s="45" t="s">
        <v>611</v>
      </c>
      <c r="C168" s="44" t="s">
        <v>599</v>
      </c>
      <c r="D168" s="44" t="s">
        <v>612</v>
      </c>
      <c r="E168" s="44" t="s">
        <v>141</v>
      </c>
      <c r="F168" s="36" t="str">
        <f aca="false">IF(LEN(AA168)=0,"",LEFT(AA168,LEN(AA168)-1))</f>
        <v/>
      </c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8"/>
      <c r="T168" s="37"/>
      <c r="U168" s="37"/>
      <c r="V168" s="46"/>
      <c r="W168" s="46"/>
      <c r="X168" s="40"/>
      <c r="Y168" s="41"/>
      <c r="Z168" s="42"/>
      <c r="AA168" s="43" t="str">
        <f aca="false">IF(G168&lt;&gt;"","Poplar|","")&amp;IF(H168&lt;&gt;"","FJ Primed Poplar|","")&amp;IF(I168&lt;&gt;"","FJ Primed Pine|","")&amp;IF(J168&lt;&gt;"","Clear Pine|","")&amp;IF(K168&lt;&gt;"","Primed MDF|","")&amp;IF(L168&lt;&gt;"","White Oak|","")&amp;IF(M168&lt;&gt;"","Red Oak|","")&amp;IF(N168&lt;&gt;"","Hard Maple|","")&amp;IF(O168&lt;&gt;"","Black Walnut|","")&amp;IF(P168&lt;&gt;"","Douglas Fir|","")&amp;IF(Q168&lt;&gt;"","Western Red Cedar|","")&amp;IF(R168&lt;&gt;"","PVC|","")&amp;IF(S168&lt;&gt;"","Flex|","")&amp;IF(T168&lt;&gt;"","Steel|","")&amp;IF(U168&lt;&gt;"","Plastic|","")&amp;IF(V168&lt;&gt;"",V168&amp;"|","")</f>
        <v/>
      </c>
    </row>
    <row r="169" customFormat="false" ht="16.5" hidden="false" customHeight="true" outlineLevel="0" collapsed="false">
      <c r="A169" s="44" t="s">
        <v>613</v>
      </c>
      <c r="B169" s="45" t="s">
        <v>614</v>
      </c>
      <c r="C169" s="44" t="s">
        <v>599</v>
      </c>
      <c r="D169" s="44" t="s">
        <v>615</v>
      </c>
      <c r="E169" s="44" t="s">
        <v>141</v>
      </c>
      <c r="F169" s="36" t="str">
        <f aca="false">IF(LEN(AA169)=0,"",LEFT(AA169,LEN(AA169)-1))</f>
        <v/>
      </c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8"/>
      <c r="T169" s="37"/>
      <c r="U169" s="37"/>
      <c r="V169" s="46"/>
      <c r="W169" s="46"/>
      <c r="X169" s="40"/>
      <c r="Y169" s="41"/>
      <c r="Z169" s="42"/>
      <c r="AA169" s="43" t="str">
        <f aca="false">IF(G169&lt;&gt;"","Poplar|","")&amp;IF(H169&lt;&gt;"","FJ Primed Poplar|","")&amp;IF(I169&lt;&gt;"","FJ Primed Pine|","")&amp;IF(J169&lt;&gt;"","Clear Pine|","")&amp;IF(K169&lt;&gt;"","Primed MDF|","")&amp;IF(L169&lt;&gt;"","White Oak|","")&amp;IF(M169&lt;&gt;"","Red Oak|","")&amp;IF(N169&lt;&gt;"","Hard Maple|","")&amp;IF(O169&lt;&gt;"","Black Walnut|","")&amp;IF(P169&lt;&gt;"","Douglas Fir|","")&amp;IF(Q169&lt;&gt;"","Western Red Cedar|","")&amp;IF(R169&lt;&gt;"","PVC|","")&amp;IF(S169&lt;&gt;"","Flex|","")&amp;IF(T169&lt;&gt;"","Steel|","")&amp;IF(U169&lt;&gt;"","Plastic|","")&amp;IF(V169&lt;&gt;"",V169&amp;"|","")</f>
        <v/>
      </c>
    </row>
    <row r="170" customFormat="false" ht="16.5" hidden="false" customHeight="true" outlineLevel="0" collapsed="false">
      <c r="A170" s="44" t="s">
        <v>616</v>
      </c>
      <c r="B170" s="45" t="s">
        <v>617</v>
      </c>
      <c r="C170" s="44" t="s">
        <v>599</v>
      </c>
      <c r="D170" s="44" t="s">
        <v>618</v>
      </c>
      <c r="E170" s="44" t="s">
        <v>141</v>
      </c>
      <c r="F170" s="36" t="str">
        <f aca="false">IF(LEN(AA170)=0,"",LEFT(AA170,LEN(AA170)-1))</f>
        <v/>
      </c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8"/>
      <c r="T170" s="37"/>
      <c r="U170" s="37"/>
      <c r="V170" s="46"/>
      <c r="W170" s="46"/>
      <c r="X170" s="40"/>
      <c r="Y170" s="41"/>
      <c r="Z170" s="42"/>
      <c r="AA170" s="43" t="str">
        <f aca="false">IF(G170&lt;&gt;"","Poplar|","")&amp;IF(H170&lt;&gt;"","FJ Primed Poplar|","")&amp;IF(I170&lt;&gt;"","FJ Primed Pine|","")&amp;IF(J170&lt;&gt;"","Clear Pine|","")&amp;IF(K170&lt;&gt;"","Primed MDF|","")&amp;IF(L170&lt;&gt;"","White Oak|","")&amp;IF(M170&lt;&gt;"","Red Oak|","")&amp;IF(N170&lt;&gt;"","Hard Maple|","")&amp;IF(O170&lt;&gt;"","Black Walnut|","")&amp;IF(P170&lt;&gt;"","Douglas Fir|","")&amp;IF(Q170&lt;&gt;"","Western Red Cedar|","")&amp;IF(R170&lt;&gt;"","PVC|","")&amp;IF(S170&lt;&gt;"","Flex|","")&amp;IF(T170&lt;&gt;"","Steel|","")&amp;IF(U170&lt;&gt;"","Plastic|","")&amp;IF(V170&lt;&gt;"",V170&amp;"|","")</f>
        <v/>
      </c>
    </row>
    <row r="171" customFormat="false" ht="16.5" hidden="false" customHeight="true" outlineLevel="0" collapsed="false">
      <c r="A171" s="44" t="s">
        <v>619</v>
      </c>
      <c r="B171" s="45" t="s">
        <v>620</v>
      </c>
      <c r="C171" s="44" t="s">
        <v>599</v>
      </c>
      <c r="D171" s="44" t="s">
        <v>618</v>
      </c>
      <c r="E171" s="44" t="s">
        <v>141</v>
      </c>
      <c r="F171" s="36" t="str">
        <f aca="false">IF(LEN(AA171)=0,"",LEFT(AA171,LEN(AA171)-1))</f>
        <v/>
      </c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8"/>
      <c r="T171" s="37"/>
      <c r="U171" s="37"/>
      <c r="V171" s="46"/>
      <c r="W171" s="46"/>
      <c r="X171" s="40"/>
      <c r="Y171" s="41"/>
      <c r="Z171" s="42"/>
      <c r="AA171" s="43" t="str">
        <f aca="false">IF(G171&lt;&gt;"","Poplar|","")&amp;IF(H171&lt;&gt;"","FJ Primed Poplar|","")&amp;IF(I171&lt;&gt;"","FJ Primed Pine|","")&amp;IF(J171&lt;&gt;"","Clear Pine|","")&amp;IF(K171&lt;&gt;"","Primed MDF|","")&amp;IF(L171&lt;&gt;"","White Oak|","")&amp;IF(M171&lt;&gt;"","Red Oak|","")&amp;IF(N171&lt;&gt;"","Hard Maple|","")&amp;IF(O171&lt;&gt;"","Black Walnut|","")&amp;IF(P171&lt;&gt;"","Douglas Fir|","")&amp;IF(Q171&lt;&gt;"","Western Red Cedar|","")&amp;IF(R171&lt;&gt;"","PVC|","")&amp;IF(S171&lt;&gt;"","Flex|","")&amp;IF(T171&lt;&gt;"","Steel|","")&amp;IF(U171&lt;&gt;"","Plastic|","")&amp;IF(V171&lt;&gt;"",V171&amp;"|","")</f>
        <v/>
      </c>
    </row>
    <row r="172" customFormat="false" ht="16.5" hidden="false" customHeight="true" outlineLevel="0" collapsed="false">
      <c r="A172" s="44" t="s">
        <v>621</v>
      </c>
      <c r="B172" s="45" t="s">
        <v>622</v>
      </c>
      <c r="C172" s="44" t="s">
        <v>599</v>
      </c>
      <c r="D172" s="44" t="s">
        <v>618</v>
      </c>
      <c r="E172" s="44" t="s">
        <v>141</v>
      </c>
      <c r="F172" s="36" t="str">
        <f aca="false">IF(LEN(AA172)=0,"",LEFT(AA172,LEN(AA172)-1))</f>
        <v/>
      </c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8"/>
      <c r="T172" s="37"/>
      <c r="U172" s="37"/>
      <c r="V172" s="46"/>
      <c r="W172" s="46"/>
      <c r="X172" s="40"/>
      <c r="Y172" s="41"/>
      <c r="Z172" s="42"/>
      <c r="AA172" s="43" t="str">
        <f aca="false">IF(G172&lt;&gt;"","Poplar|","")&amp;IF(H172&lt;&gt;"","FJ Primed Poplar|","")&amp;IF(I172&lt;&gt;"","FJ Primed Pine|","")&amp;IF(J172&lt;&gt;"","Clear Pine|","")&amp;IF(K172&lt;&gt;"","Primed MDF|","")&amp;IF(L172&lt;&gt;"","White Oak|","")&amp;IF(M172&lt;&gt;"","Red Oak|","")&amp;IF(N172&lt;&gt;"","Hard Maple|","")&amp;IF(O172&lt;&gt;"","Black Walnut|","")&amp;IF(P172&lt;&gt;"","Douglas Fir|","")&amp;IF(Q172&lt;&gt;"","Western Red Cedar|","")&amp;IF(R172&lt;&gt;"","PVC|","")&amp;IF(S172&lt;&gt;"","Flex|","")&amp;IF(T172&lt;&gt;"","Steel|","")&amp;IF(U172&lt;&gt;"","Plastic|","")&amp;IF(V172&lt;&gt;"",V172&amp;"|","")</f>
        <v/>
      </c>
    </row>
    <row r="173" customFormat="false" ht="16.5" hidden="false" customHeight="true" outlineLevel="0" collapsed="false">
      <c r="A173" s="44" t="s">
        <v>623</v>
      </c>
      <c r="B173" s="45" t="s">
        <v>624</v>
      </c>
      <c r="C173" s="44" t="s">
        <v>599</v>
      </c>
      <c r="D173" s="44" t="s">
        <v>625</v>
      </c>
      <c r="E173" s="44" t="s">
        <v>141</v>
      </c>
      <c r="F173" s="36" t="str">
        <f aca="false">IF(LEN(AA173)=0,"",LEFT(AA173,LEN(AA173)-1))</f>
        <v/>
      </c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8"/>
      <c r="T173" s="37"/>
      <c r="U173" s="37"/>
      <c r="V173" s="46"/>
      <c r="W173" s="46"/>
      <c r="X173" s="40"/>
      <c r="Y173" s="41"/>
      <c r="Z173" s="42"/>
      <c r="AA173" s="43" t="str">
        <f aca="false">IF(G173&lt;&gt;"","Poplar|","")&amp;IF(H173&lt;&gt;"","FJ Primed Poplar|","")&amp;IF(I173&lt;&gt;"","FJ Primed Pine|","")&amp;IF(J173&lt;&gt;"","Clear Pine|","")&amp;IF(K173&lt;&gt;"","Primed MDF|","")&amp;IF(L173&lt;&gt;"","White Oak|","")&amp;IF(M173&lt;&gt;"","Red Oak|","")&amp;IF(N173&lt;&gt;"","Hard Maple|","")&amp;IF(O173&lt;&gt;"","Black Walnut|","")&amp;IF(P173&lt;&gt;"","Douglas Fir|","")&amp;IF(Q173&lt;&gt;"","Western Red Cedar|","")&amp;IF(R173&lt;&gt;"","PVC|","")&amp;IF(S173&lt;&gt;"","Flex|","")&amp;IF(T173&lt;&gt;"","Steel|","")&amp;IF(U173&lt;&gt;"","Plastic|","")&amp;IF(V173&lt;&gt;"",V173&amp;"|","")</f>
        <v/>
      </c>
    </row>
    <row r="174" customFormat="false" ht="16.5" hidden="false" customHeight="true" outlineLevel="0" collapsed="false">
      <c r="A174" s="44" t="s">
        <v>626</v>
      </c>
      <c r="B174" s="45" t="s">
        <v>627</v>
      </c>
      <c r="C174" s="44" t="s">
        <v>599</v>
      </c>
      <c r="D174" s="44" t="s">
        <v>628</v>
      </c>
      <c r="E174" s="44" t="s">
        <v>141</v>
      </c>
      <c r="F174" s="36" t="str">
        <f aca="false">IF(LEN(AA174)=0,"",LEFT(AA174,LEN(AA174)-1))</f>
        <v/>
      </c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8"/>
      <c r="T174" s="37"/>
      <c r="U174" s="37"/>
      <c r="V174" s="46"/>
      <c r="W174" s="46"/>
      <c r="X174" s="40"/>
      <c r="Y174" s="41"/>
      <c r="Z174" s="42"/>
      <c r="AA174" s="43" t="str">
        <f aca="false">IF(G174&lt;&gt;"","Poplar|","")&amp;IF(H174&lt;&gt;"","FJ Primed Poplar|","")&amp;IF(I174&lt;&gt;"","FJ Primed Pine|","")&amp;IF(J174&lt;&gt;"","Clear Pine|","")&amp;IF(K174&lt;&gt;"","Primed MDF|","")&amp;IF(L174&lt;&gt;"","White Oak|","")&amp;IF(M174&lt;&gt;"","Red Oak|","")&amp;IF(N174&lt;&gt;"","Hard Maple|","")&amp;IF(O174&lt;&gt;"","Black Walnut|","")&amp;IF(P174&lt;&gt;"","Douglas Fir|","")&amp;IF(Q174&lt;&gt;"","Western Red Cedar|","")&amp;IF(R174&lt;&gt;"","PVC|","")&amp;IF(S174&lt;&gt;"","Flex|","")&amp;IF(T174&lt;&gt;"","Steel|","")&amp;IF(U174&lt;&gt;"","Plastic|","")&amp;IF(V174&lt;&gt;"",V174&amp;"|","")</f>
        <v/>
      </c>
    </row>
    <row r="175" customFormat="false" ht="16.5" hidden="false" customHeight="true" outlineLevel="0" collapsed="false">
      <c r="A175" s="44" t="s">
        <v>629</v>
      </c>
      <c r="B175" s="45" t="s">
        <v>630</v>
      </c>
      <c r="C175" s="44" t="s">
        <v>599</v>
      </c>
      <c r="D175" s="44" t="s">
        <v>631</v>
      </c>
      <c r="E175" s="44" t="s">
        <v>141</v>
      </c>
      <c r="F175" s="36" t="str">
        <f aca="false">IF(LEN(AA175)=0,"",LEFT(AA175,LEN(AA175)-1))</f>
        <v/>
      </c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8"/>
      <c r="T175" s="37"/>
      <c r="U175" s="37"/>
      <c r="V175" s="46"/>
      <c r="W175" s="46"/>
      <c r="X175" s="40"/>
      <c r="Y175" s="41"/>
      <c r="Z175" s="42"/>
      <c r="AA175" s="43" t="str">
        <f aca="false">IF(G175&lt;&gt;"","Poplar|","")&amp;IF(H175&lt;&gt;"","FJ Primed Poplar|","")&amp;IF(I175&lt;&gt;"","FJ Primed Pine|","")&amp;IF(J175&lt;&gt;"","Clear Pine|","")&amp;IF(K175&lt;&gt;"","Primed MDF|","")&amp;IF(L175&lt;&gt;"","White Oak|","")&amp;IF(M175&lt;&gt;"","Red Oak|","")&amp;IF(N175&lt;&gt;"","Hard Maple|","")&amp;IF(O175&lt;&gt;"","Black Walnut|","")&amp;IF(P175&lt;&gt;"","Douglas Fir|","")&amp;IF(Q175&lt;&gt;"","Western Red Cedar|","")&amp;IF(R175&lt;&gt;"","PVC|","")&amp;IF(S175&lt;&gt;"","Flex|","")&amp;IF(T175&lt;&gt;"","Steel|","")&amp;IF(U175&lt;&gt;"","Plastic|","")&amp;IF(V175&lt;&gt;"",V175&amp;"|","")</f>
        <v/>
      </c>
    </row>
    <row r="176" customFormat="false" ht="16.5" hidden="false" customHeight="true" outlineLevel="0" collapsed="false">
      <c r="A176" s="44" t="s">
        <v>632</v>
      </c>
      <c r="B176" s="45" t="s">
        <v>633</v>
      </c>
      <c r="C176" s="44" t="s">
        <v>599</v>
      </c>
      <c r="D176" s="44" t="s">
        <v>296</v>
      </c>
      <c r="E176" s="44" t="s">
        <v>141</v>
      </c>
      <c r="F176" s="36" t="str">
        <f aca="false">IF(LEN(AA176)=0,"",LEFT(AA176,LEN(AA176)-1))</f>
        <v/>
      </c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8"/>
      <c r="T176" s="37"/>
      <c r="U176" s="37"/>
      <c r="V176" s="46"/>
      <c r="W176" s="46"/>
      <c r="X176" s="40"/>
      <c r="Y176" s="41"/>
      <c r="Z176" s="42"/>
      <c r="AA176" s="43" t="str">
        <f aca="false">IF(G176&lt;&gt;"","Poplar|","")&amp;IF(H176&lt;&gt;"","FJ Primed Poplar|","")&amp;IF(I176&lt;&gt;"","FJ Primed Pine|","")&amp;IF(J176&lt;&gt;"","Clear Pine|","")&amp;IF(K176&lt;&gt;"","Primed MDF|","")&amp;IF(L176&lt;&gt;"","White Oak|","")&amp;IF(M176&lt;&gt;"","Red Oak|","")&amp;IF(N176&lt;&gt;"","Hard Maple|","")&amp;IF(O176&lt;&gt;"","Black Walnut|","")&amp;IF(P176&lt;&gt;"","Douglas Fir|","")&amp;IF(Q176&lt;&gt;"","Western Red Cedar|","")&amp;IF(R176&lt;&gt;"","PVC|","")&amp;IF(S176&lt;&gt;"","Flex|","")&amp;IF(T176&lt;&gt;"","Steel|","")&amp;IF(U176&lt;&gt;"","Plastic|","")&amp;IF(V176&lt;&gt;"",V176&amp;"|","")</f>
        <v/>
      </c>
    </row>
    <row r="177" customFormat="false" ht="16.5" hidden="false" customHeight="true" outlineLevel="0" collapsed="false">
      <c r="A177" s="44" t="s">
        <v>634</v>
      </c>
      <c r="B177" s="45" t="s">
        <v>635</v>
      </c>
      <c r="C177" s="44" t="s">
        <v>599</v>
      </c>
      <c r="D177" s="44" t="s">
        <v>636</v>
      </c>
      <c r="E177" s="44" t="s">
        <v>417</v>
      </c>
      <c r="F177" s="36" t="str">
        <f aca="false">IF(LEN(AA177)=0,"",LEFT(AA177,LEN(AA177)-1))</f>
        <v/>
      </c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8"/>
      <c r="T177" s="37"/>
      <c r="U177" s="37"/>
      <c r="V177" s="46"/>
      <c r="W177" s="46"/>
      <c r="X177" s="40"/>
      <c r="Y177" s="41"/>
      <c r="Z177" s="42"/>
      <c r="AA177" s="43" t="str">
        <f aca="false">IF(G177&lt;&gt;"","Poplar|","")&amp;IF(H177&lt;&gt;"","FJ Primed Poplar|","")&amp;IF(I177&lt;&gt;"","FJ Primed Pine|","")&amp;IF(J177&lt;&gt;"","Clear Pine|","")&amp;IF(K177&lt;&gt;"","Primed MDF|","")&amp;IF(L177&lt;&gt;"","White Oak|","")&amp;IF(M177&lt;&gt;"","Red Oak|","")&amp;IF(N177&lt;&gt;"","Hard Maple|","")&amp;IF(O177&lt;&gt;"","Black Walnut|","")&amp;IF(P177&lt;&gt;"","Douglas Fir|","")&amp;IF(Q177&lt;&gt;"","Western Red Cedar|","")&amp;IF(R177&lt;&gt;"","PVC|","")&amp;IF(S177&lt;&gt;"","Flex|","")&amp;IF(T177&lt;&gt;"","Steel|","")&amp;IF(U177&lt;&gt;"","Plastic|","")&amp;IF(V177&lt;&gt;"",V177&amp;"|","")</f>
        <v/>
      </c>
    </row>
    <row r="178" customFormat="false" ht="16.5" hidden="false" customHeight="true" outlineLevel="0" collapsed="false">
      <c r="A178" s="34"/>
      <c r="B178" s="35" t="s">
        <v>637</v>
      </c>
      <c r="C178" s="34" t="s">
        <v>638</v>
      </c>
      <c r="D178" s="34"/>
      <c r="E178" s="34"/>
      <c r="F178" s="36" t="str">
        <f aca="false">IF(LEN(AA178)=0,"",LEFT(AA178,LEN(AA178)-1))</f>
        <v/>
      </c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8"/>
      <c r="T178" s="37"/>
      <c r="U178" s="37"/>
      <c r="V178" s="39"/>
      <c r="W178" s="39"/>
      <c r="X178" s="40"/>
      <c r="Y178" s="41"/>
      <c r="Z178" s="42"/>
      <c r="AA178" s="43" t="str">
        <f aca="false">IF(G178&lt;&gt;"","Poplar|","")&amp;IF(H178&lt;&gt;"","FJ Primed Poplar|","")&amp;IF(I178&lt;&gt;"","FJ Primed Pine|","")&amp;IF(J178&lt;&gt;"","Clear Pine|","")&amp;IF(K178&lt;&gt;"","Primed MDF|","")&amp;IF(L178&lt;&gt;"","White Oak|","")&amp;IF(M178&lt;&gt;"","Red Oak|","")&amp;IF(N178&lt;&gt;"","Hard Maple|","")&amp;IF(O178&lt;&gt;"","Black Walnut|","")&amp;IF(P178&lt;&gt;"","Douglas Fir|","")&amp;IF(Q178&lt;&gt;"","Western Red Cedar|","")&amp;IF(R178&lt;&gt;"","PVC|","")&amp;IF(S178&lt;&gt;"","Flex|","")&amp;IF(T178&lt;&gt;"","Steel|","")&amp;IF(U178&lt;&gt;"","Plastic|","")&amp;IF(V178&lt;&gt;"",V178&amp;"|","")</f>
        <v/>
      </c>
    </row>
    <row r="179" customFormat="false" ht="16.5" hidden="false" customHeight="true" outlineLevel="0" collapsed="false">
      <c r="A179" s="34" t="s">
        <v>639</v>
      </c>
      <c r="B179" s="35" t="s">
        <v>640</v>
      </c>
      <c r="C179" s="34" t="s">
        <v>638</v>
      </c>
      <c r="D179" s="34" t="s">
        <v>357</v>
      </c>
      <c r="E179" s="34" t="s">
        <v>141</v>
      </c>
      <c r="F179" s="36" t="str">
        <f aca="false">IF(LEN(AA179)=0,"",LEFT(AA179,LEN(AA179)-1))</f>
        <v/>
      </c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8"/>
      <c r="T179" s="37"/>
      <c r="U179" s="37"/>
      <c r="V179" s="39"/>
      <c r="W179" s="39"/>
      <c r="X179" s="40"/>
      <c r="Y179" s="41"/>
      <c r="Z179" s="42"/>
      <c r="AA179" s="43" t="str">
        <f aca="false">IF(G179&lt;&gt;"","Poplar|","")&amp;IF(H179&lt;&gt;"","FJ Primed Poplar|","")&amp;IF(I179&lt;&gt;"","FJ Primed Pine|","")&amp;IF(J179&lt;&gt;"","Clear Pine|","")&amp;IF(K179&lt;&gt;"","Primed MDF|","")&amp;IF(L179&lt;&gt;"","White Oak|","")&amp;IF(M179&lt;&gt;"","Red Oak|","")&amp;IF(N179&lt;&gt;"","Hard Maple|","")&amp;IF(O179&lt;&gt;"","Black Walnut|","")&amp;IF(P179&lt;&gt;"","Douglas Fir|","")&amp;IF(Q179&lt;&gt;"","Western Red Cedar|","")&amp;IF(R179&lt;&gt;"","PVC|","")&amp;IF(S179&lt;&gt;"","Flex|","")&amp;IF(T179&lt;&gt;"","Steel|","")&amp;IF(U179&lt;&gt;"","Plastic|","")&amp;IF(V179&lt;&gt;"",V179&amp;"|","")</f>
        <v/>
      </c>
    </row>
    <row r="180" customFormat="false" ht="16.5" hidden="false" customHeight="true" outlineLevel="0" collapsed="false">
      <c r="A180" s="34" t="s">
        <v>641</v>
      </c>
      <c r="B180" s="35" t="s">
        <v>642</v>
      </c>
      <c r="C180" s="34" t="s">
        <v>638</v>
      </c>
      <c r="D180" s="34" t="s">
        <v>643</v>
      </c>
      <c r="E180" s="34" t="s">
        <v>141</v>
      </c>
      <c r="F180" s="36" t="str">
        <f aca="false">IF(LEN(AA180)=0,"",LEFT(AA180,LEN(AA180)-1))</f>
        <v/>
      </c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8"/>
      <c r="T180" s="37"/>
      <c r="U180" s="37"/>
      <c r="V180" s="39"/>
      <c r="W180" s="39"/>
      <c r="X180" s="40"/>
      <c r="Y180" s="41"/>
      <c r="Z180" s="42"/>
      <c r="AA180" s="43" t="str">
        <f aca="false">IF(G180&lt;&gt;"","Poplar|","")&amp;IF(H180&lt;&gt;"","FJ Primed Poplar|","")&amp;IF(I180&lt;&gt;"","FJ Primed Pine|","")&amp;IF(J180&lt;&gt;"","Clear Pine|","")&amp;IF(K180&lt;&gt;"","Primed MDF|","")&amp;IF(L180&lt;&gt;"","White Oak|","")&amp;IF(M180&lt;&gt;"","Red Oak|","")&amp;IF(N180&lt;&gt;"","Hard Maple|","")&amp;IF(O180&lt;&gt;"","Black Walnut|","")&amp;IF(P180&lt;&gt;"","Douglas Fir|","")&amp;IF(Q180&lt;&gt;"","Western Red Cedar|","")&amp;IF(R180&lt;&gt;"","PVC|","")&amp;IF(S180&lt;&gt;"","Flex|","")&amp;IF(T180&lt;&gt;"","Steel|","")&amp;IF(U180&lt;&gt;"","Plastic|","")&amp;IF(V180&lt;&gt;"",V180&amp;"|","")</f>
        <v/>
      </c>
    </row>
    <row r="181" customFormat="false" ht="16.5" hidden="false" customHeight="true" outlineLevel="0" collapsed="false">
      <c r="A181" s="34" t="s">
        <v>644</v>
      </c>
      <c r="B181" s="35" t="s">
        <v>645</v>
      </c>
      <c r="C181" s="34" t="s">
        <v>638</v>
      </c>
      <c r="D181" s="34" t="s">
        <v>643</v>
      </c>
      <c r="E181" s="34" t="s">
        <v>141</v>
      </c>
      <c r="F181" s="36" t="str">
        <f aca="false">IF(LEN(AA181)=0,"",LEFT(AA181,LEN(AA181)-1))</f>
        <v/>
      </c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8"/>
      <c r="T181" s="37"/>
      <c r="U181" s="37"/>
      <c r="V181" s="39"/>
      <c r="W181" s="39"/>
      <c r="X181" s="40"/>
      <c r="Y181" s="41"/>
      <c r="Z181" s="42"/>
      <c r="AA181" s="43" t="str">
        <f aca="false">IF(G181&lt;&gt;"","Poplar|","")&amp;IF(H181&lt;&gt;"","FJ Primed Poplar|","")&amp;IF(I181&lt;&gt;"","FJ Primed Pine|","")&amp;IF(J181&lt;&gt;"","Clear Pine|","")&amp;IF(K181&lt;&gt;"","Primed MDF|","")&amp;IF(L181&lt;&gt;"","White Oak|","")&amp;IF(M181&lt;&gt;"","Red Oak|","")&amp;IF(N181&lt;&gt;"","Hard Maple|","")&amp;IF(O181&lt;&gt;"","Black Walnut|","")&amp;IF(P181&lt;&gt;"","Douglas Fir|","")&amp;IF(Q181&lt;&gt;"","Western Red Cedar|","")&amp;IF(R181&lt;&gt;"","PVC|","")&amp;IF(S181&lt;&gt;"","Flex|","")&amp;IF(T181&lt;&gt;"","Steel|","")&amp;IF(U181&lt;&gt;"","Plastic|","")&amp;IF(V181&lt;&gt;"",V181&amp;"|","")</f>
        <v/>
      </c>
    </row>
    <row r="182" customFormat="false" ht="16.5" hidden="false" customHeight="true" outlineLevel="0" collapsed="false">
      <c r="A182" s="34" t="s">
        <v>646</v>
      </c>
      <c r="B182" s="35" t="s">
        <v>647</v>
      </c>
      <c r="C182" s="34" t="s">
        <v>638</v>
      </c>
      <c r="D182" s="34" t="s">
        <v>648</v>
      </c>
      <c r="E182" s="34"/>
      <c r="F182" s="36" t="str">
        <f aca="false">IF(LEN(AA182)=0,"",LEFT(AA182,LEN(AA182)-1))</f>
        <v/>
      </c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8"/>
      <c r="T182" s="37"/>
      <c r="U182" s="37"/>
      <c r="V182" s="39"/>
      <c r="W182" s="39"/>
      <c r="X182" s="40"/>
      <c r="Y182" s="41"/>
      <c r="Z182" s="42"/>
      <c r="AA182" s="43" t="str">
        <f aca="false">IF(G182&lt;&gt;"","Poplar|","")&amp;IF(H182&lt;&gt;"","FJ Primed Poplar|","")&amp;IF(I182&lt;&gt;"","FJ Primed Pine|","")&amp;IF(J182&lt;&gt;"","Clear Pine|","")&amp;IF(K182&lt;&gt;"","Primed MDF|","")&amp;IF(L182&lt;&gt;"","White Oak|","")&amp;IF(M182&lt;&gt;"","Red Oak|","")&amp;IF(N182&lt;&gt;"","Hard Maple|","")&amp;IF(O182&lt;&gt;"","Black Walnut|","")&amp;IF(P182&lt;&gt;"","Douglas Fir|","")&amp;IF(Q182&lt;&gt;"","Western Red Cedar|","")&amp;IF(R182&lt;&gt;"","PVC|","")&amp;IF(S182&lt;&gt;"","Flex|","")&amp;IF(T182&lt;&gt;"","Steel|","")&amp;IF(U182&lt;&gt;"","Plastic|","")&amp;IF(V182&lt;&gt;"",V182&amp;"|","")</f>
        <v/>
      </c>
    </row>
    <row r="183" customFormat="false" ht="16.5" hidden="false" customHeight="true" outlineLevel="0" collapsed="false">
      <c r="A183" s="34" t="s">
        <v>649</v>
      </c>
      <c r="B183" s="35" t="s">
        <v>650</v>
      </c>
      <c r="C183" s="34" t="s">
        <v>638</v>
      </c>
      <c r="D183" s="34" t="s">
        <v>651</v>
      </c>
      <c r="E183" s="34" t="s">
        <v>141</v>
      </c>
      <c r="F183" s="36" t="str">
        <f aca="false">IF(LEN(AA183)=0,"",LEFT(AA183,LEN(AA183)-1))</f>
        <v/>
      </c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8"/>
      <c r="T183" s="37"/>
      <c r="U183" s="37"/>
      <c r="V183" s="39"/>
      <c r="W183" s="39"/>
      <c r="X183" s="40"/>
      <c r="Y183" s="41"/>
      <c r="Z183" s="42"/>
      <c r="AA183" s="43" t="str">
        <f aca="false">IF(G183&lt;&gt;"","Poplar|","")&amp;IF(H183&lt;&gt;"","FJ Primed Poplar|","")&amp;IF(I183&lt;&gt;"","FJ Primed Pine|","")&amp;IF(J183&lt;&gt;"","Clear Pine|","")&amp;IF(K183&lt;&gt;"","Primed MDF|","")&amp;IF(L183&lt;&gt;"","White Oak|","")&amp;IF(M183&lt;&gt;"","Red Oak|","")&amp;IF(N183&lt;&gt;"","Hard Maple|","")&amp;IF(O183&lt;&gt;"","Black Walnut|","")&amp;IF(P183&lt;&gt;"","Douglas Fir|","")&amp;IF(Q183&lt;&gt;"","Western Red Cedar|","")&amp;IF(R183&lt;&gt;"","PVC|","")&amp;IF(S183&lt;&gt;"","Flex|","")&amp;IF(T183&lt;&gt;"","Steel|","")&amp;IF(U183&lt;&gt;"","Plastic|","")&amp;IF(V183&lt;&gt;"",V183&amp;"|","")</f>
        <v/>
      </c>
    </row>
    <row r="184" customFormat="false" ht="16.5" hidden="false" customHeight="true" outlineLevel="0" collapsed="false">
      <c r="A184" s="44" t="s">
        <v>652</v>
      </c>
      <c r="B184" s="45" t="s">
        <v>653</v>
      </c>
      <c r="C184" s="44" t="s">
        <v>654</v>
      </c>
      <c r="D184" s="44" t="s">
        <v>655</v>
      </c>
      <c r="E184" s="44" t="s">
        <v>141</v>
      </c>
      <c r="F184" s="36" t="str">
        <f aca="false">IF(LEN(AA184)=0,"",LEFT(AA184,LEN(AA184)-1))</f>
        <v/>
      </c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8"/>
      <c r="T184" s="37"/>
      <c r="U184" s="37"/>
      <c r="V184" s="46"/>
      <c r="W184" s="46"/>
      <c r="X184" s="40"/>
      <c r="Y184" s="41"/>
      <c r="Z184" s="42"/>
      <c r="AA184" s="43" t="str">
        <f aca="false">IF(G184&lt;&gt;"","Poplar|","")&amp;IF(H184&lt;&gt;"","FJ Primed Poplar|","")&amp;IF(I184&lt;&gt;"","FJ Primed Pine|","")&amp;IF(J184&lt;&gt;"","Clear Pine|","")&amp;IF(K184&lt;&gt;"","Primed MDF|","")&amp;IF(L184&lt;&gt;"","White Oak|","")&amp;IF(M184&lt;&gt;"","Red Oak|","")&amp;IF(N184&lt;&gt;"","Hard Maple|","")&amp;IF(O184&lt;&gt;"","Black Walnut|","")&amp;IF(P184&lt;&gt;"","Douglas Fir|","")&amp;IF(Q184&lt;&gt;"","Western Red Cedar|","")&amp;IF(R184&lt;&gt;"","PVC|","")&amp;IF(S184&lt;&gt;"","Flex|","")&amp;IF(T184&lt;&gt;"","Steel|","")&amp;IF(U184&lt;&gt;"","Plastic|","")&amp;IF(V184&lt;&gt;"",V184&amp;"|","")</f>
        <v/>
      </c>
    </row>
    <row r="185" customFormat="false" ht="16.5" hidden="false" customHeight="true" outlineLevel="0" collapsed="false">
      <c r="A185" s="44" t="s">
        <v>656</v>
      </c>
      <c r="B185" s="45" t="s">
        <v>657</v>
      </c>
      <c r="C185" s="44" t="s">
        <v>654</v>
      </c>
      <c r="D185" s="44" t="s">
        <v>658</v>
      </c>
      <c r="E185" s="44" t="s">
        <v>141</v>
      </c>
      <c r="F185" s="36" t="str">
        <f aca="false">IF(LEN(AA185)=0,"",LEFT(AA185,LEN(AA185)-1))</f>
        <v/>
      </c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8"/>
      <c r="T185" s="37"/>
      <c r="U185" s="37"/>
      <c r="V185" s="46"/>
      <c r="W185" s="46"/>
      <c r="X185" s="40"/>
      <c r="Y185" s="41"/>
      <c r="Z185" s="42"/>
      <c r="AA185" s="43" t="str">
        <f aca="false">IF(G185&lt;&gt;"","Poplar|","")&amp;IF(H185&lt;&gt;"","FJ Primed Poplar|","")&amp;IF(I185&lt;&gt;"","FJ Primed Pine|","")&amp;IF(J185&lt;&gt;"","Clear Pine|","")&amp;IF(K185&lt;&gt;"","Primed MDF|","")&amp;IF(L185&lt;&gt;"","White Oak|","")&amp;IF(M185&lt;&gt;"","Red Oak|","")&amp;IF(N185&lt;&gt;"","Hard Maple|","")&amp;IF(O185&lt;&gt;"","Black Walnut|","")&amp;IF(P185&lt;&gt;"","Douglas Fir|","")&amp;IF(Q185&lt;&gt;"","Western Red Cedar|","")&amp;IF(R185&lt;&gt;"","PVC|","")&amp;IF(S185&lt;&gt;"","Flex|","")&amp;IF(T185&lt;&gt;"","Steel|","")&amp;IF(U185&lt;&gt;"","Plastic|","")&amp;IF(V185&lt;&gt;"",V185&amp;"|","")</f>
        <v/>
      </c>
    </row>
    <row r="186" customFormat="false" ht="16.5" hidden="false" customHeight="true" outlineLevel="0" collapsed="false">
      <c r="A186" s="44" t="s">
        <v>659</v>
      </c>
      <c r="B186" s="45" t="s">
        <v>660</v>
      </c>
      <c r="C186" s="44" t="s">
        <v>654</v>
      </c>
      <c r="D186" s="44" t="s">
        <v>661</v>
      </c>
      <c r="E186" s="44" t="s">
        <v>141</v>
      </c>
      <c r="F186" s="36" t="str">
        <f aca="false">IF(LEN(AA186)=0,"",LEFT(AA186,LEN(AA186)-1))</f>
        <v/>
      </c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8"/>
      <c r="T186" s="37"/>
      <c r="U186" s="37"/>
      <c r="V186" s="46"/>
      <c r="W186" s="46"/>
      <c r="X186" s="40"/>
      <c r="Y186" s="41"/>
      <c r="Z186" s="42"/>
      <c r="AA186" s="43" t="str">
        <f aca="false">IF(G186&lt;&gt;"","Poplar|","")&amp;IF(H186&lt;&gt;"","FJ Primed Poplar|","")&amp;IF(I186&lt;&gt;"","FJ Primed Pine|","")&amp;IF(J186&lt;&gt;"","Clear Pine|","")&amp;IF(K186&lt;&gt;"","Primed MDF|","")&amp;IF(L186&lt;&gt;"","White Oak|","")&amp;IF(M186&lt;&gt;"","Red Oak|","")&amp;IF(N186&lt;&gt;"","Hard Maple|","")&amp;IF(O186&lt;&gt;"","Black Walnut|","")&amp;IF(P186&lt;&gt;"","Douglas Fir|","")&amp;IF(Q186&lt;&gt;"","Western Red Cedar|","")&amp;IF(R186&lt;&gt;"","PVC|","")&amp;IF(S186&lt;&gt;"","Flex|","")&amp;IF(T186&lt;&gt;"","Steel|","")&amp;IF(U186&lt;&gt;"","Plastic|","")&amp;IF(V186&lt;&gt;"",V186&amp;"|","")</f>
        <v/>
      </c>
    </row>
    <row r="187" customFormat="false" ht="16.5" hidden="false" customHeight="true" outlineLevel="0" collapsed="false">
      <c r="A187" s="44" t="s">
        <v>662</v>
      </c>
      <c r="B187" s="45" t="s">
        <v>663</v>
      </c>
      <c r="C187" s="44" t="s">
        <v>654</v>
      </c>
      <c r="D187" s="44" t="s">
        <v>664</v>
      </c>
      <c r="E187" s="44" t="s">
        <v>665</v>
      </c>
      <c r="F187" s="36" t="str">
        <f aca="false">IF(LEN(AA187)=0,"",LEFT(AA187,LEN(AA187)-1))</f>
        <v/>
      </c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8"/>
      <c r="T187" s="37"/>
      <c r="U187" s="37"/>
      <c r="V187" s="46"/>
      <c r="W187" s="46"/>
      <c r="X187" s="40"/>
      <c r="Y187" s="41"/>
      <c r="Z187" s="42"/>
      <c r="AA187" s="43" t="str">
        <f aca="false">IF(G187&lt;&gt;"","Poplar|","")&amp;IF(H187&lt;&gt;"","FJ Primed Poplar|","")&amp;IF(I187&lt;&gt;"","FJ Primed Pine|","")&amp;IF(J187&lt;&gt;"","Clear Pine|","")&amp;IF(K187&lt;&gt;"","Primed MDF|","")&amp;IF(L187&lt;&gt;"","White Oak|","")&amp;IF(M187&lt;&gt;"","Red Oak|","")&amp;IF(N187&lt;&gt;"","Hard Maple|","")&amp;IF(O187&lt;&gt;"","Black Walnut|","")&amp;IF(P187&lt;&gt;"","Douglas Fir|","")&amp;IF(Q187&lt;&gt;"","Western Red Cedar|","")&amp;IF(R187&lt;&gt;"","PVC|","")&amp;IF(S187&lt;&gt;"","Flex|","")&amp;IF(T187&lt;&gt;"","Steel|","")&amp;IF(U187&lt;&gt;"","Plastic|","")&amp;IF(V187&lt;&gt;"",V187&amp;"|","")</f>
        <v/>
      </c>
    </row>
    <row r="188" customFormat="false" ht="16.5" hidden="false" customHeight="true" outlineLevel="0" collapsed="false">
      <c r="A188" s="44" t="s">
        <v>666</v>
      </c>
      <c r="B188" s="45" t="s">
        <v>667</v>
      </c>
      <c r="C188" s="44" t="s">
        <v>654</v>
      </c>
      <c r="D188" s="44" t="s">
        <v>664</v>
      </c>
      <c r="E188" s="44" t="s">
        <v>141</v>
      </c>
      <c r="F188" s="36" t="str">
        <f aca="false">IF(LEN(AA188)=0,"",LEFT(AA188,LEN(AA188)-1))</f>
        <v/>
      </c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8"/>
      <c r="T188" s="37"/>
      <c r="U188" s="37"/>
      <c r="V188" s="46"/>
      <c r="W188" s="46"/>
      <c r="X188" s="40"/>
      <c r="Y188" s="41"/>
      <c r="Z188" s="42"/>
      <c r="AA188" s="43" t="str">
        <f aca="false">IF(G188&lt;&gt;"","Poplar|","")&amp;IF(H188&lt;&gt;"","FJ Primed Poplar|","")&amp;IF(I188&lt;&gt;"","FJ Primed Pine|","")&amp;IF(J188&lt;&gt;"","Clear Pine|","")&amp;IF(K188&lt;&gt;"","Primed MDF|","")&amp;IF(L188&lt;&gt;"","White Oak|","")&amp;IF(M188&lt;&gt;"","Red Oak|","")&amp;IF(N188&lt;&gt;"","Hard Maple|","")&amp;IF(O188&lt;&gt;"","Black Walnut|","")&amp;IF(P188&lt;&gt;"","Douglas Fir|","")&amp;IF(Q188&lt;&gt;"","Western Red Cedar|","")&amp;IF(R188&lt;&gt;"","PVC|","")&amp;IF(S188&lt;&gt;"","Flex|","")&amp;IF(T188&lt;&gt;"","Steel|","")&amp;IF(U188&lt;&gt;"","Plastic|","")&amp;IF(V188&lt;&gt;"",V188&amp;"|","")</f>
        <v/>
      </c>
    </row>
    <row r="189" customFormat="false" ht="16.5" hidden="false" customHeight="true" outlineLevel="0" collapsed="false">
      <c r="A189" s="44" t="s">
        <v>668</v>
      </c>
      <c r="B189" s="45" t="s">
        <v>669</v>
      </c>
      <c r="C189" s="44" t="s">
        <v>654</v>
      </c>
      <c r="D189" s="44" t="s">
        <v>670</v>
      </c>
      <c r="E189" s="44" t="s">
        <v>141</v>
      </c>
      <c r="F189" s="36" t="str">
        <f aca="false">IF(LEN(AA189)=0,"",LEFT(AA189,LEN(AA189)-1))</f>
        <v/>
      </c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8"/>
      <c r="T189" s="37"/>
      <c r="U189" s="37"/>
      <c r="V189" s="46"/>
      <c r="W189" s="46"/>
      <c r="X189" s="40"/>
      <c r="Y189" s="41"/>
      <c r="Z189" s="42"/>
      <c r="AA189" s="43" t="str">
        <f aca="false">IF(G189&lt;&gt;"","Poplar|","")&amp;IF(H189&lt;&gt;"","FJ Primed Poplar|","")&amp;IF(I189&lt;&gt;"","FJ Primed Pine|","")&amp;IF(J189&lt;&gt;"","Clear Pine|","")&amp;IF(K189&lt;&gt;"","Primed MDF|","")&amp;IF(L189&lt;&gt;"","White Oak|","")&amp;IF(M189&lt;&gt;"","Red Oak|","")&amp;IF(N189&lt;&gt;"","Hard Maple|","")&amp;IF(O189&lt;&gt;"","Black Walnut|","")&amp;IF(P189&lt;&gt;"","Douglas Fir|","")&amp;IF(Q189&lt;&gt;"","Western Red Cedar|","")&amp;IF(R189&lt;&gt;"","PVC|","")&amp;IF(S189&lt;&gt;"","Flex|","")&amp;IF(T189&lt;&gt;"","Steel|","")&amp;IF(U189&lt;&gt;"","Plastic|","")&amp;IF(V189&lt;&gt;"",V189&amp;"|","")</f>
        <v/>
      </c>
    </row>
    <row r="190" customFormat="false" ht="16.5" hidden="false" customHeight="true" outlineLevel="0" collapsed="false">
      <c r="A190" s="44" t="s">
        <v>671</v>
      </c>
      <c r="B190" s="45" t="s">
        <v>672</v>
      </c>
      <c r="C190" s="44" t="s">
        <v>654</v>
      </c>
      <c r="D190" s="44" t="s">
        <v>670</v>
      </c>
      <c r="E190" s="44" t="s">
        <v>141</v>
      </c>
      <c r="F190" s="36" t="str">
        <f aca="false">IF(LEN(AA190)=0,"",LEFT(AA190,LEN(AA190)-1))</f>
        <v/>
      </c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8"/>
      <c r="T190" s="37"/>
      <c r="U190" s="37"/>
      <c r="V190" s="46"/>
      <c r="W190" s="46"/>
      <c r="X190" s="40"/>
      <c r="Y190" s="41"/>
      <c r="Z190" s="42"/>
      <c r="AA190" s="43" t="str">
        <f aca="false">IF(G190&lt;&gt;"","Poplar|","")&amp;IF(H190&lt;&gt;"","FJ Primed Poplar|","")&amp;IF(I190&lt;&gt;"","FJ Primed Pine|","")&amp;IF(J190&lt;&gt;"","Clear Pine|","")&amp;IF(K190&lt;&gt;"","Primed MDF|","")&amp;IF(L190&lt;&gt;"","White Oak|","")&amp;IF(M190&lt;&gt;"","Red Oak|","")&amp;IF(N190&lt;&gt;"","Hard Maple|","")&amp;IF(O190&lt;&gt;"","Black Walnut|","")&amp;IF(P190&lt;&gt;"","Douglas Fir|","")&amp;IF(Q190&lt;&gt;"","Western Red Cedar|","")&amp;IF(R190&lt;&gt;"","PVC|","")&amp;IF(S190&lt;&gt;"","Flex|","")&amp;IF(T190&lt;&gt;"","Steel|","")&amp;IF(U190&lt;&gt;"","Plastic|","")&amp;IF(V190&lt;&gt;"",V190&amp;"|","")</f>
        <v/>
      </c>
    </row>
    <row r="191" customFormat="false" ht="16.5" hidden="false" customHeight="true" outlineLevel="0" collapsed="false">
      <c r="A191" s="44" t="s">
        <v>673</v>
      </c>
      <c r="B191" s="45" t="s">
        <v>674</v>
      </c>
      <c r="C191" s="44" t="s">
        <v>654</v>
      </c>
      <c r="D191" s="44" t="s">
        <v>675</v>
      </c>
      <c r="E191" s="44" t="s">
        <v>141</v>
      </c>
      <c r="F191" s="36" t="str">
        <f aca="false">IF(LEN(AA191)=0,"",LEFT(AA191,LEN(AA191)-1))</f>
        <v/>
      </c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8"/>
      <c r="T191" s="37"/>
      <c r="U191" s="37"/>
      <c r="V191" s="46"/>
      <c r="W191" s="46"/>
      <c r="X191" s="40"/>
      <c r="Y191" s="41"/>
      <c r="Z191" s="42"/>
      <c r="AA191" s="43" t="str">
        <f aca="false">IF(G191&lt;&gt;"","Poplar|","")&amp;IF(H191&lt;&gt;"","FJ Primed Poplar|","")&amp;IF(I191&lt;&gt;"","FJ Primed Pine|","")&amp;IF(J191&lt;&gt;"","Clear Pine|","")&amp;IF(K191&lt;&gt;"","Primed MDF|","")&amp;IF(L191&lt;&gt;"","White Oak|","")&amp;IF(M191&lt;&gt;"","Red Oak|","")&amp;IF(N191&lt;&gt;"","Hard Maple|","")&amp;IF(O191&lt;&gt;"","Black Walnut|","")&amp;IF(P191&lt;&gt;"","Douglas Fir|","")&amp;IF(Q191&lt;&gt;"","Western Red Cedar|","")&amp;IF(R191&lt;&gt;"","PVC|","")&amp;IF(S191&lt;&gt;"","Flex|","")&amp;IF(T191&lt;&gt;"","Steel|","")&amp;IF(U191&lt;&gt;"","Plastic|","")&amp;IF(V191&lt;&gt;"",V191&amp;"|","")</f>
        <v/>
      </c>
    </row>
    <row r="192" customFormat="false" ht="16.5" hidden="false" customHeight="true" outlineLevel="0" collapsed="false">
      <c r="A192" s="44" t="s">
        <v>676</v>
      </c>
      <c r="B192" s="45" t="s">
        <v>677</v>
      </c>
      <c r="C192" s="44" t="s">
        <v>654</v>
      </c>
      <c r="D192" s="44" t="s">
        <v>678</v>
      </c>
      <c r="E192" s="44" t="s">
        <v>141</v>
      </c>
      <c r="F192" s="36" t="str">
        <f aca="false">IF(LEN(AA192)=0,"",LEFT(AA192,LEN(AA192)-1))</f>
        <v/>
      </c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8"/>
      <c r="T192" s="37"/>
      <c r="U192" s="37"/>
      <c r="V192" s="46"/>
      <c r="W192" s="46"/>
      <c r="X192" s="40"/>
      <c r="Y192" s="41"/>
      <c r="Z192" s="42"/>
      <c r="AA192" s="43" t="str">
        <f aca="false">IF(G192&lt;&gt;"","Poplar|","")&amp;IF(H192&lt;&gt;"","FJ Primed Poplar|","")&amp;IF(I192&lt;&gt;"","FJ Primed Pine|","")&amp;IF(J192&lt;&gt;"","Clear Pine|","")&amp;IF(K192&lt;&gt;"","Primed MDF|","")&amp;IF(L192&lt;&gt;"","White Oak|","")&amp;IF(M192&lt;&gt;"","Red Oak|","")&amp;IF(N192&lt;&gt;"","Hard Maple|","")&amp;IF(O192&lt;&gt;"","Black Walnut|","")&amp;IF(P192&lt;&gt;"","Douglas Fir|","")&amp;IF(Q192&lt;&gt;"","Western Red Cedar|","")&amp;IF(R192&lt;&gt;"","PVC|","")&amp;IF(S192&lt;&gt;"","Flex|","")&amp;IF(T192&lt;&gt;"","Steel|","")&amp;IF(U192&lt;&gt;"","Plastic|","")&amp;IF(V192&lt;&gt;"",V192&amp;"|","")</f>
        <v/>
      </c>
    </row>
    <row r="193" customFormat="false" ht="16.5" hidden="false" customHeight="true" outlineLevel="0" collapsed="false">
      <c r="A193" s="34" t="s">
        <v>679</v>
      </c>
      <c r="B193" s="35" t="s">
        <v>680</v>
      </c>
      <c r="C193" s="34" t="s">
        <v>681</v>
      </c>
      <c r="D193" s="34" t="s">
        <v>682</v>
      </c>
      <c r="E193" s="34" t="s">
        <v>141</v>
      </c>
      <c r="F193" s="36" t="str">
        <f aca="false">IF(LEN(AA193)=0,"",LEFT(AA193,LEN(AA193)-1))</f>
        <v/>
      </c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8"/>
      <c r="T193" s="37"/>
      <c r="U193" s="37"/>
      <c r="V193" s="39"/>
      <c r="W193" s="39"/>
      <c r="X193" s="40"/>
      <c r="Y193" s="41"/>
      <c r="Z193" s="42"/>
      <c r="AA193" s="43" t="str">
        <f aca="false">IF(G193&lt;&gt;"","Poplar|","")&amp;IF(H193&lt;&gt;"","FJ Primed Poplar|","")&amp;IF(I193&lt;&gt;"","FJ Primed Pine|","")&amp;IF(J193&lt;&gt;"","Clear Pine|","")&amp;IF(K193&lt;&gt;"","Primed MDF|","")&amp;IF(L193&lt;&gt;"","White Oak|","")&amp;IF(M193&lt;&gt;"","Red Oak|","")&amp;IF(N193&lt;&gt;"","Hard Maple|","")&amp;IF(O193&lt;&gt;"","Black Walnut|","")&amp;IF(P193&lt;&gt;"","Douglas Fir|","")&amp;IF(Q193&lt;&gt;"","Western Red Cedar|","")&amp;IF(R193&lt;&gt;"","PVC|","")&amp;IF(S193&lt;&gt;"","Flex|","")&amp;IF(T193&lt;&gt;"","Steel|","")&amp;IF(U193&lt;&gt;"","Plastic|","")&amp;IF(V193&lt;&gt;"",V193&amp;"|","")</f>
        <v/>
      </c>
    </row>
    <row r="194" customFormat="false" ht="16.5" hidden="false" customHeight="true" outlineLevel="0" collapsed="false">
      <c r="A194" s="34" t="s">
        <v>683</v>
      </c>
      <c r="B194" s="35" t="s">
        <v>684</v>
      </c>
      <c r="C194" s="34" t="s">
        <v>681</v>
      </c>
      <c r="D194" s="34" t="s">
        <v>685</v>
      </c>
      <c r="E194" s="34" t="s">
        <v>141</v>
      </c>
      <c r="F194" s="36" t="str">
        <f aca="false">IF(LEN(AA194)=0,"",LEFT(AA194,LEN(AA194)-1))</f>
        <v/>
      </c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8"/>
      <c r="T194" s="37"/>
      <c r="U194" s="37"/>
      <c r="V194" s="39"/>
      <c r="W194" s="39"/>
      <c r="X194" s="40"/>
      <c r="Y194" s="41"/>
      <c r="Z194" s="42"/>
      <c r="AA194" s="43" t="str">
        <f aca="false">IF(G194&lt;&gt;"","Poplar|","")&amp;IF(H194&lt;&gt;"","FJ Primed Poplar|","")&amp;IF(I194&lt;&gt;"","FJ Primed Pine|","")&amp;IF(J194&lt;&gt;"","Clear Pine|","")&amp;IF(K194&lt;&gt;"","Primed MDF|","")&amp;IF(L194&lt;&gt;"","White Oak|","")&amp;IF(M194&lt;&gt;"","Red Oak|","")&amp;IF(N194&lt;&gt;"","Hard Maple|","")&amp;IF(O194&lt;&gt;"","Black Walnut|","")&amp;IF(P194&lt;&gt;"","Douglas Fir|","")&amp;IF(Q194&lt;&gt;"","Western Red Cedar|","")&amp;IF(R194&lt;&gt;"","PVC|","")&amp;IF(S194&lt;&gt;"","Flex|","")&amp;IF(T194&lt;&gt;"","Steel|","")&amp;IF(U194&lt;&gt;"","Plastic|","")&amp;IF(V194&lt;&gt;"",V194&amp;"|","")</f>
        <v/>
      </c>
    </row>
    <row r="195" customFormat="false" ht="16.5" hidden="false" customHeight="true" outlineLevel="0" collapsed="false">
      <c r="A195" s="34" t="s">
        <v>686</v>
      </c>
      <c r="B195" s="35" t="s">
        <v>687</v>
      </c>
      <c r="C195" s="34" t="s">
        <v>681</v>
      </c>
      <c r="D195" s="34" t="s">
        <v>688</v>
      </c>
      <c r="E195" s="34" t="s">
        <v>141</v>
      </c>
      <c r="F195" s="36" t="str">
        <f aca="false">IF(LEN(AA195)=0,"",LEFT(AA195,LEN(AA195)-1))</f>
        <v/>
      </c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8"/>
      <c r="T195" s="37"/>
      <c r="U195" s="37"/>
      <c r="V195" s="39"/>
      <c r="W195" s="39"/>
      <c r="X195" s="40"/>
      <c r="Y195" s="41"/>
      <c r="Z195" s="42"/>
      <c r="AA195" s="43" t="str">
        <f aca="false">IF(G195&lt;&gt;"","Poplar|","")&amp;IF(H195&lt;&gt;"","FJ Primed Poplar|","")&amp;IF(I195&lt;&gt;"","FJ Primed Pine|","")&amp;IF(J195&lt;&gt;"","Clear Pine|","")&amp;IF(K195&lt;&gt;"","Primed MDF|","")&amp;IF(L195&lt;&gt;"","White Oak|","")&amp;IF(M195&lt;&gt;"","Red Oak|","")&amp;IF(N195&lt;&gt;"","Hard Maple|","")&amp;IF(O195&lt;&gt;"","Black Walnut|","")&amp;IF(P195&lt;&gt;"","Douglas Fir|","")&amp;IF(Q195&lt;&gt;"","Western Red Cedar|","")&amp;IF(R195&lt;&gt;"","PVC|","")&amp;IF(S195&lt;&gt;"","Flex|","")&amp;IF(T195&lt;&gt;"","Steel|","")&amp;IF(U195&lt;&gt;"","Plastic|","")&amp;IF(V195&lt;&gt;"",V195&amp;"|","")</f>
        <v/>
      </c>
    </row>
    <row r="196" customFormat="false" ht="16.5" hidden="false" customHeight="true" outlineLevel="0" collapsed="false">
      <c r="A196" s="34" t="s">
        <v>689</v>
      </c>
      <c r="B196" s="35" t="s">
        <v>690</v>
      </c>
      <c r="C196" s="34" t="s">
        <v>681</v>
      </c>
      <c r="D196" s="34" t="s">
        <v>691</v>
      </c>
      <c r="E196" s="34" t="s">
        <v>141</v>
      </c>
      <c r="F196" s="36" t="str">
        <f aca="false">IF(LEN(AA196)=0,"",LEFT(AA196,LEN(AA196)-1))</f>
        <v/>
      </c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8"/>
      <c r="T196" s="37"/>
      <c r="U196" s="37"/>
      <c r="V196" s="39"/>
      <c r="W196" s="39"/>
      <c r="X196" s="40"/>
      <c r="Y196" s="41"/>
      <c r="Z196" s="42"/>
      <c r="AA196" s="43" t="str">
        <f aca="false">IF(G196&lt;&gt;"","Poplar|","")&amp;IF(H196&lt;&gt;"","FJ Primed Poplar|","")&amp;IF(I196&lt;&gt;"","FJ Primed Pine|","")&amp;IF(J196&lt;&gt;"","Clear Pine|","")&amp;IF(K196&lt;&gt;"","Primed MDF|","")&amp;IF(L196&lt;&gt;"","White Oak|","")&amp;IF(M196&lt;&gt;"","Red Oak|","")&amp;IF(N196&lt;&gt;"","Hard Maple|","")&amp;IF(O196&lt;&gt;"","Black Walnut|","")&amp;IF(P196&lt;&gt;"","Douglas Fir|","")&amp;IF(Q196&lt;&gt;"","Western Red Cedar|","")&amp;IF(R196&lt;&gt;"","PVC|","")&amp;IF(S196&lt;&gt;"","Flex|","")&amp;IF(T196&lt;&gt;"","Steel|","")&amp;IF(U196&lt;&gt;"","Plastic|","")&amp;IF(V196&lt;&gt;"",V196&amp;"|","")</f>
        <v/>
      </c>
    </row>
    <row r="197" customFormat="false" ht="16.5" hidden="false" customHeight="true" outlineLevel="0" collapsed="false">
      <c r="A197" s="34" t="s">
        <v>692</v>
      </c>
      <c r="B197" s="35" t="s">
        <v>693</v>
      </c>
      <c r="C197" s="34" t="s">
        <v>681</v>
      </c>
      <c r="D197" s="34" t="s">
        <v>293</v>
      </c>
      <c r="E197" s="34" t="s">
        <v>141</v>
      </c>
      <c r="F197" s="36" t="str">
        <f aca="false">IF(LEN(AA197)=0,"",LEFT(AA197,LEN(AA197)-1))</f>
        <v/>
      </c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8"/>
      <c r="T197" s="37"/>
      <c r="U197" s="37"/>
      <c r="V197" s="39"/>
      <c r="W197" s="39"/>
      <c r="X197" s="40"/>
      <c r="Y197" s="41"/>
      <c r="Z197" s="42"/>
      <c r="AA197" s="43" t="str">
        <f aca="false">IF(G197&lt;&gt;"","Poplar|","")&amp;IF(H197&lt;&gt;"","FJ Primed Poplar|","")&amp;IF(I197&lt;&gt;"","FJ Primed Pine|","")&amp;IF(J197&lt;&gt;"","Clear Pine|","")&amp;IF(K197&lt;&gt;"","Primed MDF|","")&amp;IF(L197&lt;&gt;"","White Oak|","")&amp;IF(M197&lt;&gt;"","Red Oak|","")&amp;IF(N197&lt;&gt;"","Hard Maple|","")&amp;IF(O197&lt;&gt;"","Black Walnut|","")&amp;IF(P197&lt;&gt;"","Douglas Fir|","")&amp;IF(Q197&lt;&gt;"","Western Red Cedar|","")&amp;IF(R197&lt;&gt;"","PVC|","")&amp;IF(S197&lt;&gt;"","Flex|","")&amp;IF(T197&lt;&gt;"","Steel|","")&amp;IF(U197&lt;&gt;"","Plastic|","")&amp;IF(V197&lt;&gt;"",V197&amp;"|","")</f>
        <v/>
      </c>
    </row>
    <row r="198" customFormat="false" ht="16.5" hidden="false" customHeight="true" outlineLevel="0" collapsed="false">
      <c r="A198" s="34" t="s">
        <v>694</v>
      </c>
      <c r="B198" s="35" t="s">
        <v>695</v>
      </c>
      <c r="C198" s="34" t="s">
        <v>681</v>
      </c>
      <c r="D198" s="34" t="s">
        <v>290</v>
      </c>
      <c r="E198" s="34" t="s">
        <v>141</v>
      </c>
      <c r="F198" s="36" t="str">
        <f aca="false">IF(LEN(AA198)=0,"",LEFT(AA198,LEN(AA198)-1))</f>
        <v/>
      </c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8"/>
      <c r="T198" s="37"/>
      <c r="U198" s="37"/>
      <c r="V198" s="39"/>
      <c r="W198" s="39"/>
      <c r="X198" s="40"/>
      <c r="Y198" s="41"/>
      <c r="Z198" s="42"/>
      <c r="AA198" s="43" t="str">
        <f aca="false">IF(G198&lt;&gt;"","Poplar|","")&amp;IF(H198&lt;&gt;"","FJ Primed Poplar|","")&amp;IF(I198&lt;&gt;"","FJ Primed Pine|","")&amp;IF(J198&lt;&gt;"","Clear Pine|","")&amp;IF(K198&lt;&gt;"","Primed MDF|","")&amp;IF(L198&lt;&gt;"","White Oak|","")&amp;IF(M198&lt;&gt;"","Red Oak|","")&amp;IF(N198&lt;&gt;"","Hard Maple|","")&amp;IF(O198&lt;&gt;"","Black Walnut|","")&amp;IF(P198&lt;&gt;"","Douglas Fir|","")&amp;IF(Q198&lt;&gt;"","Western Red Cedar|","")&amp;IF(R198&lt;&gt;"","PVC|","")&amp;IF(S198&lt;&gt;"","Flex|","")&amp;IF(T198&lt;&gt;"","Steel|","")&amp;IF(U198&lt;&gt;"","Plastic|","")&amp;IF(V198&lt;&gt;"",V198&amp;"|","")</f>
        <v/>
      </c>
    </row>
    <row r="199" customFormat="false" ht="16.5" hidden="false" customHeight="true" outlineLevel="0" collapsed="false">
      <c r="A199" s="34" t="s">
        <v>696</v>
      </c>
      <c r="B199" s="35" t="s">
        <v>697</v>
      </c>
      <c r="C199" s="34" t="s">
        <v>681</v>
      </c>
      <c r="D199" s="34" t="s">
        <v>698</v>
      </c>
      <c r="E199" s="34" t="s">
        <v>141</v>
      </c>
      <c r="F199" s="36" t="str">
        <f aca="false">IF(LEN(AA199)=0,"",LEFT(AA199,LEN(AA199)-1))</f>
        <v/>
      </c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8"/>
      <c r="T199" s="37"/>
      <c r="U199" s="37"/>
      <c r="V199" s="39"/>
      <c r="W199" s="39"/>
      <c r="X199" s="40"/>
      <c r="Y199" s="41"/>
      <c r="Z199" s="42"/>
      <c r="AA199" s="43" t="str">
        <f aca="false">IF(G199&lt;&gt;"","Poplar|","")&amp;IF(H199&lt;&gt;"","FJ Primed Poplar|","")&amp;IF(I199&lt;&gt;"","FJ Primed Pine|","")&amp;IF(J199&lt;&gt;"","Clear Pine|","")&amp;IF(K199&lt;&gt;"","Primed MDF|","")&amp;IF(L199&lt;&gt;"","White Oak|","")&amp;IF(M199&lt;&gt;"","Red Oak|","")&amp;IF(N199&lt;&gt;"","Hard Maple|","")&amp;IF(O199&lt;&gt;"","Black Walnut|","")&amp;IF(P199&lt;&gt;"","Douglas Fir|","")&amp;IF(Q199&lt;&gt;"","Western Red Cedar|","")&amp;IF(R199&lt;&gt;"","PVC|","")&amp;IF(S199&lt;&gt;"","Flex|","")&amp;IF(T199&lt;&gt;"","Steel|","")&amp;IF(U199&lt;&gt;"","Plastic|","")&amp;IF(V199&lt;&gt;"",V199&amp;"|","")</f>
        <v/>
      </c>
    </row>
    <row r="200" customFormat="false" ht="16.5" hidden="false" customHeight="true" outlineLevel="0" collapsed="false">
      <c r="A200" s="34" t="s">
        <v>699</v>
      </c>
      <c r="B200" s="35" t="s">
        <v>700</v>
      </c>
      <c r="C200" s="34" t="s">
        <v>681</v>
      </c>
      <c r="D200" s="34" t="s">
        <v>701</v>
      </c>
      <c r="E200" s="34" t="s">
        <v>141</v>
      </c>
      <c r="F200" s="36" t="str">
        <f aca="false">IF(LEN(AA200)=0,"",LEFT(AA200,LEN(AA200)-1))</f>
        <v/>
      </c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8"/>
      <c r="T200" s="37"/>
      <c r="U200" s="37"/>
      <c r="V200" s="39"/>
      <c r="W200" s="39"/>
      <c r="X200" s="40"/>
      <c r="Y200" s="41"/>
      <c r="Z200" s="42"/>
      <c r="AA200" s="43" t="str">
        <f aca="false">IF(G200&lt;&gt;"","Poplar|","")&amp;IF(H200&lt;&gt;"","FJ Primed Poplar|","")&amp;IF(I200&lt;&gt;"","FJ Primed Pine|","")&amp;IF(J200&lt;&gt;"","Clear Pine|","")&amp;IF(K200&lt;&gt;"","Primed MDF|","")&amp;IF(L200&lt;&gt;"","White Oak|","")&amp;IF(M200&lt;&gt;"","Red Oak|","")&amp;IF(N200&lt;&gt;"","Hard Maple|","")&amp;IF(O200&lt;&gt;"","Black Walnut|","")&amp;IF(P200&lt;&gt;"","Douglas Fir|","")&amp;IF(Q200&lt;&gt;"","Western Red Cedar|","")&amp;IF(R200&lt;&gt;"","PVC|","")&amp;IF(S200&lt;&gt;"","Flex|","")&amp;IF(T200&lt;&gt;"","Steel|","")&amp;IF(U200&lt;&gt;"","Plastic|","")&amp;IF(V200&lt;&gt;"",V200&amp;"|","")</f>
        <v/>
      </c>
    </row>
    <row r="201" customFormat="false" ht="16.5" hidden="false" customHeight="true" outlineLevel="0" collapsed="false">
      <c r="A201" s="44" t="s">
        <v>702</v>
      </c>
      <c r="B201" s="45" t="s">
        <v>703</v>
      </c>
      <c r="C201" s="44" t="s">
        <v>704</v>
      </c>
      <c r="D201" s="44" t="s">
        <v>705</v>
      </c>
      <c r="E201" s="44" t="s">
        <v>141</v>
      </c>
      <c r="F201" s="36" t="str">
        <f aca="false">IF(LEN(AA201)=0,"",LEFT(AA201,LEN(AA201)-1))</f>
        <v/>
      </c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8"/>
      <c r="T201" s="37"/>
      <c r="U201" s="37"/>
      <c r="V201" s="46"/>
      <c r="W201" s="46"/>
      <c r="X201" s="40"/>
      <c r="Y201" s="41"/>
      <c r="Z201" s="42"/>
      <c r="AA201" s="43" t="str">
        <f aca="false">IF(G201&lt;&gt;"","Poplar|","")&amp;IF(H201&lt;&gt;"","FJ Primed Poplar|","")&amp;IF(I201&lt;&gt;"","FJ Primed Pine|","")&amp;IF(J201&lt;&gt;"","Clear Pine|","")&amp;IF(K201&lt;&gt;"","Primed MDF|","")&amp;IF(L201&lt;&gt;"","White Oak|","")&amp;IF(M201&lt;&gt;"","Red Oak|","")&amp;IF(N201&lt;&gt;"","Hard Maple|","")&amp;IF(O201&lt;&gt;"","Black Walnut|","")&amp;IF(P201&lt;&gt;"","Douglas Fir|","")&amp;IF(Q201&lt;&gt;"","Western Red Cedar|","")&amp;IF(R201&lt;&gt;"","PVC|","")&amp;IF(S201&lt;&gt;"","Flex|","")&amp;IF(T201&lt;&gt;"","Steel|","")&amp;IF(U201&lt;&gt;"","Plastic|","")&amp;IF(V201&lt;&gt;"",V201&amp;"|","")</f>
        <v/>
      </c>
    </row>
    <row r="202" customFormat="false" ht="16.5" hidden="false" customHeight="true" outlineLevel="0" collapsed="false">
      <c r="A202" s="44" t="s">
        <v>706</v>
      </c>
      <c r="B202" s="45" t="s">
        <v>707</v>
      </c>
      <c r="C202" s="44" t="s">
        <v>704</v>
      </c>
      <c r="D202" s="44" t="s">
        <v>606</v>
      </c>
      <c r="E202" s="44" t="s">
        <v>141</v>
      </c>
      <c r="F202" s="36" t="str">
        <f aca="false">IF(LEN(AA202)=0,"",LEFT(AA202,LEN(AA202)-1))</f>
        <v/>
      </c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8"/>
      <c r="T202" s="37"/>
      <c r="U202" s="37"/>
      <c r="V202" s="46"/>
      <c r="W202" s="46"/>
      <c r="X202" s="40"/>
      <c r="Y202" s="41"/>
      <c r="Z202" s="42"/>
      <c r="AA202" s="43" t="str">
        <f aca="false">IF(G202&lt;&gt;"","Poplar|","")&amp;IF(H202&lt;&gt;"","FJ Primed Poplar|","")&amp;IF(I202&lt;&gt;"","FJ Primed Pine|","")&amp;IF(J202&lt;&gt;"","Clear Pine|","")&amp;IF(K202&lt;&gt;"","Primed MDF|","")&amp;IF(L202&lt;&gt;"","White Oak|","")&amp;IF(M202&lt;&gt;"","Red Oak|","")&amp;IF(N202&lt;&gt;"","Hard Maple|","")&amp;IF(O202&lt;&gt;"","Black Walnut|","")&amp;IF(P202&lt;&gt;"","Douglas Fir|","")&amp;IF(Q202&lt;&gt;"","Western Red Cedar|","")&amp;IF(R202&lt;&gt;"","PVC|","")&amp;IF(S202&lt;&gt;"","Flex|","")&amp;IF(T202&lt;&gt;"","Steel|","")&amp;IF(U202&lt;&gt;"","Plastic|","")&amp;IF(V202&lt;&gt;"",V202&amp;"|","")</f>
        <v/>
      </c>
    </row>
    <row r="203" customFormat="false" ht="16.5" hidden="false" customHeight="true" outlineLevel="0" collapsed="false">
      <c r="A203" s="44" t="s">
        <v>708</v>
      </c>
      <c r="B203" s="45" t="s">
        <v>709</v>
      </c>
      <c r="C203" s="44" t="s">
        <v>704</v>
      </c>
      <c r="D203" s="44" t="s">
        <v>293</v>
      </c>
      <c r="E203" s="44" t="s">
        <v>141</v>
      </c>
      <c r="F203" s="36" t="str">
        <f aca="false">IF(LEN(AA203)=0,"",LEFT(AA203,LEN(AA203)-1))</f>
        <v/>
      </c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8"/>
      <c r="T203" s="37"/>
      <c r="U203" s="37"/>
      <c r="V203" s="46"/>
      <c r="W203" s="46"/>
      <c r="X203" s="40"/>
      <c r="Y203" s="41"/>
      <c r="Z203" s="42"/>
      <c r="AA203" s="43" t="str">
        <f aca="false">IF(G203&lt;&gt;"","Poplar|","")&amp;IF(H203&lt;&gt;"","FJ Primed Poplar|","")&amp;IF(I203&lt;&gt;"","FJ Primed Pine|","")&amp;IF(J203&lt;&gt;"","Clear Pine|","")&amp;IF(K203&lt;&gt;"","Primed MDF|","")&amp;IF(L203&lt;&gt;"","White Oak|","")&amp;IF(M203&lt;&gt;"","Red Oak|","")&amp;IF(N203&lt;&gt;"","Hard Maple|","")&amp;IF(O203&lt;&gt;"","Black Walnut|","")&amp;IF(P203&lt;&gt;"","Douglas Fir|","")&amp;IF(Q203&lt;&gt;"","Western Red Cedar|","")&amp;IF(R203&lt;&gt;"","PVC|","")&amp;IF(S203&lt;&gt;"","Flex|","")&amp;IF(T203&lt;&gt;"","Steel|","")&amp;IF(U203&lt;&gt;"","Plastic|","")&amp;IF(V203&lt;&gt;"",V203&amp;"|","")</f>
        <v/>
      </c>
    </row>
    <row r="204" customFormat="false" ht="16.5" hidden="false" customHeight="true" outlineLevel="0" collapsed="false">
      <c r="A204" s="44" t="s">
        <v>710</v>
      </c>
      <c r="B204" s="45" t="s">
        <v>711</v>
      </c>
      <c r="C204" s="44" t="s">
        <v>704</v>
      </c>
      <c r="D204" s="44" t="s">
        <v>606</v>
      </c>
      <c r="E204" s="44" t="s">
        <v>141</v>
      </c>
      <c r="F204" s="36" t="str">
        <f aca="false">IF(LEN(AA204)=0,"",LEFT(AA204,LEN(AA204)-1))</f>
        <v/>
      </c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8"/>
      <c r="T204" s="37"/>
      <c r="U204" s="37"/>
      <c r="V204" s="46"/>
      <c r="W204" s="46"/>
      <c r="X204" s="40"/>
      <c r="Y204" s="41"/>
      <c r="Z204" s="42"/>
      <c r="AA204" s="43" t="str">
        <f aca="false">IF(G204&lt;&gt;"","Poplar|","")&amp;IF(H204&lt;&gt;"","FJ Primed Poplar|","")&amp;IF(I204&lt;&gt;"","FJ Primed Pine|","")&amp;IF(J204&lt;&gt;"","Clear Pine|","")&amp;IF(K204&lt;&gt;"","Primed MDF|","")&amp;IF(L204&lt;&gt;"","White Oak|","")&amp;IF(M204&lt;&gt;"","Red Oak|","")&amp;IF(N204&lt;&gt;"","Hard Maple|","")&amp;IF(O204&lt;&gt;"","Black Walnut|","")&amp;IF(P204&lt;&gt;"","Douglas Fir|","")&amp;IF(Q204&lt;&gt;"","Western Red Cedar|","")&amp;IF(R204&lt;&gt;"","PVC|","")&amp;IF(S204&lt;&gt;"","Flex|","")&amp;IF(T204&lt;&gt;"","Steel|","")&amp;IF(U204&lt;&gt;"","Plastic|","")&amp;IF(V204&lt;&gt;"",V204&amp;"|","")</f>
        <v/>
      </c>
    </row>
    <row r="205" customFormat="false" ht="16.5" hidden="false" customHeight="true" outlineLevel="0" collapsed="false">
      <c r="A205" s="44" t="s">
        <v>712</v>
      </c>
      <c r="B205" s="45" t="s">
        <v>713</v>
      </c>
      <c r="C205" s="44" t="s">
        <v>704</v>
      </c>
      <c r="D205" s="44" t="s">
        <v>268</v>
      </c>
      <c r="E205" s="44" t="s">
        <v>141</v>
      </c>
      <c r="F205" s="36" t="str">
        <f aca="false">IF(LEN(AA205)=0,"",LEFT(AA205,LEN(AA205)-1))</f>
        <v/>
      </c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8"/>
      <c r="T205" s="37"/>
      <c r="U205" s="37"/>
      <c r="V205" s="46"/>
      <c r="W205" s="46"/>
      <c r="X205" s="40"/>
      <c r="Y205" s="41"/>
      <c r="Z205" s="42"/>
      <c r="AA205" s="43" t="str">
        <f aca="false">IF(G205&lt;&gt;"","Poplar|","")&amp;IF(H205&lt;&gt;"","FJ Primed Poplar|","")&amp;IF(I205&lt;&gt;"","FJ Primed Pine|","")&amp;IF(J205&lt;&gt;"","Clear Pine|","")&amp;IF(K205&lt;&gt;"","Primed MDF|","")&amp;IF(L205&lt;&gt;"","White Oak|","")&amp;IF(M205&lt;&gt;"","Red Oak|","")&amp;IF(N205&lt;&gt;"","Hard Maple|","")&amp;IF(O205&lt;&gt;"","Black Walnut|","")&amp;IF(P205&lt;&gt;"","Douglas Fir|","")&amp;IF(Q205&lt;&gt;"","Western Red Cedar|","")&amp;IF(R205&lt;&gt;"","PVC|","")&amp;IF(S205&lt;&gt;"","Flex|","")&amp;IF(T205&lt;&gt;"","Steel|","")&amp;IF(U205&lt;&gt;"","Plastic|","")&amp;IF(V205&lt;&gt;"",V205&amp;"|","")</f>
        <v/>
      </c>
    </row>
    <row r="206" customFormat="false" ht="16.5" hidden="false" customHeight="true" outlineLevel="0" collapsed="false">
      <c r="A206" s="44" t="s">
        <v>714</v>
      </c>
      <c r="B206" s="45" t="s">
        <v>715</v>
      </c>
      <c r="C206" s="44" t="s">
        <v>704</v>
      </c>
      <c r="D206" s="44" t="s">
        <v>716</v>
      </c>
      <c r="E206" s="44" t="s">
        <v>141</v>
      </c>
      <c r="F206" s="36" t="str">
        <f aca="false">IF(LEN(AA206)=0,"",LEFT(AA206,LEN(AA206)-1))</f>
        <v/>
      </c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8"/>
      <c r="T206" s="37"/>
      <c r="U206" s="37"/>
      <c r="V206" s="46"/>
      <c r="W206" s="46"/>
      <c r="X206" s="40"/>
      <c r="Y206" s="41"/>
      <c r="Z206" s="42"/>
      <c r="AA206" s="43" t="str">
        <f aca="false">IF(G206&lt;&gt;"","Poplar|","")&amp;IF(H206&lt;&gt;"","FJ Primed Poplar|","")&amp;IF(I206&lt;&gt;"","FJ Primed Pine|","")&amp;IF(J206&lt;&gt;"","Clear Pine|","")&amp;IF(K206&lt;&gt;"","Primed MDF|","")&amp;IF(L206&lt;&gt;"","White Oak|","")&amp;IF(M206&lt;&gt;"","Red Oak|","")&amp;IF(N206&lt;&gt;"","Hard Maple|","")&amp;IF(O206&lt;&gt;"","Black Walnut|","")&amp;IF(P206&lt;&gt;"","Douglas Fir|","")&amp;IF(Q206&lt;&gt;"","Western Red Cedar|","")&amp;IF(R206&lt;&gt;"","PVC|","")&amp;IF(S206&lt;&gt;"","Flex|","")&amp;IF(T206&lt;&gt;"","Steel|","")&amp;IF(U206&lt;&gt;"","Plastic|","")&amp;IF(V206&lt;&gt;"",V206&amp;"|","")</f>
        <v/>
      </c>
    </row>
    <row r="207" customFormat="false" ht="16.5" hidden="false" customHeight="true" outlineLevel="0" collapsed="false">
      <c r="A207" s="44" t="s">
        <v>717</v>
      </c>
      <c r="B207" s="45" t="s">
        <v>718</v>
      </c>
      <c r="C207" s="44" t="s">
        <v>704</v>
      </c>
      <c r="D207" s="44" t="s">
        <v>312</v>
      </c>
      <c r="E207" s="44" t="s">
        <v>141</v>
      </c>
      <c r="F207" s="36" t="str">
        <f aca="false">IF(LEN(AA207)=0,"",LEFT(AA207,LEN(AA207)-1))</f>
        <v/>
      </c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8"/>
      <c r="T207" s="37"/>
      <c r="U207" s="37"/>
      <c r="V207" s="46"/>
      <c r="W207" s="46"/>
      <c r="X207" s="40"/>
      <c r="Y207" s="41"/>
      <c r="Z207" s="42"/>
      <c r="AA207" s="43" t="str">
        <f aca="false">IF(G207&lt;&gt;"","Poplar|","")&amp;IF(H207&lt;&gt;"","FJ Primed Poplar|","")&amp;IF(I207&lt;&gt;"","FJ Primed Pine|","")&amp;IF(J207&lt;&gt;"","Clear Pine|","")&amp;IF(K207&lt;&gt;"","Primed MDF|","")&amp;IF(L207&lt;&gt;"","White Oak|","")&amp;IF(M207&lt;&gt;"","Red Oak|","")&amp;IF(N207&lt;&gt;"","Hard Maple|","")&amp;IF(O207&lt;&gt;"","Black Walnut|","")&amp;IF(P207&lt;&gt;"","Douglas Fir|","")&amp;IF(Q207&lt;&gt;"","Western Red Cedar|","")&amp;IF(R207&lt;&gt;"","PVC|","")&amp;IF(S207&lt;&gt;"","Flex|","")&amp;IF(T207&lt;&gt;"","Steel|","")&amp;IF(U207&lt;&gt;"","Plastic|","")&amp;IF(V207&lt;&gt;"",V207&amp;"|","")</f>
        <v/>
      </c>
    </row>
    <row r="208" customFormat="false" ht="16.5" hidden="false" customHeight="true" outlineLevel="0" collapsed="false">
      <c r="A208" s="44" t="s">
        <v>719</v>
      </c>
      <c r="B208" s="45" t="s">
        <v>720</v>
      </c>
      <c r="C208" s="44" t="s">
        <v>704</v>
      </c>
      <c r="D208" s="44" t="s">
        <v>716</v>
      </c>
      <c r="E208" s="44" t="s">
        <v>141</v>
      </c>
      <c r="F208" s="36" t="str">
        <f aca="false">IF(LEN(AA208)=0,"",LEFT(AA208,LEN(AA208)-1))</f>
        <v/>
      </c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8"/>
      <c r="T208" s="37"/>
      <c r="U208" s="37"/>
      <c r="V208" s="46"/>
      <c r="W208" s="46"/>
      <c r="X208" s="40"/>
      <c r="Y208" s="41"/>
      <c r="Z208" s="42"/>
      <c r="AA208" s="43" t="str">
        <f aca="false">IF(G208&lt;&gt;"","Poplar|","")&amp;IF(H208&lt;&gt;"","FJ Primed Poplar|","")&amp;IF(I208&lt;&gt;"","FJ Primed Pine|","")&amp;IF(J208&lt;&gt;"","Clear Pine|","")&amp;IF(K208&lt;&gt;"","Primed MDF|","")&amp;IF(L208&lt;&gt;"","White Oak|","")&amp;IF(M208&lt;&gt;"","Red Oak|","")&amp;IF(N208&lt;&gt;"","Hard Maple|","")&amp;IF(O208&lt;&gt;"","Black Walnut|","")&amp;IF(P208&lt;&gt;"","Douglas Fir|","")&amp;IF(Q208&lt;&gt;"","Western Red Cedar|","")&amp;IF(R208&lt;&gt;"","PVC|","")&amp;IF(S208&lt;&gt;"","Flex|","")&amp;IF(T208&lt;&gt;"","Steel|","")&amp;IF(U208&lt;&gt;"","Plastic|","")&amp;IF(V208&lt;&gt;"",V208&amp;"|","")</f>
        <v/>
      </c>
    </row>
    <row r="209" customFormat="false" ht="16.5" hidden="false" customHeight="true" outlineLevel="0" collapsed="false">
      <c r="A209" s="44" t="s">
        <v>721</v>
      </c>
      <c r="B209" s="45" t="s">
        <v>722</v>
      </c>
      <c r="C209" s="44" t="s">
        <v>704</v>
      </c>
      <c r="D209" s="44" t="s">
        <v>723</v>
      </c>
      <c r="E209" s="44" t="s">
        <v>141</v>
      </c>
      <c r="F209" s="36" t="str">
        <f aca="false">IF(LEN(AA209)=0,"",LEFT(AA209,LEN(AA209)-1))</f>
        <v/>
      </c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8"/>
      <c r="T209" s="37"/>
      <c r="U209" s="37"/>
      <c r="V209" s="46"/>
      <c r="W209" s="46"/>
      <c r="X209" s="40"/>
      <c r="Y209" s="41"/>
      <c r="Z209" s="42"/>
      <c r="AA209" s="43" t="str">
        <f aca="false">IF(G209&lt;&gt;"","Poplar|","")&amp;IF(H209&lt;&gt;"","FJ Primed Poplar|","")&amp;IF(I209&lt;&gt;"","FJ Primed Pine|","")&amp;IF(J209&lt;&gt;"","Clear Pine|","")&amp;IF(K209&lt;&gt;"","Primed MDF|","")&amp;IF(L209&lt;&gt;"","White Oak|","")&amp;IF(M209&lt;&gt;"","Red Oak|","")&amp;IF(N209&lt;&gt;"","Hard Maple|","")&amp;IF(O209&lt;&gt;"","Black Walnut|","")&amp;IF(P209&lt;&gt;"","Douglas Fir|","")&amp;IF(Q209&lt;&gt;"","Western Red Cedar|","")&amp;IF(R209&lt;&gt;"","PVC|","")&amp;IF(S209&lt;&gt;"","Flex|","")&amp;IF(T209&lt;&gt;"","Steel|","")&amp;IF(U209&lt;&gt;"","Plastic|","")&amp;IF(V209&lt;&gt;"",V209&amp;"|","")</f>
        <v/>
      </c>
    </row>
    <row r="210" customFormat="false" ht="16.5" hidden="false" customHeight="true" outlineLevel="0" collapsed="false">
      <c r="A210" s="44" t="s">
        <v>724</v>
      </c>
      <c r="B210" s="45" t="s">
        <v>725</v>
      </c>
      <c r="C210" s="44" t="s">
        <v>704</v>
      </c>
      <c r="D210" s="44" t="s">
        <v>726</v>
      </c>
      <c r="E210" s="44" t="s">
        <v>141</v>
      </c>
      <c r="F210" s="36" t="str">
        <f aca="false">IF(LEN(AA210)=0,"",LEFT(AA210,LEN(AA210)-1))</f>
        <v/>
      </c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8"/>
      <c r="T210" s="37"/>
      <c r="U210" s="37"/>
      <c r="V210" s="46"/>
      <c r="W210" s="46"/>
      <c r="X210" s="40"/>
      <c r="Y210" s="41"/>
      <c r="Z210" s="42"/>
      <c r="AA210" s="43" t="str">
        <f aca="false">IF(G210&lt;&gt;"","Poplar|","")&amp;IF(H210&lt;&gt;"","FJ Primed Poplar|","")&amp;IF(I210&lt;&gt;"","FJ Primed Pine|","")&amp;IF(J210&lt;&gt;"","Clear Pine|","")&amp;IF(K210&lt;&gt;"","Primed MDF|","")&amp;IF(L210&lt;&gt;"","White Oak|","")&amp;IF(M210&lt;&gt;"","Red Oak|","")&amp;IF(N210&lt;&gt;"","Hard Maple|","")&amp;IF(O210&lt;&gt;"","Black Walnut|","")&amp;IF(P210&lt;&gt;"","Douglas Fir|","")&amp;IF(Q210&lt;&gt;"","Western Red Cedar|","")&amp;IF(R210&lt;&gt;"","PVC|","")&amp;IF(S210&lt;&gt;"","Flex|","")&amp;IF(T210&lt;&gt;"","Steel|","")&amp;IF(U210&lt;&gt;"","Plastic|","")&amp;IF(V210&lt;&gt;"",V210&amp;"|","")</f>
        <v/>
      </c>
    </row>
    <row r="211" customFormat="false" ht="16.5" hidden="false" customHeight="true" outlineLevel="0" collapsed="false">
      <c r="A211" s="44" t="s">
        <v>727</v>
      </c>
      <c r="B211" s="45" t="s">
        <v>728</v>
      </c>
      <c r="C211" s="44" t="s">
        <v>704</v>
      </c>
      <c r="D211" s="44" t="s">
        <v>416</v>
      </c>
      <c r="E211" s="44" t="s">
        <v>141</v>
      </c>
      <c r="F211" s="36" t="str">
        <f aca="false">IF(LEN(AA211)=0,"",LEFT(AA211,LEN(AA211)-1))</f>
        <v/>
      </c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8"/>
      <c r="T211" s="37"/>
      <c r="U211" s="37"/>
      <c r="V211" s="46"/>
      <c r="W211" s="46"/>
      <c r="X211" s="40"/>
      <c r="Y211" s="41"/>
      <c r="Z211" s="42"/>
      <c r="AA211" s="43" t="str">
        <f aca="false">IF(G211&lt;&gt;"","Poplar|","")&amp;IF(H211&lt;&gt;"","FJ Primed Poplar|","")&amp;IF(I211&lt;&gt;"","FJ Primed Pine|","")&amp;IF(J211&lt;&gt;"","Clear Pine|","")&amp;IF(K211&lt;&gt;"","Primed MDF|","")&amp;IF(L211&lt;&gt;"","White Oak|","")&amp;IF(M211&lt;&gt;"","Red Oak|","")&amp;IF(N211&lt;&gt;"","Hard Maple|","")&amp;IF(O211&lt;&gt;"","Black Walnut|","")&amp;IF(P211&lt;&gt;"","Douglas Fir|","")&amp;IF(Q211&lt;&gt;"","Western Red Cedar|","")&amp;IF(R211&lt;&gt;"","PVC|","")&amp;IF(S211&lt;&gt;"","Flex|","")&amp;IF(T211&lt;&gt;"","Steel|","")&amp;IF(U211&lt;&gt;"","Plastic|","")&amp;IF(V211&lt;&gt;"",V211&amp;"|","")</f>
        <v/>
      </c>
    </row>
    <row r="212" customFormat="false" ht="16.5" hidden="false" customHeight="true" outlineLevel="0" collapsed="false">
      <c r="A212" s="34"/>
      <c r="B212" s="35" t="s">
        <v>729</v>
      </c>
      <c r="C212" s="34" t="s">
        <v>730</v>
      </c>
      <c r="D212" s="34" t="s">
        <v>731</v>
      </c>
      <c r="E212" s="34" t="s">
        <v>732</v>
      </c>
      <c r="F212" s="36" t="str">
        <f aca="false">IF(LEN(AA212)=0,"",LEFT(AA212,LEN(AA212)-1))</f>
        <v/>
      </c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8"/>
      <c r="T212" s="37"/>
      <c r="U212" s="37"/>
      <c r="V212" s="39"/>
      <c r="W212" s="39"/>
      <c r="X212" s="40"/>
      <c r="Y212" s="41"/>
      <c r="Z212" s="42"/>
      <c r="AA212" s="43" t="str">
        <f aca="false">IF(G212&lt;&gt;"","Poplar|","")&amp;IF(H212&lt;&gt;"","FJ Primed Poplar|","")&amp;IF(I212&lt;&gt;"","FJ Primed Pine|","")&amp;IF(J212&lt;&gt;"","Clear Pine|","")&amp;IF(K212&lt;&gt;"","Primed MDF|","")&amp;IF(L212&lt;&gt;"","White Oak|","")&amp;IF(M212&lt;&gt;"","Red Oak|","")&amp;IF(N212&lt;&gt;"","Hard Maple|","")&amp;IF(O212&lt;&gt;"","Black Walnut|","")&amp;IF(P212&lt;&gt;"","Douglas Fir|","")&amp;IF(Q212&lt;&gt;"","Western Red Cedar|","")&amp;IF(R212&lt;&gt;"","PVC|","")&amp;IF(S212&lt;&gt;"","Flex|","")&amp;IF(T212&lt;&gt;"","Steel|","")&amp;IF(U212&lt;&gt;"","Plastic|","")&amp;IF(V212&lt;&gt;"",V212&amp;"|","")</f>
        <v/>
      </c>
    </row>
    <row r="213" customFormat="false" ht="16.5" hidden="false" customHeight="true" outlineLevel="0" collapsed="false">
      <c r="A213" s="34"/>
      <c r="B213" s="35" t="s">
        <v>733</v>
      </c>
      <c r="C213" s="34" t="s">
        <v>730</v>
      </c>
      <c r="D213" s="34" t="s">
        <v>731</v>
      </c>
      <c r="E213" s="34" t="s">
        <v>732</v>
      </c>
      <c r="F213" s="36" t="str">
        <f aca="false">IF(LEN(AA213)=0,"",LEFT(AA213,LEN(AA213)-1))</f>
        <v/>
      </c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8"/>
      <c r="T213" s="37"/>
      <c r="U213" s="37"/>
      <c r="V213" s="39"/>
      <c r="W213" s="39"/>
      <c r="X213" s="40"/>
      <c r="Y213" s="41"/>
      <c r="Z213" s="42"/>
      <c r="AA213" s="43" t="str">
        <f aca="false">IF(G213&lt;&gt;"","Poplar|","")&amp;IF(H213&lt;&gt;"","FJ Primed Poplar|","")&amp;IF(I213&lt;&gt;"","FJ Primed Pine|","")&amp;IF(J213&lt;&gt;"","Clear Pine|","")&amp;IF(K213&lt;&gt;"","Primed MDF|","")&amp;IF(L213&lt;&gt;"","White Oak|","")&amp;IF(M213&lt;&gt;"","Red Oak|","")&amp;IF(N213&lt;&gt;"","Hard Maple|","")&amp;IF(O213&lt;&gt;"","Black Walnut|","")&amp;IF(P213&lt;&gt;"","Douglas Fir|","")&amp;IF(Q213&lt;&gt;"","Western Red Cedar|","")&amp;IF(R213&lt;&gt;"","PVC|","")&amp;IF(S213&lt;&gt;"","Flex|","")&amp;IF(T213&lt;&gt;"","Steel|","")&amp;IF(U213&lt;&gt;"","Plastic|","")&amp;IF(V213&lt;&gt;"",V213&amp;"|","")</f>
        <v/>
      </c>
    </row>
    <row r="214" customFormat="false" ht="16.5" hidden="false" customHeight="true" outlineLevel="0" collapsed="false">
      <c r="A214" s="34"/>
      <c r="B214" s="35" t="s">
        <v>734</v>
      </c>
      <c r="C214" s="34" t="s">
        <v>730</v>
      </c>
      <c r="D214" s="34" t="s">
        <v>731</v>
      </c>
      <c r="E214" s="34" t="s">
        <v>732</v>
      </c>
      <c r="F214" s="36" t="str">
        <f aca="false">IF(LEN(AA214)=0,"",LEFT(AA214,LEN(AA214)-1))</f>
        <v/>
      </c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8"/>
      <c r="T214" s="37"/>
      <c r="U214" s="37"/>
      <c r="V214" s="39"/>
      <c r="W214" s="39"/>
      <c r="X214" s="40"/>
      <c r="Y214" s="41"/>
      <c r="Z214" s="42"/>
      <c r="AA214" s="43" t="str">
        <f aca="false">IF(G214&lt;&gt;"","Poplar|","")&amp;IF(H214&lt;&gt;"","FJ Primed Poplar|","")&amp;IF(I214&lt;&gt;"","FJ Primed Pine|","")&amp;IF(J214&lt;&gt;"","Clear Pine|","")&amp;IF(K214&lt;&gt;"","Primed MDF|","")&amp;IF(L214&lt;&gt;"","White Oak|","")&amp;IF(M214&lt;&gt;"","Red Oak|","")&amp;IF(N214&lt;&gt;"","Hard Maple|","")&amp;IF(O214&lt;&gt;"","Black Walnut|","")&amp;IF(P214&lt;&gt;"","Douglas Fir|","")&amp;IF(Q214&lt;&gt;"","Western Red Cedar|","")&amp;IF(R214&lt;&gt;"","PVC|","")&amp;IF(S214&lt;&gt;"","Flex|","")&amp;IF(T214&lt;&gt;"","Steel|","")&amp;IF(U214&lt;&gt;"","Plastic|","")&amp;IF(V214&lt;&gt;"",V214&amp;"|","")</f>
        <v/>
      </c>
    </row>
    <row r="215" customFormat="false" ht="16.5" hidden="false" customHeight="true" outlineLevel="0" collapsed="false">
      <c r="A215" s="44"/>
      <c r="B215" s="45" t="s">
        <v>735</v>
      </c>
      <c r="C215" s="44" t="s">
        <v>736</v>
      </c>
      <c r="D215" s="44"/>
      <c r="E215" s="44" t="s">
        <v>732</v>
      </c>
      <c r="F215" s="36" t="str">
        <f aca="false">IF(LEN(AA215)=0,"",LEFT(AA215,LEN(AA215)-1))</f>
        <v/>
      </c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8"/>
      <c r="T215" s="37"/>
      <c r="U215" s="37"/>
      <c r="V215" s="46"/>
      <c r="W215" s="46"/>
      <c r="X215" s="40"/>
      <c r="Y215" s="41"/>
      <c r="Z215" s="42"/>
      <c r="AA215" s="43" t="str">
        <f aca="false">IF(G215&lt;&gt;"","Poplar|","")&amp;IF(H215&lt;&gt;"","FJ Primed Poplar|","")&amp;IF(I215&lt;&gt;"","FJ Primed Pine|","")&amp;IF(J215&lt;&gt;"","Clear Pine|","")&amp;IF(K215&lt;&gt;"","Primed MDF|","")&amp;IF(L215&lt;&gt;"","White Oak|","")&amp;IF(M215&lt;&gt;"","Red Oak|","")&amp;IF(N215&lt;&gt;"","Hard Maple|","")&amp;IF(O215&lt;&gt;"","Black Walnut|","")&amp;IF(P215&lt;&gt;"","Douglas Fir|","")&amp;IF(Q215&lt;&gt;"","Western Red Cedar|","")&amp;IF(R215&lt;&gt;"","PVC|","")&amp;IF(S215&lt;&gt;"","Flex|","")&amp;IF(T215&lt;&gt;"","Steel|","")&amp;IF(U215&lt;&gt;"","Plastic|","")&amp;IF(V215&lt;&gt;"",V215&amp;"|","")</f>
        <v/>
      </c>
    </row>
    <row r="216" customFormat="false" ht="16.5" hidden="false" customHeight="true" outlineLevel="0" collapsed="false">
      <c r="A216" s="34"/>
      <c r="B216" s="35" t="s">
        <v>737</v>
      </c>
      <c r="C216" s="34" t="s">
        <v>738</v>
      </c>
      <c r="D216" s="34" t="s">
        <v>739</v>
      </c>
      <c r="E216" s="34" t="s">
        <v>732</v>
      </c>
      <c r="F216" s="36" t="str">
        <f aca="false">IF(LEN(AA216)=0,"",LEFT(AA216,LEN(AA216)-1))</f>
        <v/>
      </c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8"/>
      <c r="T216" s="37"/>
      <c r="U216" s="37"/>
      <c r="V216" s="39"/>
      <c r="W216" s="39"/>
      <c r="X216" s="40"/>
      <c r="Y216" s="41"/>
      <c r="Z216" s="42"/>
      <c r="AA216" s="43" t="str">
        <f aca="false">IF(G216&lt;&gt;"","Poplar|","")&amp;IF(H216&lt;&gt;"","FJ Primed Poplar|","")&amp;IF(I216&lt;&gt;"","FJ Primed Pine|","")&amp;IF(J216&lt;&gt;"","Clear Pine|","")&amp;IF(K216&lt;&gt;"","Primed MDF|","")&amp;IF(L216&lt;&gt;"","White Oak|","")&amp;IF(M216&lt;&gt;"","Red Oak|","")&amp;IF(N216&lt;&gt;"","Hard Maple|","")&amp;IF(O216&lt;&gt;"","Black Walnut|","")&amp;IF(P216&lt;&gt;"","Douglas Fir|","")&amp;IF(Q216&lt;&gt;"","Western Red Cedar|","")&amp;IF(R216&lt;&gt;"","PVC|","")&amp;IF(S216&lt;&gt;"","Flex|","")&amp;IF(T216&lt;&gt;"","Steel|","")&amp;IF(U216&lt;&gt;"","Plastic|","")&amp;IF(V216&lt;&gt;"",V216&amp;"|","")</f>
        <v/>
      </c>
    </row>
    <row r="217" customFormat="false" ht="16.5" hidden="false" customHeight="true" outlineLevel="0" collapsed="false">
      <c r="A217" s="34"/>
      <c r="B217" s="35" t="s">
        <v>740</v>
      </c>
      <c r="C217" s="34" t="s">
        <v>738</v>
      </c>
      <c r="D217" s="34" t="s">
        <v>739</v>
      </c>
      <c r="E217" s="34" t="s">
        <v>732</v>
      </c>
      <c r="F217" s="36" t="str">
        <f aca="false">IF(LEN(AA217)=0,"",LEFT(AA217,LEN(AA217)-1))</f>
        <v/>
      </c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8"/>
      <c r="T217" s="37"/>
      <c r="U217" s="37"/>
      <c r="V217" s="39"/>
      <c r="W217" s="39"/>
      <c r="X217" s="40"/>
      <c r="Y217" s="41"/>
      <c r="Z217" s="42"/>
      <c r="AA217" s="43" t="str">
        <f aca="false">IF(G217&lt;&gt;"","Poplar|","")&amp;IF(H217&lt;&gt;"","FJ Primed Poplar|","")&amp;IF(I217&lt;&gt;"","FJ Primed Pine|","")&amp;IF(J217&lt;&gt;"","Clear Pine|","")&amp;IF(K217&lt;&gt;"","Primed MDF|","")&amp;IF(L217&lt;&gt;"","White Oak|","")&amp;IF(M217&lt;&gt;"","Red Oak|","")&amp;IF(N217&lt;&gt;"","Hard Maple|","")&amp;IF(O217&lt;&gt;"","Black Walnut|","")&amp;IF(P217&lt;&gt;"","Douglas Fir|","")&amp;IF(Q217&lt;&gt;"","Western Red Cedar|","")&amp;IF(R217&lt;&gt;"","PVC|","")&amp;IF(S217&lt;&gt;"","Flex|","")&amp;IF(T217&lt;&gt;"","Steel|","")&amp;IF(U217&lt;&gt;"","Plastic|","")&amp;IF(V217&lt;&gt;"",V217&amp;"|","")</f>
        <v/>
      </c>
    </row>
    <row r="218" customFormat="false" ht="16.5" hidden="false" customHeight="true" outlineLevel="0" collapsed="false">
      <c r="A218" s="34"/>
      <c r="B218" s="35" t="s">
        <v>741</v>
      </c>
      <c r="C218" s="34" t="s">
        <v>738</v>
      </c>
      <c r="D218" s="34" t="s">
        <v>739</v>
      </c>
      <c r="E218" s="34" t="s">
        <v>732</v>
      </c>
      <c r="F218" s="36" t="str">
        <f aca="false">IF(LEN(AA218)=0,"",LEFT(AA218,LEN(AA218)-1))</f>
        <v/>
      </c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8"/>
      <c r="T218" s="37"/>
      <c r="U218" s="37"/>
      <c r="V218" s="39"/>
      <c r="W218" s="39"/>
      <c r="X218" s="40"/>
      <c r="Y218" s="41"/>
      <c r="Z218" s="42"/>
      <c r="AA218" s="43" t="str">
        <f aca="false">IF(G218&lt;&gt;"","Poplar|","")&amp;IF(H218&lt;&gt;"","FJ Primed Poplar|","")&amp;IF(I218&lt;&gt;"","FJ Primed Pine|","")&amp;IF(J218&lt;&gt;"","Clear Pine|","")&amp;IF(K218&lt;&gt;"","Primed MDF|","")&amp;IF(L218&lt;&gt;"","White Oak|","")&amp;IF(M218&lt;&gt;"","Red Oak|","")&amp;IF(N218&lt;&gt;"","Hard Maple|","")&amp;IF(O218&lt;&gt;"","Black Walnut|","")&amp;IF(P218&lt;&gt;"","Douglas Fir|","")&amp;IF(Q218&lt;&gt;"","Western Red Cedar|","")&amp;IF(R218&lt;&gt;"","PVC|","")&amp;IF(S218&lt;&gt;"","Flex|","")&amp;IF(T218&lt;&gt;"","Steel|","")&amp;IF(U218&lt;&gt;"","Plastic|","")&amp;IF(V218&lt;&gt;"",V218&amp;"|","")</f>
        <v/>
      </c>
    </row>
    <row r="219" customFormat="false" ht="16.5" hidden="false" customHeight="true" outlineLevel="0" collapsed="false">
      <c r="A219" s="34"/>
      <c r="B219" s="35" t="s">
        <v>742</v>
      </c>
      <c r="C219" s="34" t="s">
        <v>738</v>
      </c>
      <c r="D219" s="34" t="s">
        <v>739</v>
      </c>
      <c r="E219" s="34" t="s">
        <v>732</v>
      </c>
      <c r="F219" s="36" t="str">
        <f aca="false">IF(LEN(AA219)=0,"",LEFT(AA219,LEN(AA219)-1))</f>
        <v/>
      </c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8"/>
      <c r="T219" s="37"/>
      <c r="U219" s="37"/>
      <c r="V219" s="39"/>
      <c r="W219" s="39"/>
      <c r="X219" s="40"/>
      <c r="Y219" s="41"/>
      <c r="Z219" s="42"/>
      <c r="AA219" s="43" t="str">
        <f aca="false">IF(G219&lt;&gt;"","Poplar|","")&amp;IF(H219&lt;&gt;"","FJ Primed Poplar|","")&amp;IF(I219&lt;&gt;"","FJ Primed Pine|","")&amp;IF(J219&lt;&gt;"","Clear Pine|","")&amp;IF(K219&lt;&gt;"","Primed MDF|","")&amp;IF(L219&lt;&gt;"","White Oak|","")&amp;IF(M219&lt;&gt;"","Red Oak|","")&amp;IF(N219&lt;&gt;"","Hard Maple|","")&amp;IF(O219&lt;&gt;"","Black Walnut|","")&amp;IF(P219&lt;&gt;"","Douglas Fir|","")&amp;IF(Q219&lt;&gt;"","Western Red Cedar|","")&amp;IF(R219&lt;&gt;"","PVC|","")&amp;IF(S219&lt;&gt;"","Flex|","")&amp;IF(T219&lt;&gt;"","Steel|","")&amp;IF(U219&lt;&gt;"","Plastic|","")&amp;IF(V219&lt;&gt;"",V219&amp;"|","")</f>
        <v/>
      </c>
    </row>
    <row r="220" customFormat="false" ht="16.5" hidden="false" customHeight="true" outlineLevel="0" collapsed="false">
      <c r="A220" s="34"/>
      <c r="B220" s="35" t="s">
        <v>743</v>
      </c>
      <c r="C220" s="34" t="s">
        <v>738</v>
      </c>
      <c r="D220" s="34" t="s">
        <v>739</v>
      </c>
      <c r="E220" s="34" t="s">
        <v>732</v>
      </c>
      <c r="F220" s="36" t="str">
        <f aca="false">IF(LEN(AA220)=0,"",LEFT(AA220,LEN(AA220)-1))</f>
        <v/>
      </c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8"/>
      <c r="T220" s="37"/>
      <c r="U220" s="37"/>
      <c r="V220" s="39"/>
      <c r="W220" s="39"/>
      <c r="X220" s="40"/>
      <c r="Y220" s="41"/>
      <c r="Z220" s="42"/>
      <c r="AA220" s="43" t="str">
        <f aca="false">IF(G220&lt;&gt;"","Poplar|","")&amp;IF(H220&lt;&gt;"","FJ Primed Poplar|","")&amp;IF(I220&lt;&gt;"","FJ Primed Pine|","")&amp;IF(J220&lt;&gt;"","Clear Pine|","")&amp;IF(K220&lt;&gt;"","Primed MDF|","")&amp;IF(L220&lt;&gt;"","White Oak|","")&amp;IF(M220&lt;&gt;"","Red Oak|","")&amp;IF(N220&lt;&gt;"","Hard Maple|","")&amp;IF(O220&lt;&gt;"","Black Walnut|","")&amp;IF(P220&lt;&gt;"","Douglas Fir|","")&amp;IF(Q220&lt;&gt;"","Western Red Cedar|","")&amp;IF(R220&lt;&gt;"","PVC|","")&amp;IF(S220&lt;&gt;"","Flex|","")&amp;IF(T220&lt;&gt;"","Steel|","")&amp;IF(U220&lt;&gt;"","Plastic|","")&amp;IF(V220&lt;&gt;"",V220&amp;"|","")</f>
        <v/>
      </c>
    </row>
    <row r="221" customFormat="false" ht="16.5" hidden="false" customHeight="true" outlineLevel="0" collapsed="false">
      <c r="A221" s="34"/>
      <c r="B221" s="35" t="s">
        <v>743</v>
      </c>
      <c r="C221" s="34" t="s">
        <v>738</v>
      </c>
      <c r="D221" s="34" t="s">
        <v>739</v>
      </c>
      <c r="E221" s="34" t="s">
        <v>732</v>
      </c>
      <c r="F221" s="36" t="str">
        <f aca="false">IF(LEN(AA221)=0,"",LEFT(AA221,LEN(AA221)-1))</f>
        <v/>
      </c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8"/>
      <c r="T221" s="37"/>
      <c r="U221" s="37"/>
      <c r="V221" s="39"/>
      <c r="W221" s="39"/>
      <c r="X221" s="40"/>
      <c r="Y221" s="41"/>
      <c r="Z221" s="42"/>
      <c r="AA221" s="43" t="str">
        <f aca="false">IF(G221&lt;&gt;"","Poplar|","")&amp;IF(H221&lt;&gt;"","FJ Primed Poplar|","")&amp;IF(I221&lt;&gt;"","FJ Primed Pine|","")&amp;IF(J221&lt;&gt;"","Clear Pine|","")&amp;IF(K221&lt;&gt;"","Primed MDF|","")&amp;IF(L221&lt;&gt;"","White Oak|","")&amp;IF(M221&lt;&gt;"","Red Oak|","")&amp;IF(N221&lt;&gt;"","Hard Maple|","")&amp;IF(O221&lt;&gt;"","Black Walnut|","")&amp;IF(P221&lt;&gt;"","Douglas Fir|","")&amp;IF(Q221&lt;&gt;"","Western Red Cedar|","")&amp;IF(R221&lt;&gt;"","PVC|","")&amp;IF(S221&lt;&gt;"","Flex|","")&amp;IF(T221&lt;&gt;"","Steel|","")&amp;IF(U221&lt;&gt;"","Plastic|","")&amp;IF(V221&lt;&gt;"",V221&amp;"|","")</f>
        <v/>
      </c>
    </row>
    <row r="222" customFormat="false" ht="16.5" hidden="false" customHeight="true" outlineLevel="0" collapsed="false">
      <c r="A222" s="34"/>
      <c r="B222" s="35" t="s">
        <v>744</v>
      </c>
      <c r="C222" s="34" t="s">
        <v>738</v>
      </c>
      <c r="D222" s="34" t="s">
        <v>739</v>
      </c>
      <c r="E222" s="34" t="s">
        <v>732</v>
      </c>
      <c r="F222" s="36" t="str">
        <f aca="false">IF(LEN(AA222)=0,"",LEFT(AA222,LEN(AA222)-1))</f>
        <v/>
      </c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8"/>
      <c r="T222" s="37"/>
      <c r="U222" s="37"/>
      <c r="V222" s="39"/>
      <c r="W222" s="39"/>
      <c r="X222" s="40"/>
      <c r="Y222" s="41"/>
      <c r="Z222" s="42"/>
      <c r="AA222" s="43" t="str">
        <f aca="false">IF(G222&lt;&gt;"","Poplar|","")&amp;IF(H222&lt;&gt;"","FJ Primed Poplar|","")&amp;IF(I222&lt;&gt;"","FJ Primed Pine|","")&amp;IF(J222&lt;&gt;"","Clear Pine|","")&amp;IF(K222&lt;&gt;"","Primed MDF|","")&amp;IF(L222&lt;&gt;"","White Oak|","")&amp;IF(M222&lt;&gt;"","Red Oak|","")&amp;IF(N222&lt;&gt;"","Hard Maple|","")&amp;IF(O222&lt;&gt;"","Black Walnut|","")&amp;IF(P222&lt;&gt;"","Douglas Fir|","")&amp;IF(Q222&lt;&gt;"","Western Red Cedar|","")&amp;IF(R222&lt;&gt;"","PVC|","")&amp;IF(S222&lt;&gt;"","Flex|","")&amp;IF(T222&lt;&gt;"","Steel|","")&amp;IF(U222&lt;&gt;"","Plastic|","")&amp;IF(V222&lt;&gt;"",V222&amp;"|","")</f>
        <v/>
      </c>
    </row>
    <row r="223" customFormat="false" ht="16.5" hidden="false" customHeight="true" outlineLevel="0" collapsed="false">
      <c r="A223" s="34"/>
      <c r="B223" s="35" t="s">
        <v>745</v>
      </c>
      <c r="C223" s="34" t="s">
        <v>738</v>
      </c>
      <c r="D223" s="34" t="s">
        <v>739</v>
      </c>
      <c r="E223" s="34" t="s">
        <v>732</v>
      </c>
      <c r="F223" s="36" t="str">
        <f aca="false">IF(LEN(AA223)=0,"",LEFT(AA223,LEN(AA223)-1))</f>
        <v/>
      </c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8"/>
      <c r="T223" s="37"/>
      <c r="U223" s="37"/>
      <c r="V223" s="39"/>
      <c r="W223" s="39"/>
      <c r="X223" s="40"/>
      <c r="Y223" s="41"/>
      <c r="Z223" s="42"/>
      <c r="AA223" s="43" t="str">
        <f aca="false">IF(G223&lt;&gt;"","Poplar|","")&amp;IF(H223&lt;&gt;"","FJ Primed Poplar|","")&amp;IF(I223&lt;&gt;"","FJ Primed Pine|","")&amp;IF(J223&lt;&gt;"","Clear Pine|","")&amp;IF(K223&lt;&gt;"","Primed MDF|","")&amp;IF(L223&lt;&gt;"","White Oak|","")&amp;IF(M223&lt;&gt;"","Red Oak|","")&amp;IF(N223&lt;&gt;"","Hard Maple|","")&amp;IF(O223&lt;&gt;"","Black Walnut|","")&amp;IF(P223&lt;&gt;"","Douglas Fir|","")&amp;IF(Q223&lt;&gt;"","Western Red Cedar|","")&amp;IF(R223&lt;&gt;"","PVC|","")&amp;IF(S223&lt;&gt;"","Flex|","")&amp;IF(T223&lt;&gt;"","Steel|","")&amp;IF(U223&lt;&gt;"","Plastic|","")&amp;IF(V223&lt;&gt;"",V223&amp;"|","")</f>
        <v/>
      </c>
    </row>
    <row r="224" customFormat="false" ht="16.5" hidden="false" customHeight="true" outlineLevel="0" collapsed="false">
      <c r="A224" s="34"/>
      <c r="B224" s="35" t="s">
        <v>746</v>
      </c>
      <c r="C224" s="34" t="s">
        <v>738</v>
      </c>
      <c r="D224" s="34" t="s">
        <v>739</v>
      </c>
      <c r="E224" s="34" t="s">
        <v>732</v>
      </c>
      <c r="F224" s="36" t="str">
        <f aca="false">IF(LEN(AA224)=0,"",LEFT(AA224,LEN(AA224)-1))</f>
        <v/>
      </c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8"/>
      <c r="T224" s="37"/>
      <c r="U224" s="37"/>
      <c r="V224" s="39"/>
      <c r="W224" s="39"/>
      <c r="X224" s="40"/>
      <c r="Y224" s="41"/>
      <c r="Z224" s="42"/>
      <c r="AA224" s="43" t="str">
        <f aca="false">IF(G224&lt;&gt;"","Poplar|","")&amp;IF(H224&lt;&gt;"","FJ Primed Poplar|","")&amp;IF(I224&lt;&gt;"","FJ Primed Pine|","")&amp;IF(J224&lt;&gt;"","Clear Pine|","")&amp;IF(K224&lt;&gt;"","Primed MDF|","")&amp;IF(L224&lt;&gt;"","White Oak|","")&amp;IF(M224&lt;&gt;"","Red Oak|","")&amp;IF(N224&lt;&gt;"","Hard Maple|","")&amp;IF(O224&lt;&gt;"","Black Walnut|","")&amp;IF(P224&lt;&gt;"","Douglas Fir|","")&amp;IF(Q224&lt;&gt;"","Western Red Cedar|","")&amp;IF(R224&lt;&gt;"","PVC|","")&amp;IF(S224&lt;&gt;"","Flex|","")&amp;IF(T224&lt;&gt;"","Steel|","")&amp;IF(U224&lt;&gt;"","Plastic|","")&amp;IF(V224&lt;&gt;"",V224&amp;"|","")</f>
        <v/>
      </c>
    </row>
    <row r="225" customFormat="false" ht="16.5" hidden="false" customHeight="true" outlineLevel="0" collapsed="false">
      <c r="A225" s="34"/>
      <c r="B225" s="35" t="s">
        <v>746</v>
      </c>
      <c r="C225" s="34" t="s">
        <v>738</v>
      </c>
      <c r="D225" s="34" t="s">
        <v>739</v>
      </c>
      <c r="E225" s="34" t="s">
        <v>732</v>
      </c>
      <c r="F225" s="36" t="str">
        <f aca="false">IF(LEN(AA225)=0,"",LEFT(AA225,LEN(AA225)-1))</f>
        <v/>
      </c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8"/>
      <c r="T225" s="37"/>
      <c r="U225" s="37"/>
      <c r="V225" s="39"/>
      <c r="W225" s="39"/>
      <c r="X225" s="40"/>
      <c r="Y225" s="41"/>
      <c r="Z225" s="42"/>
      <c r="AA225" s="43" t="str">
        <f aca="false">IF(G225&lt;&gt;"","Poplar|","")&amp;IF(H225&lt;&gt;"","FJ Primed Poplar|","")&amp;IF(I225&lt;&gt;"","FJ Primed Pine|","")&amp;IF(J225&lt;&gt;"","Clear Pine|","")&amp;IF(K225&lt;&gt;"","Primed MDF|","")&amp;IF(L225&lt;&gt;"","White Oak|","")&amp;IF(M225&lt;&gt;"","Red Oak|","")&amp;IF(N225&lt;&gt;"","Hard Maple|","")&amp;IF(O225&lt;&gt;"","Black Walnut|","")&amp;IF(P225&lt;&gt;"","Douglas Fir|","")&amp;IF(Q225&lt;&gt;"","Western Red Cedar|","")&amp;IF(R225&lt;&gt;"","PVC|","")&amp;IF(S225&lt;&gt;"","Flex|","")&amp;IF(T225&lt;&gt;"","Steel|","")&amp;IF(U225&lt;&gt;"","Plastic|","")&amp;IF(V225&lt;&gt;"",V225&amp;"|","")</f>
        <v/>
      </c>
    </row>
    <row r="226" customFormat="false" ht="16.5" hidden="false" customHeight="true" outlineLevel="0" collapsed="false">
      <c r="A226" s="34"/>
      <c r="B226" s="35" t="s">
        <v>747</v>
      </c>
      <c r="C226" s="34" t="s">
        <v>738</v>
      </c>
      <c r="D226" s="34" t="s">
        <v>739</v>
      </c>
      <c r="E226" s="34" t="s">
        <v>732</v>
      </c>
      <c r="F226" s="36" t="str">
        <f aca="false">IF(LEN(AA226)=0,"",LEFT(AA226,LEN(AA226)-1))</f>
        <v/>
      </c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8"/>
      <c r="T226" s="37"/>
      <c r="U226" s="37"/>
      <c r="V226" s="39"/>
      <c r="W226" s="39"/>
      <c r="X226" s="40"/>
      <c r="Y226" s="41"/>
      <c r="Z226" s="42"/>
      <c r="AA226" s="43" t="str">
        <f aca="false">IF(G226&lt;&gt;"","Poplar|","")&amp;IF(H226&lt;&gt;"","FJ Primed Poplar|","")&amp;IF(I226&lt;&gt;"","FJ Primed Pine|","")&amp;IF(J226&lt;&gt;"","Clear Pine|","")&amp;IF(K226&lt;&gt;"","Primed MDF|","")&amp;IF(L226&lt;&gt;"","White Oak|","")&amp;IF(M226&lt;&gt;"","Red Oak|","")&amp;IF(N226&lt;&gt;"","Hard Maple|","")&amp;IF(O226&lt;&gt;"","Black Walnut|","")&amp;IF(P226&lt;&gt;"","Douglas Fir|","")&amp;IF(Q226&lt;&gt;"","Western Red Cedar|","")&amp;IF(R226&lt;&gt;"","PVC|","")&amp;IF(S226&lt;&gt;"","Flex|","")&amp;IF(T226&lt;&gt;"","Steel|","")&amp;IF(U226&lt;&gt;"","Plastic|","")&amp;IF(V226&lt;&gt;"",V226&amp;"|","")</f>
        <v/>
      </c>
    </row>
    <row r="227" customFormat="false" ht="16.5" hidden="false" customHeight="true" outlineLevel="0" collapsed="false">
      <c r="A227" s="34"/>
      <c r="B227" s="35" t="s">
        <v>748</v>
      </c>
      <c r="C227" s="34" t="s">
        <v>738</v>
      </c>
      <c r="D227" s="34" t="s">
        <v>739</v>
      </c>
      <c r="E227" s="34" t="s">
        <v>732</v>
      </c>
      <c r="F227" s="36" t="str">
        <f aca="false">IF(LEN(AA227)=0,"",LEFT(AA227,LEN(AA227)-1))</f>
        <v/>
      </c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8"/>
      <c r="T227" s="37"/>
      <c r="U227" s="37"/>
      <c r="V227" s="39"/>
      <c r="W227" s="39"/>
      <c r="X227" s="40"/>
      <c r="Y227" s="41"/>
      <c r="Z227" s="42"/>
      <c r="AA227" s="43" t="str">
        <f aca="false">IF(G227&lt;&gt;"","Poplar|","")&amp;IF(H227&lt;&gt;"","FJ Primed Poplar|","")&amp;IF(I227&lt;&gt;"","FJ Primed Pine|","")&amp;IF(J227&lt;&gt;"","Clear Pine|","")&amp;IF(K227&lt;&gt;"","Primed MDF|","")&amp;IF(L227&lt;&gt;"","White Oak|","")&amp;IF(M227&lt;&gt;"","Red Oak|","")&amp;IF(N227&lt;&gt;"","Hard Maple|","")&amp;IF(O227&lt;&gt;"","Black Walnut|","")&amp;IF(P227&lt;&gt;"","Douglas Fir|","")&amp;IF(Q227&lt;&gt;"","Western Red Cedar|","")&amp;IF(R227&lt;&gt;"","PVC|","")&amp;IF(S227&lt;&gt;"","Flex|","")&amp;IF(T227&lt;&gt;"","Steel|","")&amp;IF(U227&lt;&gt;"","Plastic|","")&amp;IF(V227&lt;&gt;"",V227&amp;"|","")</f>
        <v/>
      </c>
    </row>
    <row r="228" customFormat="false" ht="16.5" hidden="false" customHeight="true" outlineLevel="0" collapsed="false">
      <c r="A228" s="34"/>
      <c r="B228" s="35" t="s">
        <v>748</v>
      </c>
      <c r="C228" s="34" t="s">
        <v>738</v>
      </c>
      <c r="D228" s="34" t="s">
        <v>739</v>
      </c>
      <c r="E228" s="34" t="s">
        <v>732</v>
      </c>
      <c r="F228" s="36" t="str">
        <f aca="false">IF(LEN(AA228)=0,"",LEFT(AA228,LEN(AA228)-1))</f>
        <v/>
      </c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8"/>
      <c r="T228" s="37"/>
      <c r="U228" s="37"/>
      <c r="V228" s="39"/>
      <c r="W228" s="39"/>
      <c r="X228" s="40"/>
      <c r="Y228" s="41"/>
      <c r="Z228" s="42"/>
      <c r="AA228" s="43" t="str">
        <f aca="false">IF(G228&lt;&gt;"","Poplar|","")&amp;IF(H228&lt;&gt;"","FJ Primed Poplar|","")&amp;IF(I228&lt;&gt;"","FJ Primed Pine|","")&amp;IF(J228&lt;&gt;"","Clear Pine|","")&amp;IF(K228&lt;&gt;"","Primed MDF|","")&amp;IF(L228&lt;&gt;"","White Oak|","")&amp;IF(M228&lt;&gt;"","Red Oak|","")&amp;IF(N228&lt;&gt;"","Hard Maple|","")&amp;IF(O228&lt;&gt;"","Black Walnut|","")&amp;IF(P228&lt;&gt;"","Douglas Fir|","")&amp;IF(Q228&lt;&gt;"","Western Red Cedar|","")&amp;IF(R228&lt;&gt;"","PVC|","")&amp;IF(S228&lt;&gt;"","Flex|","")&amp;IF(T228&lt;&gt;"","Steel|","")&amp;IF(U228&lt;&gt;"","Plastic|","")&amp;IF(V228&lt;&gt;"",V228&amp;"|","")</f>
        <v/>
      </c>
    </row>
    <row r="229" customFormat="false" ht="16.5" hidden="false" customHeight="true" outlineLevel="0" collapsed="false">
      <c r="A229" s="34"/>
      <c r="B229" s="35" t="s">
        <v>749</v>
      </c>
      <c r="C229" s="34" t="s">
        <v>738</v>
      </c>
      <c r="D229" s="34" t="s">
        <v>739</v>
      </c>
      <c r="E229" s="34" t="s">
        <v>732</v>
      </c>
      <c r="F229" s="36" t="str">
        <f aca="false">IF(LEN(AA229)=0,"",LEFT(AA229,LEN(AA229)-1))</f>
        <v/>
      </c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8"/>
      <c r="T229" s="37"/>
      <c r="U229" s="37"/>
      <c r="V229" s="39"/>
      <c r="W229" s="39"/>
      <c r="X229" s="40"/>
      <c r="Y229" s="41"/>
      <c r="Z229" s="42"/>
      <c r="AA229" s="43" t="str">
        <f aca="false">IF(G229&lt;&gt;"","Poplar|","")&amp;IF(H229&lt;&gt;"","FJ Primed Poplar|","")&amp;IF(I229&lt;&gt;"","FJ Primed Pine|","")&amp;IF(J229&lt;&gt;"","Clear Pine|","")&amp;IF(K229&lt;&gt;"","Primed MDF|","")&amp;IF(L229&lt;&gt;"","White Oak|","")&amp;IF(M229&lt;&gt;"","Red Oak|","")&amp;IF(N229&lt;&gt;"","Hard Maple|","")&amp;IF(O229&lt;&gt;"","Black Walnut|","")&amp;IF(P229&lt;&gt;"","Douglas Fir|","")&amp;IF(Q229&lt;&gt;"","Western Red Cedar|","")&amp;IF(R229&lt;&gt;"","PVC|","")&amp;IF(S229&lt;&gt;"","Flex|","")&amp;IF(T229&lt;&gt;"","Steel|","")&amp;IF(U229&lt;&gt;"","Plastic|","")&amp;IF(V229&lt;&gt;"",V229&amp;"|","")</f>
        <v/>
      </c>
    </row>
    <row r="230" customFormat="false" ht="16.5" hidden="false" customHeight="true" outlineLevel="0" collapsed="false">
      <c r="A230" s="34"/>
      <c r="B230" s="35" t="s">
        <v>750</v>
      </c>
      <c r="C230" s="34" t="s">
        <v>738</v>
      </c>
      <c r="D230" s="34" t="s">
        <v>739</v>
      </c>
      <c r="E230" s="34" t="s">
        <v>732</v>
      </c>
      <c r="F230" s="36" t="str">
        <f aca="false">IF(LEN(AA230)=0,"",LEFT(AA230,LEN(AA230)-1))</f>
        <v/>
      </c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8"/>
      <c r="T230" s="37"/>
      <c r="U230" s="37"/>
      <c r="V230" s="39"/>
      <c r="W230" s="39"/>
      <c r="X230" s="40"/>
      <c r="Y230" s="41"/>
      <c r="Z230" s="42"/>
      <c r="AA230" s="43" t="str">
        <f aca="false">IF(G230&lt;&gt;"","Poplar|","")&amp;IF(H230&lt;&gt;"","FJ Primed Poplar|","")&amp;IF(I230&lt;&gt;"","FJ Primed Pine|","")&amp;IF(J230&lt;&gt;"","Clear Pine|","")&amp;IF(K230&lt;&gt;"","Primed MDF|","")&amp;IF(L230&lt;&gt;"","White Oak|","")&amp;IF(M230&lt;&gt;"","Red Oak|","")&amp;IF(N230&lt;&gt;"","Hard Maple|","")&amp;IF(O230&lt;&gt;"","Black Walnut|","")&amp;IF(P230&lt;&gt;"","Douglas Fir|","")&amp;IF(Q230&lt;&gt;"","Western Red Cedar|","")&amp;IF(R230&lt;&gt;"","PVC|","")&amp;IF(S230&lt;&gt;"","Flex|","")&amp;IF(T230&lt;&gt;"","Steel|","")&amp;IF(U230&lt;&gt;"","Plastic|","")&amp;IF(V230&lt;&gt;"",V230&amp;"|","")</f>
        <v/>
      </c>
    </row>
    <row r="231" customFormat="false" ht="16.5" hidden="false" customHeight="true" outlineLevel="0" collapsed="false">
      <c r="A231" s="34"/>
      <c r="B231" s="35" t="s">
        <v>751</v>
      </c>
      <c r="C231" s="34" t="s">
        <v>738</v>
      </c>
      <c r="D231" s="34" t="s">
        <v>739</v>
      </c>
      <c r="E231" s="34" t="s">
        <v>732</v>
      </c>
      <c r="F231" s="36" t="str">
        <f aca="false">IF(LEN(AA231)=0,"",LEFT(AA231,LEN(AA231)-1))</f>
        <v/>
      </c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8"/>
      <c r="T231" s="37"/>
      <c r="U231" s="37"/>
      <c r="V231" s="39"/>
      <c r="W231" s="39"/>
      <c r="X231" s="40"/>
      <c r="Y231" s="41"/>
      <c r="Z231" s="42"/>
      <c r="AA231" s="43" t="str">
        <f aca="false">IF(G231&lt;&gt;"","Poplar|","")&amp;IF(H231&lt;&gt;"","FJ Primed Poplar|","")&amp;IF(I231&lt;&gt;"","FJ Primed Pine|","")&amp;IF(J231&lt;&gt;"","Clear Pine|","")&amp;IF(K231&lt;&gt;"","Primed MDF|","")&amp;IF(L231&lt;&gt;"","White Oak|","")&amp;IF(M231&lt;&gt;"","Red Oak|","")&amp;IF(N231&lt;&gt;"","Hard Maple|","")&amp;IF(O231&lt;&gt;"","Black Walnut|","")&amp;IF(P231&lt;&gt;"","Douglas Fir|","")&amp;IF(Q231&lt;&gt;"","Western Red Cedar|","")&amp;IF(R231&lt;&gt;"","PVC|","")&amp;IF(S231&lt;&gt;"","Flex|","")&amp;IF(T231&lt;&gt;"","Steel|","")&amp;IF(U231&lt;&gt;"","Plastic|","")&amp;IF(V231&lt;&gt;"",V231&amp;"|","")</f>
        <v/>
      </c>
    </row>
    <row r="232" customFormat="false" ht="16.5" hidden="false" customHeight="true" outlineLevel="0" collapsed="false">
      <c r="A232" s="34"/>
      <c r="B232" s="35" t="s">
        <v>752</v>
      </c>
      <c r="C232" s="34" t="s">
        <v>738</v>
      </c>
      <c r="D232" s="34" t="s">
        <v>739</v>
      </c>
      <c r="E232" s="34" t="s">
        <v>732</v>
      </c>
      <c r="F232" s="36" t="str">
        <f aca="false">IF(LEN(AA232)=0,"",LEFT(AA232,LEN(AA232)-1))</f>
        <v/>
      </c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8"/>
      <c r="T232" s="37"/>
      <c r="U232" s="37"/>
      <c r="V232" s="39"/>
      <c r="W232" s="39"/>
      <c r="X232" s="40"/>
      <c r="Y232" s="41"/>
      <c r="Z232" s="42"/>
      <c r="AA232" s="43" t="str">
        <f aca="false">IF(G232&lt;&gt;"","Poplar|","")&amp;IF(H232&lt;&gt;"","FJ Primed Poplar|","")&amp;IF(I232&lt;&gt;"","FJ Primed Pine|","")&amp;IF(J232&lt;&gt;"","Clear Pine|","")&amp;IF(K232&lt;&gt;"","Primed MDF|","")&amp;IF(L232&lt;&gt;"","White Oak|","")&amp;IF(M232&lt;&gt;"","Red Oak|","")&amp;IF(N232&lt;&gt;"","Hard Maple|","")&amp;IF(O232&lt;&gt;"","Black Walnut|","")&amp;IF(P232&lt;&gt;"","Douglas Fir|","")&amp;IF(Q232&lt;&gt;"","Western Red Cedar|","")&amp;IF(R232&lt;&gt;"","PVC|","")&amp;IF(S232&lt;&gt;"","Flex|","")&amp;IF(T232&lt;&gt;"","Steel|","")&amp;IF(U232&lt;&gt;"","Plastic|","")&amp;IF(V232&lt;&gt;"",V232&amp;"|","")</f>
        <v/>
      </c>
    </row>
    <row r="233" customFormat="false" ht="16.5" hidden="false" customHeight="true" outlineLevel="0" collapsed="false">
      <c r="A233" s="34"/>
      <c r="B233" s="35" t="s">
        <v>753</v>
      </c>
      <c r="C233" s="34" t="s">
        <v>738</v>
      </c>
      <c r="D233" s="34" t="s">
        <v>739</v>
      </c>
      <c r="E233" s="34" t="s">
        <v>732</v>
      </c>
      <c r="F233" s="36" t="str">
        <f aca="false">IF(LEN(AA233)=0,"",LEFT(AA233,LEN(AA233)-1))</f>
        <v/>
      </c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8"/>
      <c r="T233" s="37"/>
      <c r="U233" s="37"/>
      <c r="V233" s="39"/>
      <c r="W233" s="39"/>
      <c r="X233" s="40"/>
      <c r="Y233" s="41"/>
      <c r="Z233" s="42"/>
      <c r="AA233" s="43" t="str">
        <f aca="false">IF(G233&lt;&gt;"","Poplar|","")&amp;IF(H233&lt;&gt;"","FJ Primed Poplar|","")&amp;IF(I233&lt;&gt;"","FJ Primed Pine|","")&amp;IF(J233&lt;&gt;"","Clear Pine|","")&amp;IF(K233&lt;&gt;"","Primed MDF|","")&amp;IF(L233&lt;&gt;"","White Oak|","")&amp;IF(M233&lt;&gt;"","Red Oak|","")&amp;IF(N233&lt;&gt;"","Hard Maple|","")&amp;IF(O233&lt;&gt;"","Black Walnut|","")&amp;IF(P233&lt;&gt;"","Douglas Fir|","")&amp;IF(Q233&lt;&gt;"","Western Red Cedar|","")&amp;IF(R233&lt;&gt;"","PVC|","")&amp;IF(S233&lt;&gt;"","Flex|","")&amp;IF(T233&lt;&gt;"","Steel|","")&amp;IF(U233&lt;&gt;"","Plastic|","")&amp;IF(V233&lt;&gt;"",V233&amp;"|","")</f>
        <v/>
      </c>
    </row>
    <row r="234" customFormat="false" ht="16.5" hidden="false" customHeight="true" outlineLevel="0" collapsed="false">
      <c r="A234" s="34"/>
      <c r="B234" s="35" t="s">
        <v>753</v>
      </c>
      <c r="C234" s="34" t="s">
        <v>738</v>
      </c>
      <c r="D234" s="34" t="s">
        <v>739</v>
      </c>
      <c r="E234" s="34" t="s">
        <v>732</v>
      </c>
      <c r="F234" s="36" t="str">
        <f aca="false">IF(LEN(AA234)=0,"",LEFT(AA234,LEN(AA234)-1))</f>
        <v/>
      </c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8"/>
      <c r="T234" s="37"/>
      <c r="U234" s="37"/>
      <c r="V234" s="39"/>
      <c r="W234" s="39"/>
      <c r="X234" s="40"/>
      <c r="Y234" s="41"/>
      <c r="Z234" s="42"/>
      <c r="AA234" s="43" t="str">
        <f aca="false">IF(G234&lt;&gt;"","Poplar|","")&amp;IF(H234&lt;&gt;"","FJ Primed Poplar|","")&amp;IF(I234&lt;&gt;"","FJ Primed Pine|","")&amp;IF(J234&lt;&gt;"","Clear Pine|","")&amp;IF(K234&lt;&gt;"","Primed MDF|","")&amp;IF(L234&lt;&gt;"","White Oak|","")&amp;IF(M234&lt;&gt;"","Red Oak|","")&amp;IF(N234&lt;&gt;"","Hard Maple|","")&amp;IF(O234&lt;&gt;"","Black Walnut|","")&amp;IF(P234&lt;&gt;"","Douglas Fir|","")&amp;IF(Q234&lt;&gt;"","Western Red Cedar|","")&amp;IF(R234&lt;&gt;"","PVC|","")&amp;IF(S234&lt;&gt;"","Flex|","")&amp;IF(T234&lt;&gt;"","Steel|","")&amp;IF(U234&lt;&gt;"","Plastic|","")&amp;IF(V234&lt;&gt;"",V234&amp;"|","")</f>
        <v/>
      </c>
    </row>
    <row r="235" customFormat="false" ht="16.5" hidden="false" customHeight="true" outlineLevel="0" collapsed="false">
      <c r="A235" s="34"/>
      <c r="B235" s="35" t="s">
        <v>754</v>
      </c>
      <c r="C235" s="34" t="s">
        <v>738</v>
      </c>
      <c r="D235" s="34" t="s">
        <v>739</v>
      </c>
      <c r="E235" s="34" t="s">
        <v>732</v>
      </c>
      <c r="F235" s="36" t="str">
        <f aca="false">IF(LEN(AA235)=0,"",LEFT(AA235,LEN(AA235)-1))</f>
        <v/>
      </c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8"/>
      <c r="T235" s="37"/>
      <c r="U235" s="37"/>
      <c r="V235" s="39"/>
      <c r="W235" s="39"/>
      <c r="X235" s="40"/>
      <c r="Y235" s="41"/>
      <c r="Z235" s="42"/>
      <c r="AA235" s="43" t="str">
        <f aca="false">IF(G235&lt;&gt;"","Poplar|","")&amp;IF(H235&lt;&gt;"","FJ Primed Poplar|","")&amp;IF(I235&lt;&gt;"","FJ Primed Pine|","")&amp;IF(J235&lt;&gt;"","Clear Pine|","")&amp;IF(K235&lt;&gt;"","Primed MDF|","")&amp;IF(L235&lt;&gt;"","White Oak|","")&amp;IF(M235&lt;&gt;"","Red Oak|","")&amp;IF(N235&lt;&gt;"","Hard Maple|","")&amp;IF(O235&lt;&gt;"","Black Walnut|","")&amp;IF(P235&lt;&gt;"","Douglas Fir|","")&amp;IF(Q235&lt;&gt;"","Western Red Cedar|","")&amp;IF(R235&lt;&gt;"","PVC|","")&amp;IF(S235&lt;&gt;"","Flex|","")&amp;IF(T235&lt;&gt;"","Steel|","")&amp;IF(U235&lt;&gt;"","Plastic|","")&amp;IF(V235&lt;&gt;"",V235&amp;"|","")</f>
        <v/>
      </c>
    </row>
    <row r="236" customFormat="false" ht="16.5" hidden="false" customHeight="true" outlineLevel="0" collapsed="false">
      <c r="A236" s="34"/>
      <c r="B236" s="35" t="s">
        <v>755</v>
      </c>
      <c r="C236" s="34" t="s">
        <v>738</v>
      </c>
      <c r="D236" s="34" t="s">
        <v>739</v>
      </c>
      <c r="E236" s="34" t="s">
        <v>732</v>
      </c>
      <c r="F236" s="36" t="str">
        <f aca="false">IF(LEN(AA236)=0,"",LEFT(AA236,LEN(AA236)-1))</f>
        <v/>
      </c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8"/>
      <c r="T236" s="37"/>
      <c r="U236" s="37"/>
      <c r="V236" s="39"/>
      <c r="W236" s="39"/>
      <c r="X236" s="40"/>
      <c r="Y236" s="41"/>
      <c r="Z236" s="42"/>
      <c r="AA236" s="43" t="str">
        <f aca="false">IF(G236&lt;&gt;"","Poplar|","")&amp;IF(H236&lt;&gt;"","FJ Primed Poplar|","")&amp;IF(I236&lt;&gt;"","FJ Primed Pine|","")&amp;IF(J236&lt;&gt;"","Clear Pine|","")&amp;IF(K236&lt;&gt;"","Primed MDF|","")&amp;IF(L236&lt;&gt;"","White Oak|","")&amp;IF(M236&lt;&gt;"","Red Oak|","")&amp;IF(N236&lt;&gt;"","Hard Maple|","")&amp;IF(O236&lt;&gt;"","Black Walnut|","")&amp;IF(P236&lt;&gt;"","Douglas Fir|","")&amp;IF(Q236&lt;&gt;"","Western Red Cedar|","")&amp;IF(R236&lt;&gt;"","PVC|","")&amp;IF(S236&lt;&gt;"","Flex|","")&amp;IF(T236&lt;&gt;"","Steel|","")&amp;IF(U236&lt;&gt;"","Plastic|","")&amp;IF(V236&lt;&gt;"",V236&amp;"|","")</f>
        <v/>
      </c>
    </row>
    <row r="237" customFormat="false" ht="16.5" hidden="false" customHeight="true" outlineLevel="0" collapsed="false">
      <c r="A237" s="34"/>
      <c r="B237" s="35" t="s">
        <v>756</v>
      </c>
      <c r="C237" s="34" t="s">
        <v>738</v>
      </c>
      <c r="D237" s="34" t="s">
        <v>739</v>
      </c>
      <c r="E237" s="34" t="s">
        <v>732</v>
      </c>
      <c r="F237" s="36" t="str">
        <f aca="false">IF(LEN(AA237)=0,"",LEFT(AA237,LEN(AA237)-1))</f>
        <v/>
      </c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8"/>
      <c r="T237" s="37"/>
      <c r="U237" s="37"/>
      <c r="V237" s="39"/>
      <c r="W237" s="39"/>
      <c r="X237" s="40"/>
      <c r="Y237" s="41"/>
      <c r="Z237" s="42"/>
      <c r="AA237" s="43" t="str">
        <f aca="false">IF(G237&lt;&gt;"","Poplar|","")&amp;IF(H237&lt;&gt;"","FJ Primed Poplar|","")&amp;IF(I237&lt;&gt;"","FJ Primed Pine|","")&amp;IF(J237&lt;&gt;"","Clear Pine|","")&amp;IF(K237&lt;&gt;"","Primed MDF|","")&amp;IF(L237&lt;&gt;"","White Oak|","")&amp;IF(M237&lt;&gt;"","Red Oak|","")&amp;IF(N237&lt;&gt;"","Hard Maple|","")&amp;IF(O237&lt;&gt;"","Black Walnut|","")&amp;IF(P237&lt;&gt;"","Douglas Fir|","")&amp;IF(Q237&lt;&gt;"","Western Red Cedar|","")&amp;IF(R237&lt;&gt;"","PVC|","")&amp;IF(S237&lt;&gt;"","Flex|","")&amp;IF(T237&lt;&gt;"","Steel|","")&amp;IF(U237&lt;&gt;"","Plastic|","")&amp;IF(V237&lt;&gt;"",V237&amp;"|","")</f>
        <v/>
      </c>
    </row>
    <row r="238" customFormat="false" ht="16.5" hidden="false" customHeight="true" outlineLevel="0" collapsed="false">
      <c r="A238" s="34"/>
      <c r="B238" s="35" t="s">
        <v>757</v>
      </c>
      <c r="C238" s="34" t="s">
        <v>738</v>
      </c>
      <c r="D238" s="34" t="s">
        <v>739</v>
      </c>
      <c r="E238" s="34" t="s">
        <v>732</v>
      </c>
      <c r="F238" s="36" t="str">
        <f aca="false">IF(LEN(AA238)=0,"",LEFT(AA238,LEN(AA238)-1))</f>
        <v/>
      </c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8"/>
      <c r="T238" s="37"/>
      <c r="U238" s="37"/>
      <c r="V238" s="39"/>
      <c r="W238" s="39"/>
      <c r="X238" s="40"/>
      <c r="Y238" s="41"/>
      <c r="Z238" s="42"/>
      <c r="AA238" s="43" t="str">
        <f aca="false">IF(G238&lt;&gt;"","Poplar|","")&amp;IF(H238&lt;&gt;"","FJ Primed Poplar|","")&amp;IF(I238&lt;&gt;"","FJ Primed Pine|","")&amp;IF(J238&lt;&gt;"","Clear Pine|","")&amp;IF(K238&lt;&gt;"","Primed MDF|","")&amp;IF(L238&lt;&gt;"","White Oak|","")&amp;IF(M238&lt;&gt;"","Red Oak|","")&amp;IF(N238&lt;&gt;"","Hard Maple|","")&amp;IF(O238&lt;&gt;"","Black Walnut|","")&amp;IF(P238&lt;&gt;"","Douglas Fir|","")&amp;IF(Q238&lt;&gt;"","Western Red Cedar|","")&amp;IF(R238&lt;&gt;"","PVC|","")&amp;IF(S238&lt;&gt;"","Flex|","")&amp;IF(T238&lt;&gt;"","Steel|","")&amp;IF(U238&lt;&gt;"","Plastic|","")&amp;IF(V238&lt;&gt;"",V238&amp;"|","")</f>
        <v/>
      </c>
    </row>
    <row r="239" customFormat="false" ht="16.5" hidden="false" customHeight="true" outlineLevel="0" collapsed="false">
      <c r="A239" s="34"/>
      <c r="B239" s="35" t="s">
        <v>758</v>
      </c>
      <c r="C239" s="34" t="s">
        <v>738</v>
      </c>
      <c r="D239" s="34" t="s">
        <v>739</v>
      </c>
      <c r="E239" s="34" t="s">
        <v>732</v>
      </c>
      <c r="F239" s="36" t="str">
        <f aca="false">IF(LEN(AA239)=0,"",LEFT(AA239,LEN(AA239)-1))</f>
        <v/>
      </c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8"/>
      <c r="T239" s="37"/>
      <c r="U239" s="37"/>
      <c r="V239" s="39"/>
      <c r="W239" s="39"/>
      <c r="X239" s="40"/>
      <c r="Y239" s="41"/>
      <c r="Z239" s="42"/>
      <c r="AA239" s="43" t="str">
        <f aca="false">IF(G239&lt;&gt;"","Poplar|","")&amp;IF(H239&lt;&gt;"","FJ Primed Poplar|","")&amp;IF(I239&lt;&gt;"","FJ Primed Pine|","")&amp;IF(J239&lt;&gt;"","Clear Pine|","")&amp;IF(K239&lt;&gt;"","Primed MDF|","")&amp;IF(L239&lt;&gt;"","White Oak|","")&amp;IF(M239&lt;&gt;"","Red Oak|","")&amp;IF(N239&lt;&gt;"","Hard Maple|","")&amp;IF(O239&lt;&gt;"","Black Walnut|","")&amp;IF(P239&lt;&gt;"","Douglas Fir|","")&amp;IF(Q239&lt;&gt;"","Western Red Cedar|","")&amp;IF(R239&lt;&gt;"","PVC|","")&amp;IF(S239&lt;&gt;"","Flex|","")&amp;IF(T239&lt;&gt;"","Steel|","")&amp;IF(U239&lt;&gt;"","Plastic|","")&amp;IF(V239&lt;&gt;"",V239&amp;"|","")</f>
        <v/>
      </c>
    </row>
    <row r="240" customFormat="false" ht="16.5" hidden="false" customHeight="true" outlineLevel="0" collapsed="false">
      <c r="A240" s="34"/>
      <c r="B240" s="35" t="s">
        <v>759</v>
      </c>
      <c r="C240" s="34" t="s">
        <v>738</v>
      </c>
      <c r="D240" s="34" t="s">
        <v>739</v>
      </c>
      <c r="E240" s="34" t="s">
        <v>732</v>
      </c>
      <c r="F240" s="36" t="str">
        <f aca="false">IF(LEN(AA240)=0,"",LEFT(AA240,LEN(AA240)-1))</f>
        <v/>
      </c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8"/>
      <c r="T240" s="37"/>
      <c r="U240" s="37"/>
      <c r="V240" s="39"/>
      <c r="W240" s="39"/>
      <c r="X240" s="40"/>
      <c r="Y240" s="41"/>
      <c r="Z240" s="42"/>
      <c r="AA240" s="43" t="str">
        <f aca="false">IF(G240&lt;&gt;"","Poplar|","")&amp;IF(H240&lt;&gt;"","FJ Primed Poplar|","")&amp;IF(I240&lt;&gt;"","FJ Primed Pine|","")&amp;IF(J240&lt;&gt;"","Clear Pine|","")&amp;IF(K240&lt;&gt;"","Primed MDF|","")&amp;IF(L240&lt;&gt;"","White Oak|","")&amp;IF(M240&lt;&gt;"","Red Oak|","")&amp;IF(N240&lt;&gt;"","Hard Maple|","")&amp;IF(O240&lt;&gt;"","Black Walnut|","")&amp;IF(P240&lt;&gt;"","Douglas Fir|","")&amp;IF(Q240&lt;&gt;"","Western Red Cedar|","")&amp;IF(R240&lt;&gt;"","PVC|","")&amp;IF(S240&lt;&gt;"","Flex|","")&amp;IF(T240&lt;&gt;"","Steel|","")&amp;IF(U240&lt;&gt;"","Plastic|","")&amp;IF(V240&lt;&gt;"",V240&amp;"|","")</f>
        <v/>
      </c>
    </row>
    <row r="241" customFormat="false" ht="16.5" hidden="false" customHeight="true" outlineLevel="0" collapsed="false">
      <c r="A241" s="34"/>
      <c r="B241" s="35" t="s">
        <v>760</v>
      </c>
      <c r="C241" s="34" t="s">
        <v>738</v>
      </c>
      <c r="D241" s="34" t="s">
        <v>739</v>
      </c>
      <c r="E241" s="34" t="s">
        <v>732</v>
      </c>
      <c r="F241" s="36" t="str">
        <f aca="false">IF(LEN(AA241)=0,"",LEFT(AA241,LEN(AA241)-1))</f>
        <v/>
      </c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8"/>
      <c r="T241" s="37"/>
      <c r="U241" s="37"/>
      <c r="V241" s="39"/>
      <c r="W241" s="39"/>
      <c r="X241" s="40"/>
      <c r="Y241" s="41"/>
      <c r="Z241" s="42"/>
      <c r="AA241" s="43" t="str">
        <f aca="false">IF(G241&lt;&gt;"","Poplar|","")&amp;IF(H241&lt;&gt;"","FJ Primed Poplar|","")&amp;IF(I241&lt;&gt;"","FJ Primed Pine|","")&amp;IF(J241&lt;&gt;"","Clear Pine|","")&amp;IF(K241&lt;&gt;"","Primed MDF|","")&amp;IF(L241&lt;&gt;"","White Oak|","")&amp;IF(M241&lt;&gt;"","Red Oak|","")&amp;IF(N241&lt;&gt;"","Hard Maple|","")&amp;IF(O241&lt;&gt;"","Black Walnut|","")&amp;IF(P241&lt;&gt;"","Douglas Fir|","")&amp;IF(Q241&lt;&gt;"","Western Red Cedar|","")&amp;IF(R241&lt;&gt;"","PVC|","")&amp;IF(S241&lt;&gt;"","Flex|","")&amp;IF(T241&lt;&gt;"","Steel|","")&amp;IF(U241&lt;&gt;"","Plastic|","")&amp;IF(V241&lt;&gt;"",V241&amp;"|","")</f>
        <v/>
      </c>
    </row>
    <row r="242" customFormat="false" ht="16.5" hidden="false" customHeight="true" outlineLevel="0" collapsed="false">
      <c r="A242" s="34"/>
      <c r="B242" s="35" t="s">
        <v>761</v>
      </c>
      <c r="C242" s="34" t="s">
        <v>738</v>
      </c>
      <c r="D242" s="34" t="s">
        <v>739</v>
      </c>
      <c r="E242" s="34" t="s">
        <v>732</v>
      </c>
      <c r="F242" s="36" t="str">
        <f aca="false">IF(LEN(AA242)=0,"",LEFT(AA242,LEN(AA242)-1))</f>
        <v/>
      </c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8"/>
      <c r="T242" s="37"/>
      <c r="U242" s="37"/>
      <c r="V242" s="39"/>
      <c r="W242" s="39"/>
      <c r="X242" s="40"/>
      <c r="Y242" s="41"/>
      <c r="Z242" s="42"/>
      <c r="AA242" s="43" t="str">
        <f aca="false">IF(G242&lt;&gt;"","Poplar|","")&amp;IF(H242&lt;&gt;"","FJ Primed Poplar|","")&amp;IF(I242&lt;&gt;"","FJ Primed Pine|","")&amp;IF(J242&lt;&gt;"","Clear Pine|","")&amp;IF(K242&lt;&gt;"","Primed MDF|","")&amp;IF(L242&lt;&gt;"","White Oak|","")&amp;IF(M242&lt;&gt;"","Red Oak|","")&amp;IF(N242&lt;&gt;"","Hard Maple|","")&amp;IF(O242&lt;&gt;"","Black Walnut|","")&amp;IF(P242&lt;&gt;"","Douglas Fir|","")&amp;IF(Q242&lt;&gt;"","Western Red Cedar|","")&amp;IF(R242&lt;&gt;"","PVC|","")&amp;IF(S242&lt;&gt;"","Flex|","")&amp;IF(T242&lt;&gt;"","Steel|","")&amp;IF(U242&lt;&gt;"","Plastic|","")&amp;IF(V242&lt;&gt;"",V242&amp;"|","")</f>
        <v/>
      </c>
    </row>
    <row r="243" customFormat="false" ht="16.5" hidden="false" customHeight="true" outlineLevel="0" collapsed="false">
      <c r="A243" s="34"/>
      <c r="B243" s="35" t="s">
        <v>762</v>
      </c>
      <c r="C243" s="34" t="s">
        <v>738</v>
      </c>
      <c r="D243" s="34" t="s">
        <v>739</v>
      </c>
      <c r="E243" s="34" t="s">
        <v>732</v>
      </c>
      <c r="F243" s="36" t="str">
        <f aca="false">IF(LEN(AA243)=0,"",LEFT(AA243,LEN(AA243)-1))</f>
        <v/>
      </c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8"/>
      <c r="T243" s="37"/>
      <c r="U243" s="37"/>
      <c r="V243" s="39"/>
      <c r="W243" s="39"/>
      <c r="X243" s="40"/>
      <c r="Y243" s="41"/>
      <c r="Z243" s="42"/>
      <c r="AA243" s="43" t="str">
        <f aca="false">IF(G243&lt;&gt;"","Poplar|","")&amp;IF(H243&lt;&gt;"","FJ Primed Poplar|","")&amp;IF(I243&lt;&gt;"","FJ Primed Pine|","")&amp;IF(J243&lt;&gt;"","Clear Pine|","")&amp;IF(K243&lt;&gt;"","Primed MDF|","")&amp;IF(L243&lt;&gt;"","White Oak|","")&amp;IF(M243&lt;&gt;"","Red Oak|","")&amp;IF(N243&lt;&gt;"","Hard Maple|","")&amp;IF(O243&lt;&gt;"","Black Walnut|","")&amp;IF(P243&lt;&gt;"","Douglas Fir|","")&amp;IF(Q243&lt;&gt;"","Western Red Cedar|","")&amp;IF(R243&lt;&gt;"","PVC|","")&amp;IF(S243&lt;&gt;"","Flex|","")&amp;IF(T243&lt;&gt;"","Steel|","")&amp;IF(U243&lt;&gt;"","Plastic|","")&amp;IF(V243&lt;&gt;"",V243&amp;"|","")</f>
        <v/>
      </c>
    </row>
    <row r="244" customFormat="false" ht="27" hidden="false" customHeight="true" outlineLevel="0" collapsed="false">
      <c r="A244" s="34" t="s">
        <v>763</v>
      </c>
      <c r="B244" s="35" t="s">
        <v>764</v>
      </c>
      <c r="C244" s="34" t="s">
        <v>738</v>
      </c>
      <c r="D244" s="34" t="s">
        <v>739</v>
      </c>
      <c r="E244" s="34" t="s">
        <v>732</v>
      </c>
      <c r="F244" s="36" t="str">
        <f aca="false">IF(LEN(AA244)=0,"",LEFT(AA244,LEN(AA244)-1))</f>
        <v/>
      </c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8"/>
      <c r="T244" s="37"/>
      <c r="U244" s="37"/>
      <c r="V244" s="39"/>
      <c r="W244" s="39"/>
      <c r="X244" s="40"/>
      <c r="Y244" s="41"/>
      <c r="Z244" s="42"/>
      <c r="AA244" s="43" t="str">
        <f aca="false">IF(G244&lt;&gt;"","Poplar|","")&amp;IF(H244&lt;&gt;"","FJ Primed Poplar|","")&amp;IF(I244&lt;&gt;"","FJ Primed Pine|","")&amp;IF(J244&lt;&gt;"","Clear Pine|","")&amp;IF(K244&lt;&gt;"","Primed MDF|","")&amp;IF(L244&lt;&gt;"","White Oak|","")&amp;IF(M244&lt;&gt;"","Red Oak|","")&amp;IF(N244&lt;&gt;"","Hard Maple|","")&amp;IF(O244&lt;&gt;"","Black Walnut|","")&amp;IF(P244&lt;&gt;"","Douglas Fir|","")&amp;IF(Q244&lt;&gt;"","Western Red Cedar|","")&amp;IF(R244&lt;&gt;"","PVC|","")&amp;IF(S244&lt;&gt;"","Flex|","")&amp;IF(T244&lt;&gt;"","Steel|","")&amp;IF(U244&lt;&gt;"","Plastic|","")&amp;IF(V244&lt;&gt;"",V244&amp;"|","")</f>
        <v/>
      </c>
    </row>
    <row r="245" customFormat="false" ht="16.5" hidden="false" customHeight="true" outlineLevel="0" collapsed="false">
      <c r="A245" s="34" t="s">
        <v>765</v>
      </c>
      <c r="B245" s="35" t="s">
        <v>766</v>
      </c>
      <c r="C245" s="34" t="s">
        <v>738</v>
      </c>
      <c r="D245" s="34" t="s">
        <v>739</v>
      </c>
      <c r="E245" s="34" t="s">
        <v>732</v>
      </c>
      <c r="F245" s="36" t="str">
        <f aca="false">IF(LEN(AA245)=0,"",LEFT(AA245,LEN(AA245)-1))</f>
        <v/>
      </c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8"/>
      <c r="T245" s="37"/>
      <c r="U245" s="37"/>
      <c r="V245" s="39"/>
      <c r="W245" s="39"/>
      <c r="X245" s="40"/>
      <c r="Y245" s="41"/>
      <c r="Z245" s="42"/>
      <c r="AA245" s="43" t="str">
        <f aca="false">IF(G245&lt;&gt;"","Poplar|","")&amp;IF(H245&lt;&gt;"","FJ Primed Poplar|","")&amp;IF(I245&lt;&gt;"","FJ Primed Pine|","")&amp;IF(J245&lt;&gt;"","Clear Pine|","")&amp;IF(K245&lt;&gt;"","Primed MDF|","")&amp;IF(L245&lt;&gt;"","White Oak|","")&amp;IF(M245&lt;&gt;"","Red Oak|","")&amp;IF(N245&lt;&gt;"","Hard Maple|","")&amp;IF(O245&lt;&gt;"","Black Walnut|","")&amp;IF(P245&lt;&gt;"","Douglas Fir|","")&amp;IF(Q245&lt;&gt;"","Western Red Cedar|","")&amp;IF(R245&lt;&gt;"","PVC|","")&amp;IF(S245&lt;&gt;"","Flex|","")&amp;IF(T245&lt;&gt;"","Steel|","")&amp;IF(U245&lt;&gt;"","Plastic|","")&amp;IF(V245&lt;&gt;"",V245&amp;"|","")</f>
        <v/>
      </c>
    </row>
    <row r="246" customFormat="false" ht="16.5" hidden="false" customHeight="true" outlineLevel="0" collapsed="false">
      <c r="A246" s="34" t="s">
        <v>767</v>
      </c>
      <c r="B246" s="35" t="s">
        <v>768</v>
      </c>
      <c r="C246" s="34" t="s">
        <v>738</v>
      </c>
      <c r="D246" s="34" t="s">
        <v>739</v>
      </c>
      <c r="E246" s="34" t="s">
        <v>732</v>
      </c>
      <c r="F246" s="36" t="str">
        <f aca="false">IF(LEN(AA246)=0,"",LEFT(AA246,LEN(AA246)-1))</f>
        <v/>
      </c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8"/>
      <c r="T246" s="37"/>
      <c r="U246" s="37"/>
      <c r="V246" s="39"/>
      <c r="W246" s="39"/>
      <c r="X246" s="40"/>
      <c r="Y246" s="41"/>
      <c r="Z246" s="42"/>
      <c r="AA246" s="43" t="str">
        <f aca="false">IF(G246&lt;&gt;"","Poplar|","")&amp;IF(H246&lt;&gt;"","FJ Primed Poplar|","")&amp;IF(I246&lt;&gt;"","FJ Primed Pine|","")&amp;IF(J246&lt;&gt;"","Clear Pine|","")&amp;IF(K246&lt;&gt;"","Primed MDF|","")&amp;IF(L246&lt;&gt;"","White Oak|","")&amp;IF(M246&lt;&gt;"","Red Oak|","")&amp;IF(N246&lt;&gt;"","Hard Maple|","")&amp;IF(O246&lt;&gt;"","Black Walnut|","")&amp;IF(P246&lt;&gt;"","Douglas Fir|","")&amp;IF(Q246&lt;&gt;"","Western Red Cedar|","")&amp;IF(R246&lt;&gt;"","PVC|","")&amp;IF(S246&lt;&gt;"","Flex|","")&amp;IF(T246&lt;&gt;"","Steel|","")&amp;IF(U246&lt;&gt;"","Plastic|","")&amp;IF(V246&lt;&gt;"",V246&amp;"|","")</f>
        <v/>
      </c>
    </row>
    <row r="247" customFormat="false" ht="16.5" hidden="false" customHeight="true" outlineLevel="0" collapsed="false">
      <c r="A247" s="34" t="s">
        <v>769</v>
      </c>
      <c r="B247" s="35" t="s">
        <v>770</v>
      </c>
      <c r="C247" s="34" t="s">
        <v>738</v>
      </c>
      <c r="D247" s="34" t="s">
        <v>739</v>
      </c>
      <c r="E247" s="34" t="s">
        <v>732</v>
      </c>
      <c r="F247" s="36" t="str">
        <f aca="false">IF(LEN(AA247)=0,"",LEFT(AA247,LEN(AA247)-1))</f>
        <v/>
      </c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8"/>
      <c r="T247" s="37"/>
      <c r="U247" s="37"/>
      <c r="V247" s="39"/>
      <c r="W247" s="39"/>
      <c r="X247" s="40"/>
      <c r="Y247" s="41"/>
      <c r="Z247" s="42"/>
      <c r="AA247" s="43" t="str">
        <f aca="false">IF(G247&lt;&gt;"","Poplar|","")&amp;IF(H247&lt;&gt;"","FJ Primed Poplar|","")&amp;IF(I247&lt;&gt;"","FJ Primed Pine|","")&amp;IF(J247&lt;&gt;"","Clear Pine|","")&amp;IF(K247&lt;&gt;"","Primed MDF|","")&amp;IF(L247&lt;&gt;"","White Oak|","")&amp;IF(M247&lt;&gt;"","Red Oak|","")&amp;IF(N247&lt;&gt;"","Hard Maple|","")&amp;IF(O247&lt;&gt;"","Black Walnut|","")&amp;IF(P247&lt;&gt;"","Douglas Fir|","")&amp;IF(Q247&lt;&gt;"","Western Red Cedar|","")&amp;IF(R247&lt;&gt;"","PVC|","")&amp;IF(S247&lt;&gt;"","Flex|","")&amp;IF(T247&lt;&gt;"","Steel|","")&amp;IF(U247&lt;&gt;"","Plastic|","")&amp;IF(V247&lt;&gt;"",V247&amp;"|","")</f>
        <v/>
      </c>
    </row>
    <row r="248" customFormat="false" ht="16.5" hidden="false" customHeight="true" outlineLevel="0" collapsed="false">
      <c r="A248" s="34" t="s">
        <v>771</v>
      </c>
      <c r="B248" s="35" t="s">
        <v>772</v>
      </c>
      <c r="C248" s="34" t="s">
        <v>738</v>
      </c>
      <c r="D248" s="34" t="s">
        <v>739</v>
      </c>
      <c r="E248" s="34" t="s">
        <v>732</v>
      </c>
      <c r="F248" s="36" t="str">
        <f aca="false">IF(LEN(AA248)=0,"",LEFT(AA248,LEN(AA248)-1))</f>
        <v/>
      </c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8"/>
      <c r="T248" s="37"/>
      <c r="U248" s="37"/>
      <c r="V248" s="39"/>
      <c r="W248" s="39"/>
      <c r="X248" s="40"/>
      <c r="Y248" s="41"/>
      <c r="Z248" s="42"/>
      <c r="AA248" s="43" t="str">
        <f aca="false">IF(G248&lt;&gt;"","Poplar|","")&amp;IF(H248&lt;&gt;"","FJ Primed Poplar|","")&amp;IF(I248&lt;&gt;"","FJ Primed Pine|","")&amp;IF(J248&lt;&gt;"","Clear Pine|","")&amp;IF(K248&lt;&gt;"","Primed MDF|","")&amp;IF(L248&lt;&gt;"","White Oak|","")&amp;IF(M248&lt;&gt;"","Red Oak|","")&amp;IF(N248&lt;&gt;"","Hard Maple|","")&amp;IF(O248&lt;&gt;"","Black Walnut|","")&amp;IF(P248&lt;&gt;"","Douglas Fir|","")&amp;IF(Q248&lt;&gt;"","Western Red Cedar|","")&amp;IF(R248&lt;&gt;"","PVC|","")&amp;IF(S248&lt;&gt;"","Flex|","")&amp;IF(T248&lt;&gt;"","Steel|","")&amp;IF(U248&lt;&gt;"","Plastic|","")&amp;IF(V248&lt;&gt;"",V248&amp;"|","")</f>
        <v/>
      </c>
    </row>
    <row r="249" customFormat="false" ht="16.5" hidden="false" customHeight="true" outlineLevel="0" collapsed="false">
      <c r="A249" s="34" t="s">
        <v>773</v>
      </c>
      <c r="B249" s="35" t="s">
        <v>774</v>
      </c>
      <c r="C249" s="34" t="s">
        <v>738</v>
      </c>
      <c r="D249" s="34" t="s">
        <v>739</v>
      </c>
      <c r="E249" s="34" t="s">
        <v>732</v>
      </c>
      <c r="F249" s="36" t="str">
        <f aca="false">IF(LEN(AA249)=0,"",LEFT(AA249,LEN(AA249)-1))</f>
        <v/>
      </c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8"/>
      <c r="T249" s="37"/>
      <c r="U249" s="37"/>
      <c r="V249" s="39"/>
      <c r="W249" s="39"/>
      <c r="X249" s="40"/>
      <c r="Y249" s="41"/>
      <c r="Z249" s="42"/>
      <c r="AA249" s="43" t="str">
        <f aca="false">IF(G249&lt;&gt;"","Poplar|","")&amp;IF(H249&lt;&gt;"","FJ Primed Poplar|","")&amp;IF(I249&lt;&gt;"","FJ Primed Pine|","")&amp;IF(J249&lt;&gt;"","Clear Pine|","")&amp;IF(K249&lt;&gt;"","Primed MDF|","")&amp;IF(L249&lt;&gt;"","White Oak|","")&amp;IF(M249&lt;&gt;"","Red Oak|","")&amp;IF(N249&lt;&gt;"","Hard Maple|","")&amp;IF(O249&lt;&gt;"","Black Walnut|","")&amp;IF(P249&lt;&gt;"","Douglas Fir|","")&amp;IF(Q249&lt;&gt;"","Western Red Cedar|","")&amp;IF(R249&lt;&gt;"","PVC|","")&amp;IF(S249&lt;&gt;"","Flex|","")&amp;IF(T249&lt;&gt;"","Steel|","")&amp;IF(U249&lt;&gt;"","Plastic|","")&amp;IF(V249&lt;&gt;"",V249&amp;"|","")</f>
        <v/>
      </c>
    </row>
    <row r="250" customFormat="false" ht="16.5" hidden="false" customHeight="true" outlineLevel="0" collapsed="false">
      <c r="A250" s="34" t="s">
        <v>775</v>
      </c>
      <c r="B250" s="35" t="s">
        <v>776</v>
      </c>
      <c r="C250" s="34" t="s">
        <v>738</v>
      </c>
      <c r="D250" s="34" t="s">
        <v>739</v>
      </c>
      <c r="E250" s="34" t="s">
        <v>732</v>
      </c>
      <c r="F250" s="36" t="str">
        <f aca="false">IF(LEN(AA250)=0,"",LEFT(AA250,LEN(AA250)-1))</f>
        <v/>
      </c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8"/>
      <c r="T250" s="37"/>
      <c r="U250" s="37"/>
      <c r="V250" s="39"/>
      <c r="W250" s="39"/>
      <c r="X250" s="40"/>
      <c r="Y250" s="41"/>
      <c r="Z250" s="42"/>
      <c r="AA250" s="43" t="str">
        <f aca="false">IF(G250&lt;&gt;"","Poplar|","")&amp;IF(H250&lt;&gt;"","FJ Primed Poplar|","")&amp;IF(I250&lt;&gt;"","FJ Primed Pine|","")&amp;IF(J250&lt;&gt;"","Clear Pine|","")&amp;IF(K250&lt;&gt;"","Primed MDF|","")&amp;IF(L250&lt;&gt;"","White Oak|","")&amp;IF(M250&lt;&gt;"","Red Oak|","")&amp;IF(N250&lt;&gt;"","Hard Maple|","")&amp;IF(O250&lt;&gt;"","Black Walnut|","")&amp;IF(P250&lt;&gt;"","Douglas Fir|","")&amp;IF(Q250&lt;&gt;"","Western Red Cedar|","")&amp;IF(R250&lt;&gt;"","PVC|","")&amp;IF(S250&lt;&gt;"","Flex|","")&amp;IF(T250&lt;&gt;"","Steel|","")&amp;IF(U250&lt;&gt;"","Plastic|","")&amp;IF(V250&lt;&gt;"",V250&amp;"|","")</f>
        <v/>
      </c>
    </row>
    <row r="251" customFormat="false" ht="16.5" hidden="false" customHeight="true" outlineLevel="0" collapsed="false">
      <c r="A251" s="34" t="s">
        <v>777</v>
      </c>
      <c r="B251" s="35" t="s">
        <v>778</v>
      </c>
      <c r="C251" s="34" t="s">
        <v>738</v>
      </c>
      <c r="D251" s="34" t="s">
        <v>739</v>
      </c>
      <c r="E251" s="34" t="s">
        <v>732</v>
      </c>
      <c r="F251" s="36" t="str">
        <f aca="false">IF(LEN(AA251)=0,"",LEFT(AA251,LEN(AA251)-1))</f>
        <v/>
      </c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8"/>
      <c r="T251" s="37"/>
      <c r="U251" s="37"/>
      <c r="V251" s="39"/>
      <c r="W251" s="39"/>
      <c r="X251" s="40"/>
      <c r="Y251" s="41"/>
      <c r="Z251" s="42"/>
      <c r="AA251" s="43" t="str">
        <f aca="false">IF(G251&lt;&gt;"","Poplar|","")&amp;IF(H251&lt;&gt;"","FJ Primed Poplar|","")&amp;IF(I251&lt;&gt;"","FJ Primed Pine|","")&amp;IF(J251&lt;&gt;"","Clear Pine|","")&amp;IF(K251&lt;&gt;"","Primed MDF|","")&amp;IF(L251&lt;&gt;"","White Oak|","")&amp;IF(M251&lt;&gt;"","Red Oak|","")&amp;IF(N251&lt;&gt;"","Hard Maple|","")&amp;IF(O251&lt;&gt;"","Black Walnut|","")&amp;IF(P251&lt;&gt;"","Douglas Fir|","")&amp;IF(Q251&lt;&gt;"","Western Red Cedar|","")&amp;IF(R251&lt;&gt;"","PVC|","")&amp;IF(S251&lt;&gt;"","Flex|","")&amp;IF(T251&lt;&gt;"","Steel|","")&amp;IF(U251&lt;&gt;"","Plastic|","")&amp;IF(V251&lt;&gt;"",V251&amp;"|","")</f>
        <v/>
      </c>
    </row>
    <row r="252" customFormat="false" ht="16.5" hidden="false" customHeight="true" outlineLevel="0" collapsed="false">
      <c r="A252" s="34" t="s">
        <v>779</v>
      </c>
      <c r="B252" s="35" t="s">
        <v>780</v>
      </c>
      <c r="C252" s="34" t="s">
        <v>738</v>
      </c>
      <c r="D252" s="34" t="s">
        <v>739</v>
      </c>
      <c r="E252" s="34" t="s">
        <v>732</v>
      </c>
      <c r="F252" s="36" t="str">
        <f aca="false">IF(LEN(AA252)=0,"",LEFT(AA252,LEN(AA252)-1))</f>
        <v/>
      </c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8"/>
      <c r="T252" s="37"/>
      <c r="U252" s="37"/>
      <c r="V252" s="39"/>
      <c r="W252" s="39"/>
      <c r="X252" s="40"/>
      <c r="Y252" s="41"/>
      <c r="Z252" s="42"/>
      <c r="AA252" s="43" t="str">
        <f aca="false">IF(G252&lt;&gt;"","Poplar|","")&amp;IF(H252&lt;&gt;"","FJ Primed Poplar|","")&amp;IF(I252&lt;&gt;"","FJ Primed Pine|","")&amp;IF(J252&lt;&gt;"","Clear Pine|","")&amp;IF(K252&lt;&gt;"","Primed MDF|","")&amp;IF(L252&lt;&gt;"","White Oak|","")&amp;IF(M252&lt;&gt;"","Red Oak|","")&amp;IF(N252&lt;&gt;"","Hard Maple|","")&amp;IF(O252&lt;&gt;"","Black Walnut|","")&amp;IF(P252&lt;&gt;"","Douglas Fir|","")&amp;IF(Q252&lt;&gt;"","Western Red Cedar|","")&amp;IF(R252&lt;&gt;"","PVC|","")&amp;IF(S252&lt;&gt;"","Flex|","")&amp;IF(T252&lt;&gt;"","Steel|","")&amp;IF(U252&lt;&gt;"","Plastic|","")&amp;IF(V252&lt;&gt;"",V252&amp;"|","")</f>
        <v/>
      </c>
    </row>
    <row r="253" customFormat="false" ht="16.5" hidden="false" customHeight="true" outlineLevel="0" collapsed="false">
      <c r="A253" s="34" t="s">
        <v>781</v>
      </c>
      <c r="B253" s="35" t="s">
        <v>782</v>
      </c>
      <c r="C253" s="34" t="s">
        <v>738</v>
      </c>
      <c r="D253" s="34" t="s">
        <v>739</v>
      </c>
      <c r="E253" s="34" t="s">
        <v>732</v>
      </c>
      <c r="F253" s="36" t="str">
        <f aca="false">IF(LEN(AA253)=0,"",LEFT(AA253,LEN(AA253)-1))</f>
        <v/>
      </c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8"/>
      <c r="T253" s="37"/>
      <c r="U253" s="37"/>
      <c r="V253" s="39"/>
      <c r="W253" s="39"/>
      <c r="X253" s="40"/>
      <c r="Y253" s="41"/>
      <c r="Z253" s="42"/>
      <c r="AA253" s="43" t="str">
        <f aca="false">IF(G253&lt;&gt;"","Poplar|","")&amp;IF(H253&lt;&gt;"","FJ Primed Poplar|","")&amp;IF(I253&lt;&gt;"","FJ Primed Pine|","")&amp;IF(J253&lt;&gt;"","Clear Pine|","")&amp;IF(K253&lt;&gt;"","Primed MDF|","")&amp;IF(L253&lt;&gt;"","White Oak|","")&amp;IF(M253&lt;&gt;"","Red Oak|","")&amp;IF(N253&lt;&gt;"","Hard Maple|","")&amp;IF(O253&lt;&gt;"","Black Walnut|","")&amp;IF(P253&lt;&gt;"","Douglas Fir|","")&amp;IF(Q253&lt;&gt;"","Western Red Cedar|","")&amp;IF(R253&lt;&gt;"","PVC|","")&amp;IF(S253&lt;&gt;"","Flex|","")&amp;IF(T253&lt;&gt;"","Steel|","")&amp;IF(U253&lt;&gt;"","Plastic|","")&amp;IF(V253&lt;&gt;"",V253&amp;"|","")</f>
        <v/>
      </c>
    </row>
    <row r="254" customFormat="false" ht="16.5" hidden="false" customHeight="true" outlineLevel="0" collapsed="false">
      <c r="A254" s="34" t="s">
        <v>783</v>
      </c>
      <c r="B254" s="35" t="s">
        <v>784</v>
      </c>
      <c r="C254" s="34" t="s">
        <v>738</v>
      </c>
      <c r="D254" s="34" t="s">
        <v>739</v>
      </c>
      <c r="E254" s="34" t="s">
        <v>732</v>
      </c>
      <c r="F254" s="36" t="str">
        <f aca="false">IF(LEN(AA254)=0,"",LEFT(AA254,LEN(AA254)-1))</f>
        <v/>
      </c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8"/>
      <c r="T254" s="37"/>
      <c r="U254" s="37"/>
      <c r="V254" s="39"/>
      <c r="W254" s="39"/>
      <c r="X254" s="40"/>
      <c r="Y254" s="41"/>
      <c r="Z254" s="42"/>
      <c r="AA254" s="43" t="str">
        <f aca="false">IF(G254&lt;&gt;"","Poplar|","")&amp;IF(H254&lt;&gt;"","FJ Primed Poplar|","")&amp;IF(I254&lt;&gt;"","FJ Primed Pine|","")&amp;IF(J254&lt;&gt;"","Clear Pine|","")&amp;IF(K254&lt;&gt;"","Primed MDF|","")&amp;IF(L254&lt;&gt;"","White Oak|","")&amp;IF(M254&lt;&gt;"","Red Oak|","")&amp;IF(N254&lt;&gt;"","Hard Maple|","")&amp;IF(O254&lt;&gt;"","Black Walnut|","")&amp;IF(P254&lt;&gt;"","Douglas Fir|","")&amp;IF(Q254&lt;&gt;"","Western Red Cedar|","")&amp;IF(R254&lt;&gt;"","PVC|","")&amp;IF(S254&lt;&gt;"","Flex|","")&amp;IF(T254&lt;&gt;"","Steel|","")&amp;IF(U254&lt;&gt;"","Plastic|","")&amp;IF(V254&lt;&gt;"",V254&amp;"|","")</f>
        <v/>
      </c>
    </row>
    <row r="255" customFormat="false" ht="16.5" hidden="false" customHeight="true" outlineLevel="0" collapsed="false">
      <c r="A255" s="34" t="s">
        <v>785</v>
      </c>
      <c r="B255" s="35" t="s">
        <v>786</v>
      </c>
      <c r="C255" s="34" t="s">
        <v>738</v>
      </c>
      <c r="D255" s="34" t="s">
        <v>739</v>
      </c>
      <c r="E255" s="34" t="s">
        <v>732</v>
      </c>
      <c r="F255" s="36" t="str">
        <f aca="false">IF(LEN(AA255)=0,"",LEFT(AA255,LEN(AA255)-1))</f>
        <v/>
      </c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8"/>
      <c r="T255" s="37"/>
      <c r="U255" s="37"/>
      <c r="V255" s="39"/>
      <c r="W255" s="39"/>
      <c r="X255" s="40"/>
      <c r="Y255" s="41"/>
      <c r="Z255" s="42"/>
      <c r="AA255" s="43" t="str">
        <f aca="false">IF(G255&lt;&gt;"","Poplar|","")&amp;IF(H255&lt;&gt;"","FJ Primed Poplar|","")&amp;IF(I255&lt;&gt;"","FJ Primed Pine|","")&amp;IF(J255&lt;&gt;"","Clear Pine|","")&amp;IF(K255&lt;&gt;"","Primed MDF|","")&amp;IF(L255&lt;&gt;"","White Oak|","")&amp;IF(M255&lt;&gt;"","Red Oak|","")&amp;IF(N255&lt;&gt;"","Hard Maple|","")&amp;IF(O255&lt;&gt;"","Black Walnut|","")&amp;IF(P255&lt;&gt;"","Douglas Fir|","")&amp;IF(Q255&lt;&gt;"","Western Red Cedar|","")&amp;IF(R255&lt;&gt;"","PVC|","")&amp;IF(S255&lt;&gt;"","Flex|","")&amp;IF(T255&lt;&gt;"","Steel|","")&amp;IF(U255&lt;&gt;"","Plastic|","")&amp;IF(V255&lt;&gt;"",V255&amp;"|","")</f>
        <v/>
      </c>
    </row>
    <row r="256" customFormat="false" ht="16.5" hidden="false" customHeight="true" outlineLevel="0" collapsed="false">
      <c r="A256" s="34" t="s">
        <v>787</v>
      </c>
      <c r="B256" s="35" t="s">
        <v>788</v>
      </c>
      <c r="C256" s="34" t="s">
        <v>738</v>
      </c>
      <c r="D256" s="34" t="s">
        <v>739</v>
      </c>
      <c r="E256" s="34" t="s">
        <v>732</v>
      </c>
      <c r="F256" s="36" t="str">
        <f aca="false">IF(LEN(AA256)=0,"",LEFT(AA256,LEN(AA256)-1))</f>
        <v/>
      </c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8"/>
      <c r="T256" s="37"/>
      <c r="U256" s="37"/>
      <c r="V256" s="39"/>
      <c r="W256" s="39"/>
      <c r="X256" s="40"/>
      <c r="Y256" s="41"/>
      <c r="Z256" s="42"/>
      <c r="AA256" s="43" t="str">
        <f aca="false">IF(G256&lt;&gt;"","Poplar|","")&amp;IF(H256&lt;&gt;"","FJ Primed Poplar|","")&amp;IF(I256&lt;&gt;"","FJ Primed Pine|","")&amp;IF(J256&lt;&gt;"","Clear Pine|","")&amp;IF(K256&lt;&gt;"","Primed MDF|","")&amp;IF(L256&lt;&gt;"","White Oak|","")&amp;IF(M256&lt;&gt;"","Red Oak|","")&amp;IF(N256&lt;&gt;"","Hard Maple|","")&amp;IF(O256&lt;&gt;"","Black Walnut|","")&amp;IF(P256&lt;&gt;"","Douglas Fir|","")&amp;IF(Q256&lt;&gt;"","Western Red Cedar|","")&amp;IF(R256&lt;&gt;"","PVC|","")&amp;IF(S256&lt;&gt;"","Flex|","")&amp;IF(T256&lt;&gt;"","Steel|","")&amp;IF(U256&lt;&gt;"","Plastic|","")&amp;IF(V256&lt;&gt;"",V256&amp;"|","")</f>
        <v/>
      </c>
    </row>
    <row r="257" customFormat="false" ht="16.5" hidden="false" customHeight="true" outlineLevel="0" collapsed="false">
      <c r="A257" s="34" t="s">
        <v>789</v>
      </c>
      <c r="B257" s="35" t="s">
        <v>790</v>
      </c>
      <c r="C257" s="34" t="s">
        <v>738</v>
      </c>
      <c r="D257" s="34" t="s">
        <v>739</v>
      </c>
      <c r="E257" s="34" t="s">
        <v>732</v>
      </c>
      <c r="F257" s="36" t="str">
        <f aca="false">IF(LEN(AA257)=0,"",LEFT(AA257,LEN(AA257)-1))</f>
        <v/>
      </c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8"/>
      <c r="T257" s="37"/>
      <c r="U257" s="37"/>
      <c r="V257" s="39"/>
      <c r="W257" s="39"/>
      <c r="X257" s="40"/>
      <c r="Y257" s="41"/>
      <c r="Z257" s="42"/>
      <c r="AA257" s="43" t="str">
        <f aca="false">IF(G257&lt;&gt;"","Poplar|","")&amp;IF(H257&lt;&gt;"","FJ Primed Poplar|","")&amp;IF(I257&lt;&gt;"","FJ Primed Pine|","")&amp;IF(J257&lt;&gt;"","Clear Pine|","")&amp;IF(K257&lt;&gt;"","Primed MDF|","")&amp;IF(L257&lt;&gt;"","White Oak|","")&amp;IF(M257&lt;&gt;"","Red Oak|","")&amp;IF(N257&lt;&gt;"","Hard Maple|","")&amp;IF(O257&lt;&gt;"","Black Walnut|","")&amp;IF(P257&lt;&gt;"","Douglas Fir|","")&amp;IF(Q257&lt;&gt;"","Western Red Cedar|","")&amp;IF(R257&lt;&gt;"","PVC|","")&amp;IF(S257&lt;&gt;"","Flex|","")&amp;IF(T257&lt;&gt;"","Steel|","")&amp;IF(U257&lt;&gt;"","Plastic|","")&amp;IF(V257&lt;&gt;"",V257&amp;"|","")</f>
        <v/>
      </c>
    </row>
    <row r="258" customFormat="false" ht="16.5" hidden="false" customHeight="true" outlineLevel="0" collapsed="false">
      <c r="A258" s="34" t="s">
        <v>791</v>
      </c>
      <c r="B258" s="35" t="s">
        <v>792</v>
      </c>
      <c r="C258" s="34" t="s">
        <v>738</v>
      </c>
      <c r="D258" s="34" t="s">
        <v>739</v>
      </c>
      <c r="E258" s="34" t="s">
        <v>732</v>
      </c>
      <c r="F258" s="36" t="str">
        <f aca="false">IF(LEN(AA258)=0,"",LEFT(AA258,LEN(AA258)-1))</f>
        <v/>
      </c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8"/>
      <c r="T258" s="37"/>
      <c r="U258" s="37"/>
      <c r="V258" s="39"/>
      <c r="W258" s="39"/>
      <c r="X258" s="40"/>
      <c r="Y258" s="41"/>
      <c r="Z258" s="42"/>
      <c r="AA258" s="43" t="str">
        <f aca="false">IF(G258&lt;&gt;"","Poplar|","")&amp;IF(H258&lt;&gt;"","FJ Primed Poplar|","")&amp;IF(I258&lt;&gt;"","FJ Primed Pine|","")&amp;IF(J258&lt;&gt;"","Clear Pine|","")&amp;IF(K258&lt;&gt;"","Primed MDF|","")&amp;IF(L258&lt;&gt;"","White Oak|","")&amp;IF(M258&lt;&gt;"","Red Oak|","")&amp;IF(N258&lt;&gt;"","Hard Maple|","")&amp;IF(O258&lt;&gt;"","Black Walnut|","")&amp;IF(P258&lt;&gt;"","Douglas Fir|","")&amp;IF(Q258&lt;&gt;"","Western Red Cedar|","")&amp;IF(R258&lt;&gt;"","PVC|","")&amp;IF(S258&lt;&gt;"","Flex|","")&amp;IF(T258&lt;&gt;"","Steel|","")&amp;IF(U258&lt;&gt;"","Plastic|","")&amp;IF(V258&lt;&gt;"",V258&amp;"|","")</f>
        <v/>
      </c>
    </row>
    <row r="259" customFormat="false" ht="16.5" hidden="false" customHeight="true" outlineLevel="0" collapsed="false">
      <c r="A259" s="34" t="s">
        <v>793</v>
      </c>
      <c r="B259" s="35" t="s">
        <v>794</v>
      </c>
      <c r="C259" s="34" t="s">
        <v>738</v>
      </c>
      <c r="D259" s="34" t="s">
        <v>739</v>
      </c>
      <c r="E259" s="34" t="s">
        <v>732</v>
      </c>
      <c r="F259" s="36" t="str">
        <f aca="false">IF(LEN(AA259)=0,"",LEFT(AA259,LEN(AA259)-1))</f>
        <v/>
      </c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8"/>
      <c r="T259" s="37"/>
      <c r="U259" s="37"/>
      <c r="V259" s="39"/>
      <c r="W259" s="39"/>
      <c r="X259" s="40"/>
      <c r="Y259" s="41"/>
      <c r="Z259" s="42"/>
      <c r="AA259" s="43" t="str">
        <f aca="false">IF(G259&lt;&gt;"","Poplar|","")&amp;IF(H259&lt;&gt;"","FJ Primed Poplar|","")&amp;IF(I259&lt;&gt;"","FJ Primed Pine|","")&amp;IF(J259&lt;&gt;"","Clear Pine|","")&amp;IF(K259&lt;&gt;"","Primed MDF|","")&amp;IF(L259&lt;&gt;"","White Oak|","")&amp;IF(M259&lt;&gt;"","Red Oak|","")&amp;IF(N259&lt;&gt;"","Hard Maple|","")&amp;IF(O259&lt;&gt;"","Black Walnut|","")&amp;IF(P259&lt;&gt;"","Douglas Fir|","")&amp;IF(Q259&lt;&gt;"","Western Red Cedar|","")&amp;IF(R259&lt;&gt;"","PVC|","")&amp;IF(S259&lt;&gt;"","Flex|","")&amp;IF(T259&lt;&gt;"","Steel|","")&amp;IF(U259&lt;&gt;"","Plastic|","")&amp;IF(V259&lt;&gt;"",V259&amp;"|","")</f>
        <v/>
      </c>
    </row>
    <row r="260" customFormat="false" ht="16.5" hidden="false" customHeight="true" outlineLevel="0" collapsed="false">
      <c r="A260" s="34" t="s">
        <v>795</v>
      </c>
      <c r="B260" s="35" t="s">
        <v>796</v>
      </c>
      <c r="C260" s="34" t="s">
        <v>738</v>
      </c>
      <c r="D260" s="34" t="s">
        <v>739</v>
      </c>
      <c r="E260" s="34" t="s">
        <v>732</v>
      </c>
      <c r="F260" s="36" t="str">
        <f aca="false">IF(LEN(AA260)=0,"",LEFT(AA260,LEN(AA260)-1))</f>
        <v/>
      </c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8"/>
      <c r="T260" s="37"/>
      <c r="U260" s="37"/>
      <c r="V260" s="39"/>
      <c r="W260" s="39"/>
      <c r="X260" s="40"/>
      <c r="Y260" s="41"/>
      <c r="Z260" s="42"/>
      <c r="AA260" s="43" t="str">
        <f aca="false">IF(G260&lt;&gt;"","Poplar|","")&amp;IF(H260&lt;&gt;"","FJ Primed Poplar|","")&amp;IF(I260&lt;&gt;"","FJ Primed Pine|","")&amp;IF(J260&lt;&gt;"","Clear Pine|","")&amp;IF(K260&lt;&gt;"","Primed MDF|","")&amp;IF(L260&lt;&gt;"","White Oak|","")&amp;IF(M260&lt;&gt;"","Red Oak|","")&amp;IF(N260&lt;&gt;"","Hard Maple|","")&amp;IF(O260&lt;&gt;"","Black Walnut|","")&amp;IF(P260&lt;&gt;"","Douglas Fir|","")&amp;IF(Q260&lt;&gt;"","Western Red Cedar|","")&amp;IF(R260&lt;&gt;"","PVC|","")&amp;IF(S260&lt;&gt;"","Flex|","")&amp;IF(T260&lt;&gt;"","Steel|","")&amp;IF(U260&lt;&gt;"","Plastic|","")&amp;IF(V260&lt;&gt;"",V260&amp;"|","")</f>
        <v/>
      </c>
    </row>
    <row r="261" customFormat="false" ht="16.5" hidden="false" customHeight="true" outlineLevel="0" collapsed="false">
      <c r="A261" s="34" t="s">
        <v>797</v>
      </c>
      <c r="B261" s="35" t="s">
        <v>798</v>
      </c>
      <c r="C261" s="34" t="s">
        <v>738</v>
      </c>
      <c r="D261" s="34" t="s">
        <v>739</v>
      </c>
      <c r="E261" s="34" t="s">
        <v>732</v>
      </c>
      <c r="F261" s="36" t="str">
        <f aca="false">IF(LEN(AA261)=0,"",LEFT(AA261,LEN(AA261)-1))</f>
        <v/>
      </c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8"/>
      <c r="T261" s="37"/>
      <c r="U261" s="37"/>
      <c r="V261" s="39"/>
      <c r="W261" s="39"/>
      <c r="X261" s="40"/>
      <c r="Y261" s="41"/>
      <c r="Z261" s="42"/>
      <c r="AA261" s="43" t="str">
        <f aca="false">IF(G261&lt;&gt;"","Poplar|","")&amp;IF(H261&lt;&gt;"","FJ Primed Poplar|","")&amp;IF(I261&lt;&gt;"","FJ Primed Pine|","")&amp;IF(J261&lt;&gt;"","Clear Pine|","")&amp;IF(K261&lt;&gt;"","Primed MDF|","")&amp;IF(L261&lt;&gt;"","White Oak|","")&amp;IF(M261&lt;&gt;"","Red Oak|","")&amp;IF(N261&lt;&gt;"","Hard Maple|","")&amp;IF(O261&lt;&gt;"","Black Walnut|","")&amp;IF(P261&lt;&gt;"","Douglas Fir|","")&amp;IF(Q261&lt;&gt;"","Western Red Cedar|","")&amp;IF(R261&lt;&gt;"","PVC|","")&amp;IF(S261&lt;&gt;"","Flex|","")&amp;IF(T261&lt;&gt;"","Steel|","")&amp;IF(U261&lt;&gt;"","Plastic|","")&amp;IF(V261&lt;&gt;"",V261&amp;"|","")</f>
        <v/>
      </c>
    </row>
    <row r="262" customFormat="false" ht="16.5" hidden="false" customHeight="true" outlineLevel="0" collapsed="false">
      <c r="A262" s="34" t="s">
        <v>799</v>
      </c>
      <c r="B262" s="35" t="s">
        <v>800</v>
      </c>
      <c r="C262" s="34" t="s">
        <v>738</v>
      </c>
      <c r="D262" s="34" t="s">
        <v>739</v>
      </c>
      <c r="E262" s="34" t="s">
        <v>732</v>
      </c>
      <c r="F262" s="36" t="str">
        <f aca="false">IF(LEN(AA262)=0,"",LEFT(AA262,LEN(AA262)-1))</f>
        <v/>
      </c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8"/>
      <c r="T262" s="37"/>
      <c r="U262" s="37"/>
      <c r="V262" s="39"/>
      <c r="W262" s="39"/>
      <c r="X262" s="40"/>
      <c r="Y262" s="41"/>
      <c r="Z262" s="42"/>
      <c r="AA262" s="43" t="str">
        <f aca="false">IF(G262&lt;&gt;"","Poplar|","")&amp;IF(H262&lt;&gt;"","FJ Primed Poplar|","")&amp;IF(I262&lt;&gt;"","FJ Primed Pine|","")&amp;IF(J262&lt;&gt;"","Clear Pine|","")&amp;IF(K262&lt;&gt;"","Primed MDF|","")&amp;IF(L262&lt;&gt;"","White Oak|","")&amp;IF(M262&lt;&gt;"","Red Oak|","")&amp;IF(N262&lt;&gt;"","Hard Maple|","")&amp;IF(O262&lt;&gt;"","Black Walnut|","")&amp;IF(P262&lt;&gt;"","Douglas Fir|","")&amp;IF(Q262&lt;&gt;"","Western Red Cedar|","")&amp;IF(R262&lt;&gt;"","PVC|","")&amp;IF(S262&lt;&gt;"","Flex|","")&amp;IF(T262&lt;&gt;"","Steel|","")&amp;IF(U262&lt;&gt;"","Plastic|","")&amp;IF(V262&lt;&gt;"",V262&amp;"|","")</f>
        <v/>
      </c>
    </row>
    <row r="263" customFormat="false" ht="16.5" hidden="false" customHeight="true" outlineLevel="0" collapsed="false">
      <c r="A263" s="34" t="s">
        <v>801</v>
      </c>
      <c r="B263" s="35" t="s">
        <v>802</v>
      </c>
      <c r="C263" s="34" t="s">
        <v>738</v>
      </c>
      <c r="D263" s="34" t="s">
        <v>739</v>
      </c>
      <c r="E263" s="34" t="s">
        <v>732</v>
      </c>
      <c r="F263" s="36" t="str">
        <f aca="false">IF(LEN(AA263)=0,"",LEFT(AA263,LEN(AA263)-1))</f>
        <v/>
      </c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8"/>
      <c r="T263" s="37"/>
      <c r="U263" s="37"/>
      <c r="V263" s="39"/>
      <c r="W263" s="39"/>
      <c r="X263" s="40"/>
      <c r="Y263" s="41"/>
      <c r="Z263" s="42"/>
      <c r="AA263" s="43" t="str">
        <f aca="false">IF(G263&lt;&gt;"","Poplar|","")&amp;IF(H263&lt;&gt;"","FJ Primed Poplar|","")&amp;IF(I263&lt;&gt;"","FJ Primed Pine|","")&amp;IF(J263&lt;&gt;"","Clear Pine|","")&amp;IF(K263&lt;&gt;"","Primed MDF|","")&amp;IF(L263&lt;&gt;"","White Oak|","")&amp;IF(M263&lt;&gt;"","Red Oak|","")&amp;IF(N263&lt;&gt;"","Hard Maple|","")&amp;IF(O263&lt;&gt;"","Black Walnut|","")&amp;IF(P263&lt;&gt;"","Douglas Fir|","")&amp;IF(Q263&lt;&gt;"","Western Red Cedar|","")&amp;IF(R263&lt;&gt;"","PVC|","")&amp;IF(S263&lt;&gt;"","Flex|","")&amp;IF(T263&lt;&gt;"","Steel|","")&amp;IF(U263&lt;&gt;"","Plastic|","")&amp;IF(V263&lt;&gt;"",V263&amp;"|","")</f>
        <v/>
      </c>
    </row>
    <row r="264" customFormat="false" ht="16.5" hidden="false" customHeight="true" outlineLevel="0" collapsed="false">
      <c r="A264" s="34" t="s">
        <v>803</v>
      </c>
      <c r="B264" s="35" t="s">
        <v>804</v>
      </c>
      <c r="C264" s="34" t="s">
        <v>738</v>
      </c>
      <c r="D264" s="34" t="s">
        <v>739</v>
      </c>
      <c r="E264" s="34" t="s">
        <v>732</v>
      </c>
      <c r="F264" s="36" t="str">
        <f aca="false">IF(LEN(AA264)=0,"",LEFT(AA264,LEN(AA264)-1))</f>
        <v/>
      </c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8"/>
      <c r="T264" s="37"/>
      <c r="U264" s="37"/>
      <c r="V264" s="39"/>
      <c r="W264" s="39"/>
      <c r="X264" s="40"/>
      <c r="Y264" s="41"/>
      <c r="Z264" s="42"/>
      <c r="AA264" s="43" t="str">
        <f aca="false">IF(G264&lt;&gt;"","Poplar|","")&amp;IF(H264&lt;&gt;"","FJ Primed Poplar|","")&amp;IF(I264&lt;&gt;"","FJ Primed Pine|","")&amp;IF(J264&lt;&gt;"","Clear Pine|","")&amp;IF(K264&lt;&gt;"","Primed MDF|","")&amp;IF(L264&lt;&gt;"","White Oak|","")&amp;IF(M264&lt;&gt;"","Red Oak|","")&amp;IF(N264&lt;&gt;"","Hard Maple|","")&amp;IF(O264&lt;&gt;"","Black Walnut|","")&amp;IF(P264&lt;&gt;"","Douglas Fir|","")&amp;IF(Q264&lt;&gt;"","Western Red Cedar|","")&amp;IF(R264&lt;&gt;"","PVC|","")&amp;IF(S264&lt;&gt;"","Flex|","")&amp;IF(T264&lt;&gt;"","Steel|","")&amp;IF(U264&lt;&gt;"","Plastic|","")&amp;IF(V264&lt;&gt;"",V264&amp;"|","")</f>
        <v/>
      </c>
    </row>
    <row r="265" customFormat="false" ht="16.5" hidden="false" customHeight="true" outlineLevel="0" collapsed="false">
      <c r="A265" s="34" t="s">
        <v>805</v>
      </c>
      <c r="B265" s="35" t="s">
        <v>806</v>
      </c>
      <c r="C265" s="34" t="s">
        <v>738</v>
      </c>
      <c r="D265" s="34" t="s">
        <v>739</v>
      </c>
      <c r="E265" s="34" t="s">
        <v>732</v>
      </c>
      <c r="F265" s="36" t="str">
        <f aca="false">IF(LEN(AA265)=0,"",LEFT(AA265,LEN(AA265)-1))</f>
        <v/>
      </c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8"/>
      <c r="T265" s="37"/>
      <c r="U265" s="37"/>
      <c r="V265" s="39"/>
      <c r="W265" s="39"/>
      <c r="X265" s="40"/>
      <c r="Y265" s="41"/>
      <c r="Z265" s="42"/>
      <c r="AA265" s="43" t="str">
        <f aca="false">IF(G265&lt;&gt;"","Poplar|","")&amp;IF(H265&lt;&gt;"","FJ Primed Poplar|","")&amp;IF(I265&lt;&gt;"","FJ Primed Pine|","")&amp;IF(J265&lt;&gt;"","Clear Pine|","")&amp;IF(K265&lt;&gt;"","Primed MDF|","")&amp;IF(L265&lt;&gt;"","White Oak|","")&amp;IF(M265&lt;&gt;"","Red Oak|","")&amp;IF(N265&lt;&gt;"","Hard Maple|","")&amp;IF(O265&lt;&gt;"","Black Walnut|","")&amp;IF(P265&lt;&gt;"","Douglas Fir|","")&amp;IF(Q265&lt;&gt;"","Western Red Cedar|","")&amp;IF(R265&lt;&gt;"","PVC|","")&amp;IF(S265&lt;&gt;"","Flex|","")&amp;IF(T265&lt;&gt;"","Steel|","")&amp;IF(U265&lt;&gt;"","Plastic|","")&amp;IF(V265&lt;&gt;"",V265&amp;"|","")</f>
        <v/>
      </c>
    </row>
    <row r="266" customFormat="false" ht="16.5" hidden="false" customHeight="true" outlineLevel="0" collapsed="false">
      <c r="A266" s="34" t="s">
        <v>807</v>
      </c>
      <c r="B266" s="35" t="s">
        <v>808</v>
      </c>
      <c r="C266" s="34" t="s">
        <v>738</v>
      </c>
      <c r="D266" s="34" t="s">
        <v>739</v>
      </c>
      <c r="E266" s="34" t="s">
        <v>732</v>
      </c>
      <c r="F266" s="36" t="str">
        <f aca="false">IF(LEN(AA266)=0,"",LEFT(AA266,LEN(AA266)-1))</f>
        <v/>
      </c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8"/>
      <c r="T266" s="37"/>
      <c r="U266" s="37"/>
      <c r="V266" s="39"/>
      <c r="W266" s="39"/>
      <c r="X266" s="40"/>
      <c r="Y266" s="41"/>
      <c r="Z266" s="42"/>
      <c r="AA266" s="43" t="str">
        <f aca="false">IF(G266&lt;&gt;"","Poplar|","")&amp;IF(H266&lt;&gt;"","FJ Primed Poplar|","")&amp;IF(I266&lt;&gt;"","FJ Primed Pine|","")&amp;IF(J266&lt;&gt;"","Clear Pine|","")&amp;IF(K266&lt;&gt;"","Primed MDF|","")&amp;IF(L266&lt;&gt;"","White Oak|","")&amp;IF(M266&lt;&gt;"","Red Oak|","")&amp;IF(N266&lt;&gt;"","Hard Maple|","")&amp;IF(O266&lt;&gt;"","Black Walnut|","")&amp;IF(P266&lt;&gt;"","Douglas Fir|","")&amp;IF(Q266&lt;&gt;"","Western Red Cedar|","")&amp;IF(R266&lt;&gt;"","PVC|","")&amp;IF(S266&lt;&gt;"","Flex|","")&amp;IF(T266&lt;&gt;"","Steel|","")&amp;IF(U266&lt;&gt;"","Plastic|","")&amp;IF(V266&lt;&gt;"",V266&amp;"|","")</f>
        <v/>
      </c>
    </row>
    <row r="267" customFormat="false" ht="16.5" hidden="false" customHeight="true" outlineLevel="0" collapsed="false">
      <c r="A267" s="34" t="s">
        <v>809</v>
      </c>
      <c r="B267" s="35" t="s">
        <v>810</v>
      </c>
      <c r="C267" s="34" t="s">
        <v>738</v>
      </c>
      <c r="D267" s="34" t="s">
        <v>739</v>
      </c>
      <c r="E267" s="34" t="s">
        <v>732</v>
      </c>
      <c r="F267" s="36" t="str">
        <f aca="false">IF(LEN(AA267)=0,"",LEFT(AA267,LEN(AA267)-1))</f>
        <v/>
      </c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8"/>
      <c r="T267" s="37"/>
      <c r="U267" s="37"/>
      <c r="V267" s="39"/>
      <c r="W267" s="39"/>
      <c r="X267" s="40"/>
      <c r="Y267" s="41"/>
      <c r="Z267" s="42"/>
      <c r="AA267" s="43" t="str">
        <f aca="false">IF(G267&lt;&gt;"","Poplar|","")&amp;IF(H267&lt;&gt;"","FJ Primed Poplar|","")&amp;IF(I267&lt;&gt;"","FJ Primed Pine|","")&amp;IF(J267&lt;&gt;"","Clear Pine|","")&amp;IF(K267&lt;&gt;"","Primed MDF|","")&amp;IF(L267&lt;&gt;"","White Oak|","")&amp;IF(M267&lt;&gt;"","Red Oak|","")&amp;IF(N267&lt;&gt;"","Hard Maple|","")&amp;IF(O267&lt;&gt;"","Black Walnut|","")&amp;IF(P267&lt;&gt;"","Douglas Fir|","")&amp;IF(Q267&lt;&gt;"","Western Red Cedar|","")&amp;IF(R267&lt;&gt;"","PVC|","")&amp;IF(S267&lt;&gt;"","Flex|","")&amp;IF(T267&lt;&gt;"","Steel|","")&amp;IF(U267&lt;&gt;"","Plastic|","")&amp;IF(V267&lt;&gt;"",V267&amp;"|","")</f>
        <v/>
      </c>
    </row>
    <row r="268" customFormat="false" ht="16.5" hidden="false" customHeight="true" outlineLevel="0" collapsed="false">
      <c r="A268" s="34" t="s">
        <v>811</v>
      </c>
      <c r="B268" s="35" t="s">
        <v>812</v>
      </c>
      <c r="C268" s="34" t="s">
        <v>738</v>
      </c>
      <c r="D268" s="34" t="s">
        <v>739</v>
      </c>
      <c r="E268" s="34" t="s">
        <v>732</v>
      </c>
      <c r="F268" s="36" t="str">
        <f aca="false">IF(LEN(AA268)=0,"",LEFT(AA268,LEN(AA268)-1))</f>
        <v/>
      </c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8"/>
      <c r="T268" s="37"/>
      <c r="U268" s="37"/>
      <c r="V268" s="39"/>
      <c r="W268" s="39"/>
      <c r="X268" s="40"/>
      <c r="Y268" s="41"/>
      <c r="Z268" s="42"/>
      <c r="AA268" s="43" t="str">
        <f aca="false">IF(G268&lt;&gt;"","Poplar|","")&amp;IF(H268&lt;&gt;"","FJ Primed Poplar|","")&amp;IF(I268&lt;&gt;"","FJ Primed Pine|","")&amp;IF(J268&lt;&gt;"","Clear Pine|","")&amp;IF(K268&lt;&gt;"","Primed MDF|","")&amp;IF(L268&lt;&gt;"","White Oak|","")&amp;IF(M268&lt;&gt;"","Red Oak|","")&amp;IF(N268&lt;&gt;"","Hard Maple|","")&amp;IF(O268&lt;&gt;"","Black Walnut|","")&amp;IF(P268&lt;&gt;"","Douglas Fir|","")&amp;IF(Q268&lt;&gt;"","Western Red Cedar|","")&amp;IF(R268&lt;&gt;"","PVC|","")&amp;IF(S268&lt;&gt;"","Flex|","")&amp;IF(T268&lt;&gt;"","Steel|","")&amp;IF(U268&lt;&gt;"","Plastic|","")&amp;IF(V268&lt;&gt;"",V268&amp;"|","")</f>
        <v/>
      </c>
    </row>
    <row r="269" customFormat="false" ht="16.5" hidden="false" customHeight="true" outlineLevel="0" collapsed="false">
      <c r="A269" s="34" t="s">
        <v>813</v>
      </c>
      <c r="B269" s="35" t="s">
        <v>814</v>
      </c>
      <c r="C269" s="34" t="s">
        <v>738</v>
      </c>
      <c r="D269" s="34" t="s">
        <v>739</v>
      </c>
      <c r="E269" s="34" t="s">
        <v>732</v>
      </c>
      <c r="F269" s="36" t="str">
        <f aca="false">IF(LEN(AA269)=0,"",LEFT(AA269,LEN(AA269)-1))</f>
        <v/>
      </c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8"/>
      <c r="T269" s="37"/>
      <c r="U269" s="37"/>
      <c r="V269" s="39"/>
      <c r="W269" s="39"/>
      <c r="X269" s="40"/>
      <c r="Y269" s="41"/>
      <c r="Z269" s="42"/>
      <c r="AA269" s="43" t="str">
        <f aca="false">IF(G269&lt;&gt;"","Poplar|","")&amp;IF(H269&lt;&gt;"","FJ Primed Poplar|","")&amp;IF(I269&lt;&gt;"","FJ Primed Pine|","")&amp;IF(J269&lt;&gt;"","Clear Pine|","")&amp;IF(K269&lt;&gt;"","Primed MDF|","")&amp;IF(L269&lt;&gt;"","White Oak|","")&amp;IF(M269&lt;&gt;"","Red Oak|","")&amp;IF(N269&lt;&gt;"","Hard Maple|","")&amp;IF(O269&lt;&gt;"","Black Walnut|","")&amp;IF(P269&lt;&gt;"","Douglas Fir|","")&amp;IF(Q269&lt;&gt;"","Western Red Cedar|","")&amp;IF(R269&lt;&gt;"","PVC|","")&amp;IF(S269&lt;&gt;"","Flex|","")&amp;IF(T269&lt;&gt;"","Steel|","")&amp;IF(U269&lt;&gt;"","Plastic|","")&amp;IF(V269&lt;&gt;"",V269&amp;"|","")</f>
        <v/>
      </c>
    </row>
    <row r="270" customFormat="false" ht="16.5" hidden="false" customHeight="true" outlineLevel="0" collapsed="false">
      <c r="A270" s="34" t="s">
        <v>815</v>
      </c>
      <c r="B270" s="35" t="s">
        <v>816</v>
      </c>
      <c r="C270" s="34" t="s">
        <v>738</v>
      </c>
      <c r="D270" s="34" t="s">
        <v>739</v>
      </c>
      <c r="E270" s="34" t="s">
        <v>732</v>
      </c>
      <c r="F270" s="36" t="str">
        <f aca="false">IF(LEN(AA270)=0,"",LEFT(AA270,LEN(AA270)-1))</f>
        <v/>
      </c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8"/>
      <c r="T270" s="37"/>
      <c r="U270" s="37"/>
      <c r="V270" s="39"/>
      <c r="W270" s="39"/>
      <c r="X270" s="40"/>
      <c r="Y270" s="41"/>
      <c r="Z270" s="42"/>
      <c r="AA270" s="43" t="str">
        <f aca="false">IF(G270&lt;&gt;"","Poplar|","")&amp;IF(H270&lt;&gt;"","FJ Primed Poplar|","")&amp;IF(I270&lt;&gt;"","FJ Primed Pine|","")&amp;IF(J270&lt;&gt;"","Clear Pine|","")&amp;IF(K270&lt;&gt;"","Primed MDF|","")&amp;IF(L270&lt;&gt;"","White Oak|","")&amp;IF(M270&lt;&gt;"","Red Oak|","")&amp;IF(N270&lt;&gt;"","Hard Maple|","")&amp;IF(O270&lt;&gt;"","Black Walnut|","")&amp;IF(P270&lt;&gt;"","Douglas Fir|","")&amp;IF(Q270&lt;&gt;"","Western Red Cedar|","")&amp;IF(R270&lt;&gt;"","PVC|","")&amp;IF(S270&lt;&gt;"","Flex|","")&amp;IF(T270&lt;&gt;"","Steel|","")&amp;IF(U270&lt;&gt;"","Plastic|","")&amp;IF(V270&lt;&gt;"",V270&amp;"|","")</f>
        <v/>
      </c>
    </row>
    <row r="271" customFormat="false" ht="16.5" hidden="false" customHeight="true" outlineLevel="0" collapsed="false">
      <c r="A271" s="34" t="s">
        <v>817</v>
      </c>
      <c r="B271" s="35" t="s">
        <v>818</v>
      </c>
      <c r="C271" s="34" t="s">
        <v>738</v>
      </c>
      <c r="D271" s="34" t="s">
        <v>739</v>
      </c>
      <c r="E271" s="34" t="s">
        <v>732</v>
      </c>
      <c r="F271" s="36" t="str">
        <f aca="false">IF(LEN(AA271)=0,"",LEFT(AA271,LEN(AA271)-1))</f>
        <v/>
      </c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8"/>
      <c r="T271" s="37"/>
      <c r="U271" s="37"/>
      <c r="V271" s="39"/>
      <c r="W271" s="39"/>
      <c r="X271" s="40"/>
      <c r="Y271" s="41"/>
      <c r="Z271" s="42"/>
      <c r="AA271" s="43" t="str">
        <f aca="false">IF(G271&lt;&gt;"","Poplar|","")&amp;IF(H271&lt;&gt;"","FJ Primed Poplar|","")&amp;IF(I271&lt;&gt;"","FJ Primed Pine|","")&amp;IF(J271&lt;&gt;"","Clear Pine|","")&amp;IF(K271&lt;&gt;"","Primed MDF|","")&amp;IF(L271&lt;&gt;"","White Oak|","")&amp;IF(M271&lt;&gt;"","Red Oak|","")&amp;IF(N271&lt;&gt;"","Hard Maple|","")&amp;IF(O271&lt;&gt;"","Black Walnut|","")&amp;IF(P271&lt;&gt;"","Douglas Fir|","")&amp;IF(Q271&lt;&gt;"","Western Red Cedar|","")&amp;IF(R271&lt;&gt;"","PVC|","")&amp;IF(S271&lt;&gt;"","Flex|","")&amp;IF(T271&lt;&gt;"","Steel|","")&amp;IF(U271&lt;&gt;"","Plastic|","")&amp;IF(V271&lt;&gt;"",V271&amp;"|","")</f>
        <v/>
      </c>
    </row>
    <row r="272" customFormat="false" ht="16.5" hidden="false" customHeight="true" outlineLevel="0" collapsed="false">
      <c r="A272" s="34" t="s">
        <v>819</v>
      </c>
      <c r="B272" s="35" t="s">
        <v>820</v>
      </c>
      <c r="C272" s="34" t="s">
        <v>738</v>
      </c>
      <c r="D272" s="34" t="s">
        <v>739</v>
      </c>
      <c r="E272" s="34" t="s">
        <v>732</v>
      </c>
      <c r="F272" s="36" t="str">
        <f aca="false">IF(LEN(AA272)=0,"",LEFT(AA272,LEN(AA272)-1))</f>
        <v/>
      </c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8"/>
      <c r="T272" s="37"/>
      <c r="U272" s="37"/>
      <c r="V272" s="39"/>
      <c r="W272" s="39"/>
      <c r="X272" s="40"/>
      <c r="Y272" s="41"/>
      <c r="Z272" s="42"/>
      <c r="AA272" s="43" t="str">
        <f aca="false">IF(G272&lt;&gt;"","Poplar|","")&amp;IF(H272&lt;&gt;"","FJ Primed Poplar|","")&amp;IF(I272&lt;&gt;"","FJ Primed Pine|","")&amp;IF(J272&lt;&gt;"","Clear Pine|","")&amp;IF(K272&lt;&gt;"","Primed MDF|","")&amp;IF(L272&lt;&gt;"","White Oak|","")&amp;IF(M272&lt;&gt;"","Red Oak|","")&amp;IF(N272&lt;&gt;"","Hard Maple|","")&amp;IF(O272&lt;&gt;"","Black Walnut|","")&amp;IF(P272&lt;&gt;"","Douglas Fir|","")&amp;IF(Q272&lt;&gt;"","Western Red Cedar|","")&amp;IF(R272&lt;&gt;"","PVC|","")&amp;IF(S272&lt;&gt;"","Flex|","")&amp;IF(T272&lt;&gt;"","Steel|","")&amp;IF(U272&lt;&gt;"","Plastic|","")&amp;IF(V272&lt;&gt;"",V272&amp;"|","")</f>
        <v/>
      </c>
    </row>
    <row r="273" customFormat="false" ht="16.5" hidden="false" customHeight="true" outlineLevel="0" collapsed="false">
      <c r="A273" s="34" t="s">
        <v>821</v>
      </c>
      <c r="B273" s="35" t="s">
        <v>822</v>
      </c>
      <c r="C273" s="34" t="s">
        <v>738</v>
      </c>
      <c r="D273" s="34" t="s">
        <v>739</v>
      </c>
      <c r="E273" s="34" t="s">
        <v>732</v>
      </c>
      <c r="F273" s="36" t="str">
        <f aca="false">IF(LEN(AA273)=0,"",LEFT(AA273,LEN(AA273)-1))</f>
        <v/>
      </c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8"/>
      <c r="T273" s="37"/>
      <c r="U273" s="37"/>
      <c r="V273" s="39"/>
      <c r="W273" s="39"/>
      <c r="X273" s="40"/>
      <c r="Y273" s="41"/>
      <c r="Z273" s="42"/>
      <c r="AA273" s="43" t="str">
        <f aca="false">IF(G273&lt;&gt;"","Poplar|","")&amp;IF(H273&lt;&gt;"","FJ Primed Poplar|","")&amp;IF(I273&lt;&gt;"","FJ Primed Pine|","")&amp;IF(J273&lt;&gt;"","Clear Pine|","")&amp;IF(K273&lt;&gt;"","Primed MDF|","")&amp;IF(L273&lt;&gt;"","White Oak|","")&amp;IF(M273&lt;&gt;"","Red Oak|","")&amp;IF(N273&lt;&gt;"","Hard Maple|","")&amp;IF(O273&lt;&gt;"","Black Walnut|","")&amp;IF(P273&lt;&gt;"","Douglas Fir|","")&amp;IF(Q273&lt;&gt;"","Western Red Cedar|","")&amp;IF(R273&lt;&gt;"","PVC|","")&amp;IF(S273&lt;&gt;"","Flex|","")&amp;IF(T273&lt;&gt;"","Steel|","")&amp;IF(U273&lt;&gt;"","Plastic|","")&amp;IF(V273&lt;&gt;"",V273&amp;"|","")</f>
        <v/>
      </c>
    </row>
    <row r="274" customFormat="false" ht="16.5" hidden="false" customHeight="true" outlineLevel="0" collapsed="false">
      <c r="A274" s="34" t="s">
        <v>823</v>
      </c>
      <c r="B274" s="35" t="s">
        <v>824</v>
      </c>
      <c r="C274" s="34" t="s">
        <v>738</v>
      </c>
      <c r="D274" s="34" t="s">
        <v>739</v>
      </c>
      <c r="E274" s="34" t="s">
        <v>732</v>
      </c>
      <c r="F274" s="36" t="str">
        <f aca="false">IF(LEN(AA274)=0,"",LEFT(AA274,LEN(AA274)-1))</f>
        <v/>
      </c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8"/>
      <c r="T274" s="37"/>
      <c r="U274" s="37"/>
      <c r="V274" s="39"/>
      <c r="W274" s="39"/>
      <c r="X274" s="40"/>
      <c r="Y274" s="41"/>
      <c r="Z274" s="42"/>
      <c r="AA274" s="43" t="str">
        <f aca="false">IF(G274&lt;&gt;"","Poplar|","")&amp;IF(H274&lt;&gt;"","FJ Primed Poplar|","")&amp;IF(I274&lt;&gt;"","FJ Primed Pine|","")&amp;IF(J274&lt;&gt;"","Clear Pine|","")&amp;IF(K274&lt;&gt;"","Primed MDF|","")&amp;IF(L274&lt;&gt;"","White Oak|","")&amp;IF(M274&lt;&gt;"","Red Oak|","")&amp;IF(N274&lt;&gt;"","Hard Maple|","")&amp;IF(O274&lt;&gt;"","Black Walnut|","")&amp;IF(P274&lt;&gt;"","Douglas Fir|","")&amp;IF(Q274&lt;&gt;"","Western Red Cedar|","")&amp;IF(R274&lt;&gt;"","PVC|","")&amp;IF(S274&lt;&gt;"","Flex|","")&amp;IF(T274&lt;&gt;"","Steel|","")&amp;IF(U274&lt;&gt;"","Plastic|","")&amp;IF(V274&lt;&gt;"",V274&amp;"|","")</f>
        <v/>
      </c>
    </row>
    <row r="275" customFormat="false" ht="16.5" hidden="false" customHeight="true" outlineLevel="0" collapsed="false">
      <c r="A275" s="34" t="s">
        <v>825</v>
      </c>
      <c r="B275" s="35" t="s">
        <v>826</v>
      </c>
      <c r="C275" s="34" t="s">
        <v>738</v>
      </c>
      <c r="D275" s="34" t="s">
        <v>739</v>
      </c>
      <c r="E275" s="34" t="s">
        <v>732</v>
      </c>
      <c r="F275" s="36" t="str">
        <f aca="false">IF(LEN(AA275)=0,"",LEFT(AA275,LEN(AA275)-1))</f>
        <v/>
      </c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8"/>
      <c r="T275" s="37"/>
      <c r="U275" s="37"/>
      <c r="V275" s="39"/>
      <c r="W275" s="39"/>
      <c r="X275" s="40"/>
      <c r="Y275" s="41"/>
      <c r="Z275" s="42"/>
      <c r="AA275" s="43" t="str">
        <f aca="false">IF(G275&lt;&gt;"","Poplar|","")&amp;IF(H275&lt;&gt;"","FJ Primed Poplar|","")&amp;IF(I275&lt;&gt;"","FJ Primed Pine|","")&amp;IF(J275&lt;&gt;"","Clear Pine|","")&amp;IF(K275&lt;&gt;"","Primed MDF|","")&amp;IF(L275&lt;&gt;"","White Oak|","")&amp;IF(M275&lt;&gt;"","Red Oak|","")&amp;IF(N275&lt;&gt;"","Hard Maple|","")&amp;IF(O275&lt;&gt;"","Black Walnut|","")&amp;IF(P275&lt;&gt;"","Douglas Fir|","")&amp;IF(Q275&lt;&gt;"","Western Red Cedar|","")&amp;IF(R275&lt;&gt;"","PVC|","")&amp;IF(S275&lt;&gt;"","Flex|","")&amp;IF(T275&lt;&gt;"","Steel|","")&amp;IF(U275&lt;&gt;"","Plastic|","")&amp;IF(V275&lt;&gt;"",V275&amp;"|","")</f>
        <v/>
      </c>
    </row>
    <row r="276" customFormat="false" ht="16.5" hidden="false" customHeight="true" outlineLevel="0" collapsed="false">
      <c r="A276" s="34" t="s">
        <v>827</v>
      </c>
      <c r="B276" s="35" t="s">
        <v>828</v>
      </c>
      <c r="C276" s="34" t="s">
        <v>738</v>
      </c>
      <c r="D276" s="34" t="s">
        <v>739</v>
      </c>
      <c r="E276" s="34" t="s">
        <v>732</v>
      </c>
      <c r="F276" s="36" t="str">
        <f aca="false">IF(LEN(AA276)=0,"",LEFT(AA276,LEN(AA276)-1))</f>
        <v/>
      </c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8"/>
      <c r="T276" s="37"/>
      <c r="U276" s="37"/>
      <c r="V276" s="39"/>
      <c r="W276" s="39"/>
      <c r="X276" s="40"/>
      <c r="Y276" s="41"/>
      <c r="Z276" s="42"/>
      <c r="AA276" s="43" t="str">
        <f aca="false">IF(G276&lt;&gt;"","Poplar|","")&amp;IF(H276&lt;&gt;"","FJ Primed Poplar|","")&amp;IF(I276&lt;&gt;"","FJ Primed Pine|","")&amp;IF(J276&lt;&gt;"","Clear Pine|","")&amp;IF(K276&lt;&gt;"","Primed MDF|","")&amp;IF(L276&lt;&gt;"","White Oak|","")&amp;IF(M276&lt;&gt;"","Red Oak|","")&amp;IF(N276&lt;&gt;"","Hard Maple|","")&amp;IF(O276&lt;&gt;"","Black Walnut|","")&amp;IF(P276&lt;&gt;"","Douglas Fir|","")&amp;IF(Q276&lt;&gt;"","Western Red Cedar|","")&amp;IF(R276&lt;&gt;"","PVC|","")&amp;IF(S276&lt;&gt;"","Flex|","")&amp;IF(T276&lt;&gt;"","Steel|","")&amp;IF(U276&lt;&gt;"","Plastic|","")&amp;IF(V276&lt;&gt;"",V276&amp;"|","")</f>
        <v/>
      </c>
    </row>
    <row r="277" customFormat="false" ht="16.5" hidden="false" customHeight="true" outlineLevel="0" collapsed="false">
      <c r="A277" s="34" t="s">
        <v>829</v>
      </c>
      <c r="B277" s="35" t="s">
        <v>830</v>
      </c>
      <c r="C277" s="34" t="s">
        <v>738</v>
      </c>
      <c r="D277" s="34" t="s">
        <v>739</v>
      </c>
      <c r="E277" s="34" t="s">
        <v>732</v>
      </c>
      <c r="F277" s="36" t="str">
        <f aca="false">IF(LEN(AA277)=0,"",LEFT(AA277,LEN(AA277)-1))</f>
        <v/>
      </c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8"/>
      <c r="T277" s="37"/>
      <c r="U277" s="37"/>
      <c r="V277" s="39"/>
      <c r="W277" s="39"/>
      <c r="X277" s="40"/>
      <c r="Y277" s="41"/>
      <c r="Z277" s="42"/>
      <c r="AA277" s="43" t="str">
        <f aca="false">IF(G277&lt;&gt;"","Poplar|","")&amp;IF(H277&lt;&gt;"","FJ Primed Poplar|","")&amp;IF(I277&lt;&gt;"","FJ Primed Pine|","")&amp;IF(J277&lt;&gt;"","Clear Pine|","")&amp;IF(K277&lt;&gt;"","Primed MDF|","")&amp;IF(L277&lt;&gt;"","White Oak|","")&amp;IF(M277&lt;&gt;"","Red Oak|","")&amp;IF(N277&lt;&gt;"","Hard Maple|","")&amp;IF(O277&lt;&gt;"","Black Walnut|","")&amp;IF(P277&lt;&gt;"","Douglas Fir|","")&amp;IF(Q277&lt;&gt;"","Western Red Cedar|","")&amp;IF(R277&lt;&gt;"","PVC|","")&amp;IF(S277&lt;&gt;"","Flex|","")&amp;IF(T277&lt;&gt;"","Steel|","")&amp;IF(U277&lt;&gt;"","Plastic|","")&amp;IF(V277&lt;&gt;"",V277&amp;"|","")</f>
        <v/>
      </c>
    </row>
    <row r="278" customFormat="false" ht="16.5" hidden="false" customHeight="true" outlineLevel="0" collapsed="false">
      <c r="A278" s="34" t="s">
        <v>831</v>
      </c>
      <c r="B278" s="35" t="s">
        <v>832</v>
      </c>
      <c r="C278" s="34" t="s">
        <v>738</v>
      </c>
      <c r="D278" s="34" t="s">
        <v>739</v>
      </c>
      <c r="E278" s="34" t="s">
        <v>732</v>
      </c>
      <c r="F278" s="36" t="str">
        <f aca="false">IF(LEN(AA278)=0,"",LEFT(AA278,LEN(AA278)-1))</f>
        <v/>
      </c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8"/>
      <c r="T278" s="37"/>
      <c r="U278" s="37"/>
      <c r="V278" s="39"/>
      <c r="W278" s="39"/>
      <c r="X278" s="40"/>
      <c r="Y278" s="41"/>
      <c r="Z278" s="42"/>
      <c r="AA278" s="43" t="str">
        <f aca="false">IF(G278&lt;&gt;"","Poplar|","")&amp;IF(H278&lt;&gt;"","FJ Primed Poplar|","")&amp;IF(I278&lt;&gt;"","FJ Primed Pine|","")&amp;IF(J278&lt;&gt;"","Clear Pine|","")&amp;IF(K278&lt;&gt;"","Primed MDF|","")&amp;IF(L278&lt;&gt;"","White Oak|","")&amp;IF(M278&lt;&gt;"","Red Oak|","")&amp;IF(N278&lt;&gt;"","Hard Maple|","")&amp;IF(O278&lt;&gt;"","Black Walnut|","")&amp;IF(P278&lt;&gt;"","Douglas Fir|","")&amp;IF(Q278&lt;&gt;"","Western Red Cedar|","")&amp;IF(R278&lt;&gt;"","PVC|","")&amp;IF(S278&lt;&gt;"","Flex|","")&amp;IF(T278&lt;&gt;"","Steel|","")&amp;IF(U278&lt;&gt;"","Plastic|","")&amp;IF(V278&lt;&gt;"",V278&amp;"|","")</f>
        <v/>
      </c>
    </row>
    <row r="279" customFormat="false" ht="16.5" hidden="false" customHeight="true" outlineLevel="0" collapsed="false">
      <c r="A279" s="34" t="s">
        <v>833</v>
      </c>
      <c r="B279" s="35" t="s">
        <v>834</v>
      </c>
      <c r="C279" s="34" t="s">
        <v>738</v>
      </c>
      <c r="D279" s="34" t="s">
        <v>739</v>
      </c>
      <c r="E279" s="34" t="s">
        <v>732</v>
      </c>
      <c r="F279" s="36" t="str">
        <f aca="false">IF(LEN(AA279)=0,"",LEFT(AA279,LEN(AA279)-1))</f>
        <v/>
      </c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8"/>
      <c r="T279" s="37"/>
      <c r="U279" s="37"/>
      <c r="V279" s="39"/>
      <c r="W279" s="39"/>
      <c r="X279" s="40"/>
      <c r="Y279" s="41"/>
      <c r="Z279" s="42"/>
      <c r="AA279" s="43" t="str">
        <f aca="false">IF(G279&lt;&gt;"","Poplar|","")&amp;IF(H279&lt;&gt;"","FJ Primed Poplar|","")&amp;IF(I279&lt;&gt;"","FJ Primed Pine|","")&amp;IF(J279&lt;&gt;"","Clear Pine|","")&amp;IF(K279&lt;&gt;"","Primed MDF|","")&amp;IF(L279&lt;&gt;"","White Oak|","")&amp;IF(M279&lt;&gt;"","Red Oak|","")&amp;IF(N279&lt;&gt;"","Hard Maple|","")&amp;IF(O279&lt;&gt;"","Black Walnut|","")&amp;IF(P279&lt;&gt;"","Douglas Fir|","")&amp;IF(Q279&lt;&gt;"","Western Red Cedar|","")&amp;IF(R279&lt;&gt;"","PVC|","")&amp;IF(S279&lt;&gt;"","Flex|","")&amp;IF(T279&lt;&gt;"","Steel|","")&amp;IF(U279&lt;&gt;"","Plastic|","")&amp;IF(V279&lt;&gt;"",V279&amp;"|","")</f>
        <v/>
      </c>
    </row>
    <row r="280" customFormat="false" ht="16.5" hidden="false" customHeight="true" outlineLevel="0" collapsed="false">
      <c r="A280" s="34" t="s">
        <v>835</v>
      </c>
      <c r="B280" s="35" t="s">
        <v>836</v>
      </c>
      <c r="C280" s="34" t="s">
        <v>738</v>
      </c>
      <c r="D280" s="34" t="s">
        <v>739</v>
      </c>
      <c r="E280" s="34" t="s">
        <v>732</v>
      </c>
      <c r="F280" s="36" t="str">
        <f aca="false">IF(LEN(AA280)=0,"",LEFT(AA280,LEN(AA280)-1))</f>
        <v/>
      </c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8"/>
      <c r="T280" s="37"/>
      <c r="U280" s="37"/>
      <c r="V280" s="39"/>
      <c r="W280" s="39"/>
      <c r="X280" s="40"/>
      <c r="Y280" s="41"/>
      <c r="Z280" s="42"/>
      <c r="AA280" s="43" t="str">
        <f aca="false">IF(G280&lt;&gt;"","Poplar|","")&amp;IF(H280&lt;&gt;"","FJ Primed Poplar|","")&amp;IF(I280&lt;&gt;"","FJ Primed Pine|","")&amp;IF(J280&lt;&gt;"","Clear Pine|","")&amp;IF(K280&lt;&gt;"","Primed MDF|","")&amp;IF(L280&lt;&gt;"","White Oak|","")&amp;IF(M280&lt;&gt;"","Red Oak|","")&amp;IF(N280&lt;&gt;"","Hard Maple|","")&amp;IF(O280&lt;&gt;"","Black Walnut|","")&amp;IF(P280&lt;&gt;"","Douglas Fir|","")&amp;IF(Q280&lt;&gt;"","Western Red Cedar|","")&amp;IF(R280&lt;&gt;"","PVC|","")&amp;IF(S280&lt;&gt;"","Flex|","")&amp;IF(T280&lt;&gt;"","Steel|","")&amp;IF(U280&lt;&gt;"","Plastic|","")&amp;IF(V280&lt;&gt;"",V280&amp;"|","")</f>
        <v/>
      </c>
    </row>
    <row r="281" customFormat="false" ht="16.5" hidden="false" customHeight="true" outlineLevel="0" collapsed="false">
      <c r="A281" s="34" t="s">
        <v>837</v>
      </c>
      <c r="B281" s="35" t="s">
        <v>838</v>
      </c>
      <c r="C281" s="34" t="s">
        <v>738</v>
      </c>
      <c r="D281" s="34" t="s">
        <v>739</v>
      </c>
      <c r="E281" s="34" t="s">
        <v>732</v>
      </c>
      <c r="F281" s="36" t="str">
        <f aca="false">IF(LEN(AA281)=0,"",LEFT(AA281,LEN(AA281)-1))</f>
        <v/>
      </c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8"/>
      <c r="T281" s="37"/>
      <c r="U281" s="37"/>
      <c r="V281" s="39"/>
      <c r="W281" s="39"/>
      <c r="X281" s="40"/>
      <c r="Y281" s="41"/>
      <c r="Z281" s="42"/>
      <c r="AA281" s="43" t="str">
        <f aca="false">IF(G281&lt;&gt;"","Poplar|","")&amp;IF(H281&lt;&gt;"","FJ Primed Poplar|","")&amp;IF(I281&lt;&gt;"","FJ Primed Pine|","")&amp;IF(J281&lt;&gt;"","Clear Pine|","")&amp;IF(K281&lt;&gt;"","Primed MDF|","")&amp;IF(L281&lt;&gt;"","White Oak|","")&amp;IF(M281&lt;&gt;"","Red Oak|","")&amp;IF(N281&lt;&gt;"","Hard Maple|","")&amp;IF(O281&lt;&gt;"","Black Walnut|","")&amp;IF(P281&lt;&gt;"","Douglas Fir|","")&amp;IF(Q281&lt;&gt;"","Western Red Cedar|","")&amp;IF(R281&lt;&gt;"","PVC|","")&amp;IF(S281&lt;&gt;"","Flex|","")&amp;IF(T281&lt;&gt;"","Steel|","")&amp;IF(U281&lt;&gt;"","Plastic|","")&amp;IF(V281&lt;&gt;"",V281&amp;"|","")</f>
        <v/>
      </c>
    </row>
    <row r="282" customFormat="false" ht="16.5" hidden="false" customHeight="true" outlineLevel="0" collapsed="false">
      <c r="A282" s="34" t="s">
        <v>839</v>
      </c>
      <c r="B282" s="35" t="s">
        <v>840</v>
      </c>
      <c r="C282" s="34" t="s">
        <v>738</v>
      </c>
      <c r="D282" s="34" t="s">
        <v>739</v>
      </c>
      <c r="E282" s="34" t="s">
        <v>732</v>
      </c>
      <c r="F282" s="36" t="str">
        <f aca="false">IF(LEN(AA282)=0,"",LEFT(AA282,LEN(AA282)-1))</f>
        <v/>
      </c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8"/>
      <c r="T282" s="37"/>
      <c r="U282" s="37"/>
      <c r="V282" s="39"/>
      <c r="W282" s="39"/>
      <c r="X282" s="40"/>
      <c r="Y282" s="41"/>
      <c r="Z282" s="42"/>
      <c r="AA282" s="43" t="str">
        <f aca="false">IF(G282&lt;&gt;"","Poplar|","")&amp;IF(H282&lt;&gt;"","FJ Primed Poplar|","")&amp;IF(I282&lt;&gt;"","FJ Primed Pine|","")&amp;IF(J282&lt;&gt;"","Clear Pine|","")&amp;IF(K282&lt;&gt;"","Primed MDF|","")&amp;IF(L282&lt;&gt;"","White Oak|","")&amp;IF(M282&lt;&gt;"","Red Oak|","")&amp;IF(N282&lt;&gt;"","Hard Maple|","")&amp;IF(O282&lt;&gt;"","Black Walnut|","")&amp;IF(P282&lt;&gt;"","Douglas Fir|","")&amp;IF(Q282&lt;&gt;"","Western Red Cedar|","")&amp;IF(R282&lt;&gt;"","PVC|","")&amp;IF(S282&lt;&gt;"","Flex|","")&amp;IF(T282&lt;&gt;"","Steel|","")&amp;IF(U282&lt;&gt;"","Plastic|","")&amp;IF(V282&lt;&gt;"",V282&amp;"|","")</f>
        <v/>
      </c>
    </row>
    <row r="283" customFormat="false" ht="16.5" hidden="false" customHeight="true" outlineLevel="0" collapsed="false">
      <c r="A283" s="34" t="s">
        <v>841</v>
      </c>
      <c r="B283" s="35" t="s">
        <v>842</v>
      </c>
      <c r="C283" s="34" t="s">
        <v>738</v>
      </c>
      <c r="D283" s="34" t="s">
        <v>739</v>
      </c>
      <c r="E283" s="34" t="s">
        <v>732</v>
      </c>
      <c r="F283" s="36" t="str">
        <f aca="false">IF(LEN(AA283)=0,"",LEFT(AA283,LEN(AA283)-1))</f>
        <v/>
      </c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8"/>
      <c r="T283" s="37"/>
      <c r="U283" s="37"/>
      <c r="V283" s="39"/>
      <c r="W283" s="39"/>
      <c r="X283" s="40"/>
      <c r="Y283" s="41"/>
      <c r="Z283" s="42"/>
      <c r="AA283" s="43" t="str">
        <f aca="false">IF(G283&lt;&gt;"","Poplar|","")&amp;IF(H283&lt;&gt;"","FJ Primed Poplar|","")&amp;IF(I283&lt;&gt;"","FJ Primed Pine|","")&amp;IF(J283&lt;&gt;"","Clear Pine|","")&amp;IF(K283&lt;&gt;"","Primed MDF|","")&amp;IF(L283&lt;&gt;"","White Oak|","")&amp;IF(M283&lt;&gt;"","Red Oak|","")&amp;IF(N283&lt;&gt;"","Hard Maple|","")&amp;IF(O283&lt;&gt;"","Black Walnut|","")&amp;IF(P283&lt;&gt;"","Douglas Fir|","")&amp;IF(Q283&lt;&gt;"","Western Red Cedar|","")&amp;IF(R283&lt;&gt;"","PVC|","")&amp;IF(S283&lt;&gt;"","Flex|","")&amp;IF(T283&lt;&gt;"","Steel|","")&amp;IF(U283&lt;&gt;"","Plastic|","")&amp;IF(V283&lt;&gt;"",V283&amp;"|","")</f>
        <v/>
      </c>
    </row>
    <row r="284" customFormat="false" ht="16.5" hidden="false" customHeight="true" outlineLevel="0" collapsed="false">
      <c r="A284" s="34" t="s">
        <v>843</v>
      </c>
      <c r="B284" s="35" t="s">
        <v>844</v>
      </c>
      <c r="C284" s="34" t="s">
        <v>738</v>
      </c>
      <c r="D284" s="34" t="s">
        <v>739</v>
      </c>
      <c r="E284" s="34" t="s">
        <v>732</v>
      </c>
      <c r="F284" s="36" t="str">
        <f aca="false">IF(LEN(AA284)=0,"",LEFT(AA284,LEN(AA284)-1))</f>
        <v/>
      </c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8"/>
      <c r="T284" s="37"/>
      <c r="U284" s="37"/>
      <c r="V284" s="39"/>
      <c r="W284" s="39"/>
      <c r="X284" s="40"/>
      <c r="Y284" s="41"/>
      <c r="Z284" s="42"/>
      <c r="AA284" s="43" t="str">
        <f aca="false">IF(G284&lt;&gt;"","Poplar|","")&amp;IF(H284&lt;&gt;"","FJ Primed Poplar|","")&amp;IF(I284&lt;&gt;"","FJ Primed Pine|","")&amp;IF(J284&lt;&gt;"","Clear Pine|","")&amp;IF(K284&lt;&gt;"","Primed MDF|","")&amp;IF(L284&lt;&gt;"","White Oak|","")&amp;IF(M284&lt;&gt;"","Red Oak|","")&amp;IF(N284&lt;&gt;"","Hard Maple|","")&amp;IF(O284&lt;&gt;"","Black Walnut|","")&amp;IF(P284&lt;&gt;"","Douglas Fir|","")&amp;IF(Q284&lt;&gt;"","Western Red Cedar|","")&amp;IF(R284&lt;&gt;"","PVC|","")&amp;IF(S284&lt;&gt;"","Flex|","")&amp;IF(T284&lt;&gt;"","Steel|","")&amp;IF(U284&lt;&gt;"","Plastic|","")&amp;IF(V284&lt;&gt;"",V284&amp;"|","")</f>
        <v/>
      </c>
    </row>
    <row r="285" customFormat="false" ht="16.5" hidden="false" customHeight="true" outlineLevel="0" collapsed="false">
      <c r="A285" s="34" t="s">
        <v>845</v>
      </c>
      <c r="B285" s="35" t="s">
        <v>846</v>
      </c>
      <c r="C285" s="34" t="s">
        <v>738</v>
      </c>
      <c r="D285" s="34" t="s">
        <v>739</v>
      </c>
      <c r="E285" s="34" t="s">
        <v>732</v>
      </c>
      <c r="F285" s="36" t="str">
        <f aca="false">IF(LEN(AA285)=0,"",LEFT(AA285,LEN(AA285)-1))</f>
        <v/>
      </c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8"/>
      <c r="T285" s="37"/>
      <c r="U285" s="37"/>
      <c r="V285" s="39"/>
      <c r="W285" s="39"/>
      <c r="X285" s="40"/>
      <c r="Y285" s="41"/>
      <c r="Z285" s="42"/>
      <c r="AA285" s="43" t="str">
        <f aca="false">IF(G285&lt;&gt;"","Poplar|","")&amp;IF(H285&lt;&gt;"","FJ Primed Poplar|","")&amp;IF(I285&lt;&gt;"","FJ Primed Pine|","")&amp;IF(J285&lt;&gt;"","Clear Pine|","")&amp;IF(K285&lt;&gt;"","Primed MDF|","")&amp;IF(L285&lt;&gt;"","White Oak|","")&amp;IF(M285&lt;&gt;"","Red Oak|","")&amp;IF(N285&lt;&gt;"","Hard Maple|","")&amp;IF(O285&lt;&gt;"","Black Walnut|","")&amp;IF(P285&lt;&gt;"","Douglas Fir|","")&amp;IF(Q285&lt;&gt;"","Western Red Cedar|","")&amp;IF(R285&lt;&gt;"","PVC|","")&amp;IF(S285&lt;&gt;"","Flex|","")&amp;IF(T285&lt;&gt;"","Steel|","")&amp;IF(U285&lt;&gt;"","Plastic|","")&amp;IF(V285&lt;&gt;"",V285&amp;"|","")</f>
        <v/>
      </c>
    </row>
    <row r="286" customFormat="false" ht="16.5" hidden="false" customHeight="true" outlineLevel="0" collapsed="false">
      <c r="A286" s="34" t="s">
        <v>847</v>
      </c>
      <c r="B286" s="35" t="s">
        <v>848</v>
      </c>
      <c r="C286" s="34" t="s">
        <v>738</v>
      </c>
      <c r="D286" s="34" t="s">
        <v>739</v>
      </c>
      <c r="E286" s="34" t="s">
        <v>732</v>
      </c>
      <c r="F286" s="36" t="str">
        <f aca="false">IF(LEN(AA286)=0,"",LEFT(AA286,LEN(AA286)-1))</f>
        <v/>
      </c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8"/>
      <c r="T286" s="37"/>
      <c r="U286" s="37"/>
      <c r="V286" s="39"/>
      <c r="W286" s="39"/>
      <c r="X286" s="40"/>
      <c r="Y286" s="41"/>
      <c r="Z286" s="42"/>
      <c r="AA286" s="43" t="str">
        <f aca="false">IF(G286&lt;&gt;"","Poplar|","")&amp;IF(H286&lt;&gt;"","FJ Primed Poplar|","")&amp;IF(I286&lt;&gt;"","FJ Primed Pine|","")&amp;IF(J286&lt;&gt;"","Clear Pine|","")&amp;IF(K286&lt;&gt;"","Primed MDF|","")&amp;IF(L286&lt;&gt;"","White Oak|","")&amp;IF(M286&lt;&gt;"","Red Oak|","")&amp;IF(N286&lt;&gt;"","Hard Maple|","")&amp;IF(O286&lt;&gt;"","Black Walnut|","")&amp;IF(P286&lt;&gt;"","Douglas Fir|","")&amp;IF(Q286&lt;&gt;"","Western Red Cedar|","")&amp;IF(R286&lt;&gt;"","PVC|","")&amp;IF(S286&lt;&gt;"","Flex|","")&amp;IF(T286&lt;&gt;"","Steel|","")&amp;IF(U286&lt;&gt;"","Plastic|","")&amp;IF(V286&lt;&gt;"",V286&amp;"|","")</f>
        <v/>
      </c>
    </row>
    <row r="287" customFormat="false" ht="16.5" hidden="false" customHeight="true" outlineLevel="0" collapsed="false">
      <c r="A287" s="34" t="s">
        <v>849</v>
      </c>
      <c r="B287" s="35" t="s">
        <v>850</v>
      </c>
      <c r="C287" s="34" t="s">
        <v>738</v>
      </c>
      <c r="D287" s="34" t="s">
        <v>739</v>
      </c>
      <c r="E287" s="34" t="s">
        <v>732</v>
      </c>
      <c r="F287" s="36" t="str">
        <f aca="false">IF(LEN(AA287)=0,"",LEFT(AA287,LEN(AA287)-1))</f>
        <v/>
      </c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8"/>
      <c r="T287" s="37"/>
      <c r="U287" s="37"/>
      <c r="V287" s="39"/>
      <c r="W287" s="39"/>
      <c r="X287" s="40"/>
      <c r="Y287" s="41"/>
      <c r="Z287" s="42"/>
      <c r="AA287" s="43" t="str">
        <f aca="false">IF(G287&lt;&gt;"","Poplar|","")&amp;IF(H287&lt;&gt;"","FJ Primed Poplar|","")&amp;IF(I287&lt;&gt;"","FJ Primed Pine|","")&amp;IF(J287&lt;&gt;"","Clear Pine|","")&amp;IF(K287&lt;&gt;"","Primed MDF|","")&amp;IF(L287&lt;&gt;"","White Oak|","")&amp;IF(M287&lt;&gt;"","Red Oak|","")&amp;IF(N287&lt;&gt;"","Hard Maple|","")&amp;IF(O287&lt;&gt;"","Black Walnut|","")&amp;IF(P287&lt;&gt;"","Douglas Fir|","")&amp;IF(Q287&lt;&gt;"","Western Red Cedar|","")&amp;IF(R287&lt;&gt;"","PVC|","")&amp;IF(S287&lt;&gt;"","Flex|","")&amp;IF(T287&lt;&gt;"","Steel|","")&amp;IF(U287&lt;&gt;"","Plastic|","")&amp;IF(V287&lt;&gt;"",V287&amp;"|","")</f>
        <v/>
      </c>
    </row>
    <row r="288" customFormat="false" ht="16.5" hidden="false" customHeight="true" outlineLevel="0" collapsed="false">
      <c r="A288" s="34" t="s">
        <v>851</v>
      </c>
      <c r="B288" s="35" t="s">
        <v>852</v>
      </c>
      <c r="C288" s="34" t="s">
        <v>738</v>
      </c>
      <c r="D288" s="34" t="s">
        <v>739</v>
      </c>
      <c r="E288" s="34" t="s">
        <v>732</v>
      </c>
      <c r="F288" s="36" t="str">
        <f aca="false">IF(LEN(AA288)=0,"",LEFT(AA288,LEN(AA288)-1))</f>
        <v/>
      </c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8"/>
      <c r="T288" s="37"/>
      <c r="U288" s="37"/>
      <c r="V288" s="39"/>
      <c r="W288" s="39"/>
      <c r="X288" s="40"/>
      <c r="Y288" s="41"/>
      <c r="Z288" s="42"/>
      <c r="AA288" s="43" t="str">
        <f aca="false">IF(G288&lt;&gt;"","Poplar|","")&amp;IF(H288&lt;&gt;"","FJ Primed Poplar|","")&amp;IF(I288&lt;&gt;"","FJ Primed Pine|","")&amp;IF(J288&lt;&gt;"","Clear Pine|","")&amp;IF(K288&lt;&gt;"","Primed MDF|","")&amp;IF(L288&lt;&gt;"","White Oak|","")&amp;IF(M288&lt;&gt;"","Red Oak|","")&amp;IF(N288&lt;&gt;"","Hard Maple|","")&amp;IF(O288&lt;&gt;"","Black Walnut|","")&amp;IF(P288&lt;&gt;"","Douglas Fir|","")&amp;IF(Q288&lt;&gt;"","Western Red Cedar|","")&amp;IF(R288&lt;&gt;"","PVC|","")&amp;IF(S288&lt;&gt;"","Flex|","")&amp;IF(T288&lt;&gt;"","Steel|","")&amp;IF(U288&lt;&gt;"","Plastic|","")&amp;IF(V288&lt;&gt;"",V288&amp;"|","")</f>
        <v/>
      </c>
    </row>
    <row r="289" customFormat="false" ht="16.5" hidden="false" customHeight="true" outlineLevel="0" collapsed="false">
      <c r="A289" s="34" t="s">
        <v>853</v>
      </c>
      <c r="B289" s="35" t="s">
        <v>854</v>
      </c>
      <c r="C289" s="34" t="s">
        <v>738</v>
      </c>
      <c r="D289" s="34" t="s">
        <v>739</v>
      </c>
      <c r="E289" s="34" t="s">
        <v>732</v>
      </c>
      <c r="F289" s="36" t="str">
        <f aca="false">IF(LEN(AA289)=0,"",LEFT(AA289,LEN(AA289)-1))</f>
        <v/>
      </c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8"/>
      <c r="T289" s="37"/>
      <c r="U289" s="37"/>
      <c r="V289" s="39"/>
      <c r="W289" s="39"/>
      <c r="X289" s="40"/>
      <c r="Y289" s="41"/>
      <c r="Z289" s="42"/>
      <c r="AA289" s="43" t="str">
        <f aca="false">IF(G289&lt;&gt;"","Poplar|","")&amp;IF(H289&lt;&gt;"","FJ Primed Poplar|","")&amp;IF(I289&lt;&gt;"","FJ Primed Pine|","")&amp;IF(J289&lt;&gt;"","Clear Pine|","")&amp;IF(K289&lt;&gt;"","Primed MDF|","")&amp;IF(L289&lt;&gt;"","White Oak|","")&amp;IF(M289&lt;&gt;"","Red Oak|","")&amp;IF(N289&lt;&gt;"","Hard Maple|","")&amp;IF(O289&lt;&gt;"","Black Walnut|","")&amp;IF(P289&lt;&gt;"","Douglas Fir|","")&amp;IF(Q289&lt;&gt;"","Western Red Cedar|","")&amp;IF(R289&lt;&gt;"","PVC|","")&amp;IF(S289&lt;&gt;"","Flex|","")&amp;IF(T289&lt;&gt;"","Steel|","")&amp;IF(U289&lt;&gt;"","Plastic|","")&amp;IF(V289&lt;&gt;"",V289&amp;"|","")</f>
        <v/>
      </c>
    </row>
    <row r="290" customFormat="false" ht="16.5" hidden="false" customHeight="true" outlineLevel="0" collapsed="false">
      <c r="A290" s="34" t="s">
        <v>855</v>
      </c>
      <c r="B290" s="35" t="s">
        <v>856</v>
      </c>
      <c r="C290" s="34" t="s">
        <v>738</v>
      </c>
      <c r="D290" s="34" t="s">
        <v>739</v>
      </c>
      <c r="E290" s="34" t="s">
        <v>732</v>
      </c>
      <c r="F290" s="36" t="str">
        <f aca="false">IF(LEN(AA290)=0,"",LEFT(AA290,LEN(AA290)-1))</f>
        <v/>
      </c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8"/>
      <c r="T290" s="37"/>
      <c r="U290" s="37"/>
      <c r="V290" s="39"/>
      <c r="W290" s="39"/>
      <c r="X290" s="40"/>
      <c r="Y290" s="41"/>
      <c r="Z290" s="42"/>
      <c r="AA290" s="43" t="str">
        <f aca="false">IF(G290&lt;&gt;"","Poplar|","")&amp;IF(H290&lt;&gt;"","FJ Primed Poplar|","")&amp;IF(I290&lt;&gt;"","FJ Primed Pine|","")&amp;IF(J290&lt;&gt;"","Clear Pine|","")&amp;IF(K290&lt;&gt;"","Primed MDF|","")&amp;IF(L290&lt;&gt;"","White Oak|","")&amp;IF(M290&lt;&gt;"","Red Oak|","")&amp;IF(N290&lt;&gt;"","Hard Maple|","")&amp;IF(O290&lt;&gt;"","Black Walnut|","")&amp;IF(P290&lt;&gt;"","Douglas Fir|","")&amp;IF(Q290&lt;&gt;"","Western Red Cedar|","")&amp;IF(R290&lt;&gt;"","PVC|","")&amp;IF(S290&lt;&gt;"","Flex|","")&amp;IF(T290&lt;&gt;"","Steel|","")&amp;IF(U290&lt;&gt;"","Plastic|","")&amp;IF(V290&lt;&gt;"",V290&amp;"|","")</f>
        <v/>
      </c>
    </row>
    <row r="291" customFormat="false" ht="16.5" hidden="false" customHeight="true" outlineLevel="0" collapsed="false">
      <c r="A291" s="34" t="s">
        <v>857</v>
      </c>
      <c r="B291" s="35" t="s">
        <v>858</v>
      </c>
      <c r="C291" s="34" t="s">
        <v>738</v>
      </c>
      <c r="D291" s="34" t="s">
        <v>739</v>
      </c>
      <c r="E291" s="34" t="s">
        <v>732</v>
      </c>
      <c r="F291" s="36" t="str">
        <f aca="false">IF(LEN(AA291)=0,"",LEFT(AA291,LEN(AA291)-1))</f>
        <v/>
      </c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8"/>
      <c r="T291" s="37"/>
      <c r="U291" s="37"/>
      <c r="V291" s="39"/>
      <c r="W291" s="39"/>
      <c r="X291" s="40"/>
      <c r="Y291" s="41"/>
      <c r="Z291" s="42"/>
      <c r="AA291" s="43" t="str">
        <f aca="false">IF(G291&lt;&gt;"","Poplar|","")&amp;IF(H291&lt;&gt;"","FJ Primed Poplar|","")&amp;IF(I291&lt;&gt;"","FJ Primed Pine|","")&amp;IF(J291&lt;&gt;"","Clear Pine|","")&amp;IF(K291&lt;&gt;"","Primed MDF|","")&amp;IF(L291&lt;&gt;"","White Oak|","")&amp;IF(M291&lt;&gt;"","Red Oak|","")&amp;IF(N291&lt;&gt;"","Hard Maple|","")&amp;IF(O291&lt;&gt;"","Black Walnut|","")&amp;IF(P291&lt;&gt;"","Douglas Fir|","")&amp;IF(Q291&lt;&gt;"","Western Red Cedar|","")&amp;IF(R291&lt;&gt;"","PVC|","")&amp;IF(S291&lt;&gt;"","Flex|","")&amp;IF(T291&lt;&gt;"","Steel|","")&amp;IF(U291&lt;&gt;"","Plastic|","")&amp;IF(V291&lt;&gt;"",V291&amp;"|","")</f>
        <v/>
      </c>
    </row>
    <row r="292" customFormat="false" ht="16.5" hidden="false" customHeight="true" outlineLevel="0" collapsed="false">
      <c r="A292" s="34" t="s">
        <v>859</v>
      </c>
      <c r="B292" s="35" t="s">
        <v>860</v>
      </c>
      <c r="C292" s="34" t="s">
        <v>738</v>
      </c>
      <c r="D292" s="34" t="s">
        <v>739</v>
      </c>
      <c r="E292" s="34" t="s">
        <v>732</v>
      </c>
      <c r="F292" s="36" t="str">
        <f aca="false">IF(LEN(AA292)=0,"",LEFT(AA292,LEN(AA292)-1))</f>
        <v/>
      </c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8"/>
      <c r="T292" s="37"/>
      <c r="U292" s="37"/>
      <c r="V292" s="39"/>
      <c r="W292" s="39"/>
      <c r="X292" s="40"/>
      <c r="Y292" s="41"/>
      <c r="Z292" s="42"/>
      <c r="AA292" s="43" t="str">
        <f aca="false">IF(G292&lt;&gt;"","Poplar|","")&amp;IF(H292&lt;&gt;"","FJ Primed Poplar|","")&amp;IF(I292&lt;&gt;"","FJ Primed Pine|","")&amp;IF(J292&lt;&gt;"","Clear Pine|","")&amp;IF(K292&lt;&gt;"","Primed MDF|","")&amp;IF(L292&lt;&gt;"","White Oak|","")&amp;IF(M292&lt;&gt;"","Red Oak|","")&amp;IF(N292&lt;&gt;"","Hard Maple|","")&amp;IF(O292&lt;&gt;"","Black Walnut|","")&amp;IF(P292&lt;&gt;"","Douglas Fir|","")&amp;IF(Q292&lt;&gt;"","Western Red Cedar|","")&amp;IF(R292&lt;&gt;"","PVC|","")&amp;IF(S292&lt;&gt;"","Flex|","")&amp;IF(T292&lt;&gt;"","Steel|","")&amp;IF(U292&lt;&gt;"","Plastic|","")&amp;IF(V292&lt;&gt;"",V292&amp;"|","")</f>
        <v/>
      </c>
    </row>
    <row r="293" customFormat="false" ht="16.5" hidden="false" customHeight="true" outlineLevel="0" collapsed="false">
      <c r="A293" s="34" t="s">
        <v>861</v>
      </c>
      <c r="B293" s="35" t="s">
        <v>862</v>
      </c>
      <c r="C293" s="34" t="s">
        <v>738</v>
      </c>
      <c r="D293" s="34" t="s">
        <v>739</v>
      </c>
      <c r="E293" s="34" t="s">
        <v>732</v>
      </c>
      <c r="F293" s="36" t="str">
        <f aca="false">IF(LEN(AA293)=0,"",LEFT(AA293,LEN(AA293)-1))</f>
        <v/>
      </c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8"/>
      <c r="T293" s="37"/>
      <c r="U293" s="37"/>
      <c r="V293" s="39"/>
      <c r="W293" s="39"/>
      <c r="X293" s="40"/>
      <c r="Y293" s="41"/>
      <c r="Z293" s="42"/>
      <c r="AA293" s="43" t="str">
        <f aca="false">IF(G293&lt;&gt;"","Poplar|","")&amp;IF(H293&lt;&gt;"","FJ Primed Poplar|","")&amp;IF(I293&lt;&gt;"","FJ Primed Pine|","")&amp;IF(J293&lt;&gt;"","Clear Pine|","")&amp;IF(K293&lt;&gt;"","Primed MDF|","")&amp;IF(L293&lt;&gt;"","White Oak|","")&amp;IF(M293&lt;&gt;"","Red Oak|","")&amp;IF(N293&lt;&gt;"","Hard Maple|","")&amp;IF(O293&lt;&gt;"","Black Walnut|","")&amp;IF(P293&lt;&gt;"","Douglas Fir|","")&amp;IF(Q293&lt;&gt;"","Western Red Cedar|","")&amp;IF(R293&lt;&gt;"","PVC|","")&amp;IF(S293&lt;&gt;"","Flex|","")&amp;IF(T293&lt;&gt;"","Steel|","")&amp;IF(U293&lt;&gt;"","Plastic|","")&amp;IF(V293&lt;&gt;"",V293&amp;"|","")</f>
        <v/>
      </c>
    </row>
    <row r="294" customFormat="false" ht="16.5" hidden="false" customHeight="true" outlineLevel="0" collapsed="false">
      <c r="A294" s="34" t="s">
        <v>863</v>
      </c>
      <c r="B294" s="35" t="s">
        <v>864</v>
      </c>
      <c r="C294" s="34" t="s">
        <v>738</v>
      </c>
      <c r="D294" s="34" t="s">
        <v>739</v>
      </c>
      <c r="E294" s="34" t="s">
        <v>732</v>
      </c>
      <c r="F294" s="36" t="str">
        <f aca="false">IF(LEN(AA294)=0,"",LEFT(AA294,LEN(AA294)-1))</f>
        <v/>
      </c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8"/>
      <c r="T294" s="37"/>
      <c r="U294" s="37"/>
      <c r="V294" s="39"/>
      <c r="W294" s="39"/>
      <c r="X294" s="40"/>
      <c r="Y294" s="41"/>
      <c r="Z294" s="42"/>
      <c r="AA294" s="43" t="str">
        <f aca="false">IF(G294&lt;&gt;"","Poplar|","")&amp;IF(H294&lt;&gt;"","FJ Primed Poplar|","")&amp;IF(I294&lt;&gt;"","FJ Primed Pine|","")&amp;IF(J294&lt;&gt;"","Clear Pine|","")&amp;IF(K294&lt;&gt;"","Primed MDF|","")&amp;IF(L294&lt;&gt;"","White Oak|","")&amp;IF(M294&lt;&gt;"","Red Oak|","")&amp;IF(N294&lt;&gt;"","Hard Maple|","")&amp;IF(O294&lt;&gt;"","Black Walnut|","")&amp;IF(P294&lt;&gt;"","Douglas Fir|","")&amp;IF(Q294&lt;&gt;"","Western Red Cedar|","")&amp;IF(R294&lt;&gt;"","PVC|","")&amp;IF(S294&lt;&gt;"","Flex|","")&amp;IF(T294&lt;&gt;"","Steel|","")&amp;IF(U294&lt;&gt;"","Plastic|","")&amp;IF(V294&lt;&gt;"",V294&amp;"|","")</f>
        <v/>
      </c>
    </row>
    <row r="295" customFormat="false" ht="16.5" hidden="false" customHeight="true" outlineLevel="0" collapsed="false">
      <c r="A295" s="34" t="s">
        <v>865</v>
      </c>
      <c r="B295" s="35" t="s">
        <v>866</v>
      </c>
      <c r="C295" s="34" t="s">
        <v>738</v>
      </c>
      <c r="D295" s="34" t="s">
        <v>739</v>
      </c>
      <c r="E295" s="34" t="s">
        <v>732</v>
      </c>
      <c r="F295" s="36" t="str">
        <f aca="false">IF(LEN(AA295)=0,"",LEFT(AA295,LEN(AA295)-1))</f>
        <v/>
      </c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8"/>
      <c r="T295" s="37"/>
      <c r="U295" s="37"/>
      <c r="V295" s="39"/>
      <c r="W295" s="39"/>
      <c r="X295" s="40"/>
      <c r="Y295" s="41"/>
      <c r="Z295" s="42"/>
      <c r="AA295" s="43" t="str">
        <f aca="false">IF(G295&lt;&gt;"","Poplar|","")&amp;IF(H295&lt;&gt;"","FJ Primed Poplar|","")&amp;IF(I295&lt;&gt;"","FJ Primed Pine|","")&amp;IF(J295&lt;&gt;"","Clear Pine|","")&amp;IF(K295&lt;&gt;"","Primed MDF|","")&amp;IF(L295&lt;&gt;"","White Oak|","")&amp;IF(M295&lt;&gt;"","Red Oak|","")&amp;IF(N295&lt;&gt;"","Hard Maple|","")&amp;IF(O295&lt;&gt;"","Black Walnut|","")&amp;IF(P295&lt;&gt;"","Douglas Fir|","")&amp;IF(Q295&lt;&gt;"","Western Red Cedar|","")&amp;IF(R295&lt;&gt;"","PVC|","")&amp;IF(S295&lt;&gt;"","Flex|","")&amp;IF(T295&lt;&gt;"","Steel|","")&amp;IF(U295&lt;&gt;"","Plastic|","")&amp;IF(V295&lt;&gt;"",V295&amp;"|","")</f>
        <v/>
      </c>
    </row>
    <row r="296" customFormat="false" ht="16.5" hidden="false" customHeight="true" outlineLevel="0" collapsed="false">
      <c r="A296" s="34" t="s">
        <v>867</v>
      </c>
      <c r="B296" s="35" t="s">
        <v>868</v>
      </c>
      <c r="C296" s="34" t="s">
        <v>738</v>
      </c>
      <c r="D296" s="34" t="s">
        <v>739</v>
      </c>
      <c r="E296" s="34" t="s">
        <v>732</v>
      </c>
      <c r="F296" s="36" t="str">
        <f aca="false">IF(LEN(AA296)=0,"",LEFT(AA296,LEN(AA296)-1))</f>
        <v/>
      </c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8"/>
      <c r="T296" s="37"/>
      <c r="U296" s="37"/>
      <c r="V296" s="39"/>
      <c r="W296" s="39"/>
      <c r="X296" s="40"/>
      <c r="Y296" s="41"/>
      <c r="Z296" s="42"/>
      <c r="AA296" s="43" t="str">
        <f aca="false">IF(G296&lt;&gt;"","Poplar|","")&amp;IF(H296&lt;&gt;"","FJ Primed Poplar|","")&amp;IF(I296&lt;&gt;"","FJ Primed Pine|","")&amp;IF(J296&lt;&gt;"","Clear Pine|","")&amp;IF(K296&lt;&gt;"","Primed MDF|","")&amp;IF(L296&lt;&gt;"","White Oak|","")&amp;IF(M296&lt;&gt;"","Red Oak|","")&amp;IF(N296&lt;&gt;"","Hard Maple|","")&amp;IF(O296&lt;&gt;"","Black Walnut|","")&amp;IF(P296&lt;&gt;"","Douglas Fir|","")&amp;IF(Q296&lt;&gt;"","Western Red Cedar|","")&amp;IF(R296&lt;&gt;"","PVC|","")&amp;IF(S296&lt;&gt;"","Flex|","")&amp;IF(T296&lt;&gt;"","Steel|","")&amp;IF(U296&lt;&gt;"","Plastic|","")&amp;IF(V296&lt;&gt;"",V296&amp;"|","")</f>
        <v/>
      </c>
    </row>
    <row r="297" customFormat="false" ht="16.5" hidden="false" customHeight="true" outlineLevel="0" collapsed="false">
      <c r="A297" s="34" t="s">
        <v>869</v>
      </c>
      <c r="B297" s="35" t="s">
        <v>870</v>
      </c>
      <c r="C297" s="34" t="s">
        <v>738</v>
      </c>
      <c r="D297" s="34" t="s">
        <v>739</v>
      </c>
      <c r="E297" s="34" t="s">
        <v>732</v>
      </c>
      <c r="F297" s="36" t="str">
        <f aca="false">IF(LEN(AA297)=0,"",LEFT(AA297,LEN(AA297)-1))</f>
        <v/>
      </c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8"/>
      <c r="T297" s="37"/>
      <c r="U297" s="37"/>
      <c r="V297" s="39"/>
      <c r="W297" s="39"/>
      <c r="X297" s="40"/>
      <c r="Y297" s="41"/>
      <c r="Z297" s="42"/>
      <c r="AA297" s="43" t="str">
        <f aca="false">IF(G297&lt;&gt;"","Poplar|","")&amp;IF(H297&lt;&gt;"","FJ Primed Poplar|","")&amp;IF(I297&lt;&gt;"","FJ Primed Pine|","")&amp;IF(J297&lt;&gt;"","Clear Pine|","")&amp;IF(K297&lt;&gt;"","Primed MDF|","")&amp;IF(L297&lt;&gt;"","White Oak|","")&amp;IF(M297&lt;&gt;"","Red Oak|","")&amp;IF(N297&lt;&gt;"","Hard Maple|","")&amp;IF(O297&lt;&gt;"","Black Walnut|","")&amp;IF(P297&lt;&gt;"","Douglas Fir|","")&amp;IF(Q297&lt;&gt;"","Western Red Cedar|","")&amp;IF(R297&lt;&gt;"","PVC|","")&amp;IF(S297&lt;&gt;"","Flex|","")&amp;IF(T297&lt;&gt;"","Steel|","")&amp;IF(U297&lt;&gt;"","Plastic|","")&amp;IF(V297&lt;&gt;"",V297&amp;"|","")</f>
        <v/>
      </c>
    </row>
    <row r="298" customFormat="false" ht="16.5" hidden="false" customHeight="true" outlineLevel="0" collapsed="false">
      <c r="A298" s="34" t="s">
        <v>871</v>
      </c>
      <c r="B298" s="35" t="s">
        <v>872</v>
      </c>
      <c r="C298" s="34" t="s">
        <v>738</v>
      </c>
      <c r="D298" s="34" t="s">
        <v>739</v>
      </c>
      <c r="E298" s="34" t="s">
        <v>732</v>
      </c>
      <c r="F298" s="36" t="str">
        <f aca="false">IF(LEN(AA298)=0,"",LEFT(AA298,LEN(AA298)-1))</f>
        <v/>
      </c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8"/>
      <c r="T298" s="37"/>
      <c r="U298" s="37"/>
      <c r="V298" s="39"/>
      <c r="W298" s="39"/>
      <c r="X298" s="40"/>
      <c r="Y298" s="41"/>
      <c r="Z298" s="42"/>
      <c r="AA298" s="43" t="str">
        <f aca="false">IF(G298&lt;&gt;"","Poplar|","")&amp;IF(H298&lt;&gt;"","FJ Primed Poplar|","")&amp;IF(I298&lt;&gt;"","FJ Primed Pine|","")&amp;IF(J298&lt;&gt;"","Clear Pine|","")&amp;IF(K298&lt;&gt;"","Primed MDF|","")&amp;IF(L298&lt;&gt;"","White Oak|","")&amp;IF(M298&lt;&gt;"","Red Oak|","")&amp;IF(N298&lt;&gt;"","Hard Maple|","")&amp;IF(O298&lt;&gt;"","Black Walnut|","")&amp;IF(P298&lt;&gt;"","Douglas Fir|","")&amp;IF(Q298&lt;&gt;"","Western Red Cedar|","")&amp;IF(R298&lt;&gt;"","PVC|","")&amp;IF(S298&lt;&gt;"","Flex|","")&amp;IF(T298&lt;&gt;"","Steel|","")&amp;IF(U298&lt;&gt;"","Plastic|","")&amp;IF(V298&lt;&gt;"",V298&amp;"|","")</f>
        <v/>
      </c>
    </row>
    <row r="299" customFormat="false" ht="16.5" hidden="false" customHeight="true" outlineLevel="0" collapsed="false">
      <c r="A299" s="34" t="s">
        <v>873</v>
      </c>
      <c r="B299" s="35" t="s">
        <v>874</v>
      </c>
      <c r="C299" s="34" t="s">
        <v>738</v>
      </c>
      <c r="D299" s="34" t="s">
        <v>739</v>
      </c>
      <c r="E299" s="34" t="s">
        <v>732</v>
      </c>
      <c r="F299" s="36" t="str">
        <f aca="false">IF(LEN(AA299)=0,"",LEFT(AA299,LEN(AA299)-1))</f>
        <v/>
      </c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8"/>
      <c r="T299" s="37"/>
      <c r="U299" s="37"/>
      <c r="V299" s="39"/>
      <c r="W299" s="39"/>
      <c r="X299" s="40"/>
      <c r="Y299" s="41"/>
      <c r="Z299" s="42"/>
      <c r="AA299" s="43" t="str">
        <f aca="false">IF(G299&lt;&gt;"","Poplar|","")&amp;IF(H299&lt;&gt;"","FJ Primed Poplar|","")&amp;IF(I299&lt;&gt;"","FJ Primed Pine|","")&amp;IF(J299&lt;&gt;"","Clear Pine|","")&amp;IF(K299&lt;&gt;"","Primed MDF|","")&amp;IF(L299&lt;&gt;"","White Oak|","")&amp;IF(M299&lt;&gt;"","Red Oak|","")&amp;IF(N299&lt;&gt;"","Hard Maple|","")&amp;IF(O299&lt;&gt;"","Black Walnut|","")&amp;IF(P299&lt;&gt;"","Douglas Fir|","")&amp;IF(Q299&lt;&gt;"","Western Red Cedar|","")&amp;IF(R299&lt;&gt;"","PVC|","")&amp;IF(S299&lt;&gt;"","Flex|","")&amp;IF(T299&lt;&gt;"","Steel|","")&amp;IF(U299&lt;&gt;"","Plastic|","")&amp;IF(V299&lt;&gt;"",V299&amp;"|","")</f>
        <v/>
      </c>
    </row>
    <row r="300" customFormat="false" ht="16.5" hidden="false" customHeight="true" outlineLevel="0" collapsed="false">
      <c r="A300" s="34" t="s">
        <v>875</v>
      </c>
      <c r="B300" s="35" t="s">
        <v>876</v>
      </c>
      <c r="C300" s="34" t="s">
        <v>738</v>
      </c>
      <c r="D300" s="34" t="s">
        <v>739</v>
      </c>
      <c r="E300" s="34" t="s">
        <v>732</v>
      </c>
      <c r="F300" s="36" t="str">
        <f aca="false">IF(LEN(AA300)=0,"",LEFT(AA300,LEN(AA300)-1))</f>
        <v/>
      </c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8"/>
      <c r="T300" s="37"/>
      <c r="U300" s="37"/>
      <c r="V300" s="39"/>
      <c r="W300" s="39"/>
      <c r="X300" s="40"/>
      <c r="Y300" s="41"/>
      <c r="Z300" s="42"/>
      <c r="AA300" s="43" t="str">
        <f aca="false">IF(G300&lt;&gt;"","Poplar|","")&amp;IF(H300&lt;&gt;"","FJ Primed Poplar|","")&amp;IF(I300&lt;&gt;"","FJ Primed Pine|","")&amp;IF(J300&lt;&gt;"","Clear Pine|","")&amp;IF(K300&lt;&gt;"","Primed MDF|","")&amp;IF(L300&lt;&gt;"","White Oak|","")&amp;IF(M300&lt;&gt;"","Red Oak|","")&amp;IF(N300&lt;&gt;"","Hard Maple|","")&amp;IF(O300&lt;&gt;"","Black Walnut|","")&amp;IF(P300&lt;&gt;"","Douglas Fir|","")&amp;IF(Q300&lt;&gt;"","Western Red Cedar|","")&amp;IF(R300&lt;&gt;"","PVC|","")&amp;IF(S300&lt;&gt;"","Flex|","")&amp;IF(T300&lt;&gt;"","Steel|","")&amp;IF(U300&lt;&gt;"","Plastic|","")&amp;IF(V300&lt;&gt;"",V300&amp;"|","")</f>
        <v/>
      </c>
    </row>
    <row r="301" customFormat="false" ht="16.5" hidden="false" customHeight="true" outlineLevel="0" collapsed="false">
      <c r="A301" s="44"/>
      <c r="B301" s="45" t="s">
        <v>877</v>
      </c>
      <c r="C301" s="44" t="s">
        <v>878</v>
      </c>
      <c r="D301" s="44" t="s">
        <v>879</v>
      </c>
      <c r="E301" s="44" t="s">
        <v>732</v>
      </c>
      <c r="F301" s="36" t="str">
        <f aca="false">IF(LEN(AA301)=0,"",LEFT(AA301,LEN(AA301)-1))</f>
        <v/>
      </c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8"/>
      <c r="T301" s="37"/>
      <c r="U301" s="37"/>
      <c r="V301" s="46"/>
      <c r="W301" s="46"/>
      <c r="X301" s="40"/>
      <c r="Y301" s="41"/>
      <c r="Z301" s="42"/>
      <c r="AA301" s="43" t="str">
        <f aca="false">IF(G301&lt;&gt;"","Poplar|","")&amp;IF(H301&lt;&gt;"","FJ Primed Poplar|","")&amp;IF(I301&lt;&gt;"","FJ Primed Pine|","")&amp;IF(J301&lt;&gt;"","Clear Pine|","")&amp;IF(K301&lt;&gt;"","Primed MDF|","")&amp;IF(L301&lt;&gt;"","White Oak|","")&amp;IF(M301&lt;&gt;"","Red Oak|","")&amp;IF(N301&lt;&gt;"","Hard Maple|","")&amp;IF(O301&lt;&gt;"","Black Walnut|","")&amp;IF(P301&lt;&gt;"","Douglas Fir|","")&amp;IF(Q301&lt;&gt;"","Western Red Cedar|","")&amp;IF(R301&lt;&gt;"","PVC|","")&amp;IF(S301&lt;&gt;"","Flex|","")&amp;IF(T301&lt;&gt;"","Steel|","")&amp;IF(U301&lt;&gt;"","Plastic|","")&amp;IF(V301&lt;&gt;"",V301&amp;"|","")</f>
        <v/>
      </c>
    </row>
    <row r="302" customFormat="false" ht="16.5" hidden="false" customHeight="true" outlineLevel="0" collapsed="false">
      <c r="A302" s="34"/>
      <c r="B302" s="35" t="s">
        <v>880</v>
      </c>
      <c r="C302" s="34" t="s">
        <v>881</v>
      </c>
      <c r="D302" s="34" t="s">
        <v>879</v>
      </c>
      <c r="E302" s="34" t="s">
        <v>732</v>
      </c>
      <c r="F302" s="36" t="str">
        <f aca="false">IF(LEN(AA302)=0,"",LEFT(AA302,LEN(AA302)-1))</f>
        <v/>
      </c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8"/>
      <c r="T302" s="37"/>
      <c r="U302" s="37"/>
      <c r="V302" s="39"/>
      <c r="W302" s="39"/>
      <c r="X302" s="40"/>
      <c r="Y302" s="41"/>
      <c r="Z302" s="42"/>
      <c r="AA302" s="43" t="str">
        <f aca="false">IF(G302&lt;&gt;"","Poplar|","")&amp;IF(H302&lt;&gt;"","FJ Primed Poplar|","")&amp;IF(I302&lt;&gt;"","FJ Primed Pine|","")&amp;IF(J302&lt;&gt;"","Clear Pine|","")&amp;IF(K302&lt;&gt;"","Primed MDF|","")&amp;IF(L302&lt;&gt;"","White Oak|","")&amp;IF(M302&lt;&gt;"","Red Oak|","")&amp;IF(N302&lt;&gt;"","Hard Maple|","")&amp;IF(O302&lt;&gt;"","Black Walnut|","")&amp;IF(P302&lt;&gt;"","Douglas Fir|","")&amp;IF(Q302&lt;&gt;"","Western Red Cedar|","")&amp;IF(R302&lt;&gt;"","PVC|","")&amp;IF(S302&lt;&gt;"","Flex|","")&amp;IF(T302&lt;&gt;"","Steel|","")&amp;IF(U302&lt;&gt;"","Plastic|","")&amp;IF(V302&lt;&gt;"",V302&amp;"|","")</f>
        <v/>
      </c>
    </row>
    <row r="303" customFormat="false" ht="16.5" hidden="false" customHeight="true" outlineLevel="0" collapsed="false">
      <c r="A303" s="44"/>
      <c r="B303" s="45" t="s">
        <v>882</v>
      </c>
      <c r="C303" s="44" t="s">
        <v>883</v>
      </c>
      <c r="D303" s="44"/>
      <c r="E303" s="44"/>
      <c r="F303" s="36" t="str">
        <f aca="false">IF(LEN(AA303)=0,"",LEFT(AA303,LEN(AA303)-1))</f>
        <v/>
      </c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8"/>
      <c r="T303" s="37"/>
      <c r="U303" s="37"/>
      <c r="V303" s="46"/>
      <c r="W303" s="46"/>
      <c r="X303" s="40"/>
      <c r="Y303" s="41"/>
      <c r="Z303" s="42"/>
      <c r="AA303" s="43" t="str">
        <f aca="false">IF(G303&lt;&gt;"","Poplar|","")&amp;IF(H303&lt;&gt;"","FJ Primed Poplar|","")&amp;IF(I303&lt;&gt;"","FJ Primed Pine|","")&amp;IF(J303&lt;&gt;"","Clear Pine|","")&amp;IF(K303&lt;&gt;"","Primed MDF|","")&amp;IF(L303&lt;&gt;"","White Oak|","")&amp;IF(M303&lt;&gt;"","Red Oak|","")&amp;IF(N303&lt;&gt;"","Hard Maple|","")&amp;IF(O303&lt;&gt;"","Black Walnut|","")&amp;IF(P303&lt;&gt;"","Douglas Fir|","")&amp;IF(Q303&lt;&gt;"","Western Red Cedar|","")&amp;IF(R303&lt;&gt;"","PVC|","")&amp;IF(S303&lt;&gt;"","Flex|","")&amp;IF(T303&lt;&gt;"","Steel|","")&amp;IF(U303&lt;&gt;"","Plastic|","")&amp;IF(V303&lt;&gt;"",V303&amp;"|","")</f>
        <v/>
      </c>
    </row>
    <row r="304" customFormat="false" ht="16.5" hidden="false" customHeight="true" outlineLevel="0" collapsed="false">
      <c r="A304" s="44"/>
      <c r="B304" s="45" t="s">
        <v>884</v>
      </c>
      <c r="C304" s="44" t="s">
        <v>883</v>
      </c>
      <c r="D304" s="44"/>
      <c r="E304" s="44"/>
      <c r="F304" s="36" t="str">
        <f aca="false">IF(LEN(AA304)=0,"",LEFT(AA304,LEN(AA304)-1))</f>
        <v/>
      </c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8"/>
      <c r="T304" s="37"/>
      <c r="U304" s="37"/>
      <c r="V304" s="46"/>
      <c r="W304" s="46"/>
      <c r="X304" s="40"/>
      <c r="Y304" s="41"/>
      <c r="Z304" s="42"/>
      <c r="AA304" s="43" t="str">
        <f aca="false">IF(G304&lt;&gt;"","Poplar|","")&amp;IF(H304&lt;&gt;"","FJ Primed Poplar|","")&amp;IF(I304&lt;&gt;"","FJ Primed Pine|","")&amp;IF(J304&lt;&gt;"","Clear Pine|","")&amp;IF(K304&lt;&gt;"","Primed MDF|","")&amp;IF(L304&lt;&gt;"","White Oak|","")&amp;IF(M304&lt;&gt;"","Red Oak|","")&amp;IF(N304&lt;&gt;"","Hard Maple|","")&amp;IF(O304&lt;&gt;"","Black Walnut|","")&amp;IF(P304&lt;&gt;"","Douglas Fir|","")&amp;IF(Q304&lt;&gt;"","Western Red Cedar|","")&amp;IF(R304&lt;&gt;"","PVC|","")&amp;IF(S304&lt;&gt;"","Flex|","")&amp;IF(T304&lt;&gt;"","Steel|","")&amp;IF(U304&lt;&gt;"","Plastic|","")&amp;IF(V304&lt;&gt;"",V304&amp;"|","")</f>
        <v/>
      </c>
    </row>
    <row r="305" customFormat="false" ht="16.5" hidden="false" customHeight="true" outlineLevel="0" collapsed="false">
      <c r="A305" s="34"/>
      <c r="B305" s="35" t="s">
        <v>885</v>
      </c>
      <c r="C305" s="34" t="s">
        <v>886</v>
      </c>
      <c r="D305" s="34"/>
      <c r="E305" s="34"/>
      <c r="F305" s="36" t="str">
        <f aca="false">IF(LEN(AA305)=0,"",LEFT(AA305,LEN(AA305)-1))</f>
        <v/>
      </c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8"/>
      <c r="T305" s="37"/>
      <c r="U305" s="37"/>
      <c r="V305" s="39"/>
      <c r="W305" s="39"/>
      <c r="X305" s="40"/>
      <c r="Y305" s="41"/>
      <c r="Z305" s="42"/>
      <c r="AA305" s="43" t="str">
        <f aca="false">IF(G305&lt;&gt;"","Poplar|","")&amp;IF(H305&lt;&gt;"","FJ Primed Poplar|","")&amp;IF(I305&lt;&gt;"","FJ Primed Pine|","")&amp;IF(J305&lt;&gt;"","Clear Pine|","")&amp;IF(K305&lt;&gt;"","Primed MDF|","")&amp;IF(L305&lt;&gt;"","White Oak|","")&amp;IF(M305&lt;&gt;"","Red Oak|","")&amp;IF(N305&lt;&gt;"","Hard Maple|","")&amp;IF(O305&lt;&gt;"","Black Walnut|","")&amp;IF(P305&lt;&gt;"","Douglas Fir|","")&amp;IF(Q305&lt;&gt;"","Western Red Cedar|","")&amp;IF(R305&lt;&gt;"","PVC|","")&amp;IF(S305&lt;&gt;"","Flex|","")&amp;IF(T305&lt;&gt;"","Steel|","")&amp;IF(U305&lt;&gt;"","Plastic|","")&amp;IF(V305&lt;&gt;"",V305&amp;"|","")</f>
        <v/>
      </c>
    </row>
    <row r="306" customFormat="false" ht="24" hidden="false" customHeight="true" outlineLevel="0" collapsed="false">
      <c r="A306" s="34" t="s">
        <v>887</v>
      </c>
      <c r="B306" s="35" t="s">
        <v>888</v>
      </c>
      <c r="C306" s="34" t="s">
        <v>886</v>
      </c>
      <c r="D306" s="34" t="s">
        <v>889</v>
      </c>
      <c r="E306" s="34" t="s">
        <v>732</v>
      </c>
      <c r="F306" s="36" t="str">
        <f aca="false">IF(LEN(AA306)=0,"",LEFT(AA306,LEN(AA306)-1))</f>
        <v/>
      </c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8"/>
      <c r="T306" s="37"/>
      <c r="U306" s="37"/>
      <c r="V306" s="39"/>
      <c r="W306" s="39"/>
      <c r="X306" s="40"/>
      <c r="Y306" s="41"/>
      <c r="Z306" s="42"/>
      <c r="AA306" s="43" t="str">
        <f aca="false">IF(G306&lt;&gt;"","Poplar|","")&amp;IF(H306&lt;&gt;"","FJ Primed Poplar|","")&amp;IF(I306&lt;&gt;"","FJ Primed Pine|","")&amp;IF(J306&lt;&gt;"","Clear Pine|","")&amp;IF(K306&lt;&gt;"","Primed MDF|","")&amp;IF(L306&lt;&gt;"","White Oak|","")&amp;IF(M306&lt;&gt;"","Red Oak|","")&amp;IF(N306&lt;&gt;"","Hard Maple|","")&amp;IF(O306&lt;&gt;"","Black Walnut|","")&amp;IF(P306&lt;&gt;"","Douglas Fir|","")&amp;IF(Q306&lt;&gt;"","Western Red Cedar|","")&amp;IF(R306&lt;&gt;"","PVC|","")&amp;IF(S306&lt;&gt;"","Flex|","")&amp;IF(T306&lt;&gt;"","Steel|","")&amp;IF(U306&lt;&gt;"","Plastic|","")&amp;IF(V306&lt;&gt;"",V306&amp;"|","")</f>
        <v/>
      </c>
    </row>
    <row r="307" customFormat="false" ht="16.5" hidden="false" customHeight="true" outlineLevel="0" collapsed="false">
      <c r="A307" s="34" t="s">
        <v>890</v>
      </c>
      <c r="B307" s="35" t="s">
        <v>891</v>
      </c>
      <c r="C307" s="34" t="s">
        <v>886</v>
      </c>
      <c r="D307" s="34" t="s">
        <v>889</v>
      </c>
      <c r="E307" s="34" t="s">
        <v>732</v>
      </c>
      <c r="F307" s="36" t="str">
        <f aca="false">IF(LEN(AA307)=0,"",LEFT(AA307,LEN(AA307)-1))</f>
        <v/>
      </c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8"/>
      <c r="T307" s="37"/>
      <c r="U307" s="37"/>
      <c r="V307" s="39"/>
      <c r="W307" s="39"/>
      <c r="X307" s="40"/>
      <c r="Y307" s="41"/>
      <c r="Z307" s="42"/>
      <c r="AA307" s="43" t="str">
        <f aca="false">IF(G307&lt;&gt;"","Poplar|","")&amp;IF(H307&lt;&gt;"","FJ Primed Poplar|","")&amp;IF(I307&lt;&gt;"","FJ Primed Pine|","")&amp;IF(J307&lt;&gt;"","Clear Pine|","")&amp;IF(K307&lt;&gt;"","Primed MDF|","")&amp;IF(L307&lt;&gt;"","White Oak|","")&amp;IF(M307&lt;&gt;"","Red Oak|","")&amp;IF(N307&lt;&gt;"","Hard Maple|","")&amp;IF(O307&lt;&gt;"","Black Walnut|","")&amp;IF(P307&lt;&gt;"","Douglas Fir|","")&amp;IF(Q307&lt;&gt;"","Western Red Cedar|","")&amp;IF(R307&lt;&gt;"","PVC|","")&amp;IF(S307&lt;&gt;"","Flex|","")&amp;IF(T307&lt;&gt;"","Steel|","")&amp;IF(U307&lt;&gt;"","Plastic|","")&amp;IF(V307&lt;&gt;"",V307&amp;"|","")</f>
        <v/>
      </c>
    </row>
    <row r="308" customFormat="false" ht="16.5" hidden="false" customHeight="true" outlineLevel="0" collapsed="false">
      <c r="A308" s="34" t="s">
        <v>892</v>
      </c>
      <c r="B308" s="35" t="s">
        <v>893</v>
      </c>
      <c r="C308" s="34" t="s">
        <v>886</v>
      </c>
      <c r="D308" s="34" t="s">
        <v>889</v>
      </c>
      <c r="E308" s="34" t="s">
        <v>732</v>
      </c>
      <c r="F308" s="36" t="str">
        <f aca="false">IF(LEN(AA308)=0,"",LEFT(AA308,LEN(AA308)-1))</f>
        <v/>
      </c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8"/>
      <c r="T308" s="37"/>
      <c r="U308" s="37"/>
      <c r="V308" s="39"/>
      <c r="W308" s="39"/>
      <c r="X308" s="40"/>
      <c r="Y308" s="41"/>
      <c r="Z308" s="42"/>
      <c r="AA308" s="43" t="str">
        <f aca="false">IF(G308&lt;&gt;"","Poplar|","")&amp;IF(H308&lt;&gt;"","FJ Primed Poplar|","")&amp;IF(I308&lt;&gt;"","FJ Primed Pine|","")&amp;IF(J308&lt;&gt;"","Clear Pine|","")&amp;IF(K308&lt;&gt;"","Primed MDF|","")&amp;IF(L308&lt;&gt;"","White Oak|","")&amp;IF(M308&lt;&gt;"","Red Oak|","")&amp;IF(N308&lt;&gt;"","Hard Maple|","")&amp;IF(O308&lt;&gt;"","Black Walnut|","")&amp;IF(P308&lt;&gt;"","Douglas Fir|","")&amp;IF(Q308&lt;&gt;"","Western Red Cedar|","")&amp;IF(R308&lt;&gt;"","PVC|","")&amp;IF(S308&lt;&gt;"","Flex|","")&amp;IF(T308&lt;&gt;"","Steel|","")&amp;IF(U308&lt;&gt;"","Plastic|","")&amp;IF(V308&lt;&gt;"",V308&amp;"|","")</f>
        <v/>
      </c>
    </row>
    <row r="309" customFormat="false" ht="16.5" hidden="false" customHeight="true" outlineLevel="0" collapsed="false">
      <c r="A309" s="34" t="s">
        <v>894</v>
      </c>
      <c r="B309" s="35" t="s">
        <v>895</v>
      </c>
      <c r="C309" s="34" t="s">
        <v>886</v>
      </c>
      <c r="D309" s="34" t="s">
        <v>889</v>
      </c>
      <c r="E309" s="34" t="s">
        <v>732</v>
      </c>
      <c r="F309" s="36" t="str">
        <f aca="false">IF(LEN(AA309)=0,"",LEFT(AA309,LEN(AA309)-1))</f>
        <v/>
      </c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8"/>
      <c r="T309" s="37"/>
      <c r="U309" s="37"/>
      <c r="V309" s="39"/>
      <c r="W309" s="39"/>
      <c r="X309" s="40"/>
      <c r="Y309" s="41"/>
      <c r="Z309" s="42"/>
      <c r="AA309" s="43" t="str">
        <f aca="false">IF(G309&lt;&gt;"","Poplar|","")&amp;IF(H309&lt;&gt;"","FJ Primed Poplar|","")&amp;IF(I309&lt;&gt;"","FJ Primed Pine|","")&amp;IF(J309&lt;&gt;"","Clear Pine|","")&amp;IF(K309&lt;&gt;"","Primed MDF|","")&amp;IF(L309&lt;&gt;"","White Oak|","")&amp;IF(M309&lt;&gt;"","Red Oak|","")&amp;IF(N309&lt;&gt;"","Hard Maple|","")&amp;IF(O309&lt;&gt;"","Black Walnut|","")&amp;IF(P309&lt;&gt;"","Douglas Fir|","")&amp;IF(Q309&lt;&gt;"","Western Red Cedar|","")&amp;IF(R309&lt;&gt;"","PVC|","")&amp;IF(S309&lt;&gt;"","Flex|","")&amp;IF(T309&lt;&gt;"","Steel|","")&amp;IF(U309&lt;&gt;"","Plastic|","")&amp;IF(V309&lt;&gt;"",V309&amp;"|","")</f>
        <v/>
      </c>
    </row>
    <row r="310" customFormat="false" ht="16.5" hidden="false" customHeight="true" outlineLevel="0" collapsed="false">
      <c r="A310" s="34" t="s">
        <v>896</v>
      </c>
      <c r="B310" s="35" t="s">
        <v>897</v>
      </c>
      <c r="C310" s="34" t="s">
        <v>886</v>
      </c>
      <c r="D310" s="34" t="s">
        <v>889</v>
      </c>
      <c r="E310" s="34" t="s">
        <v>732</v>
      </c>
      <c r="F310" s="36" t="str">
        <f aca="false">IF(LEN(AA310)=0,"",LEFT(AA310,LEN(AA310)-1))</f>
        <v/>
      </c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8"/>
      <c r="T310" s="37"/>
      <c r="U310" s="37"/>
      <c r="V310" s="39"/>
      <c r="W310" s="39"/>
      <c r="X310" s="40"/>
      <c r="Y310" s="41"/>
      <c r="Z310" s="42"/>
      <c r="AA310" s="43" t="str">
        <f aca="false">IF(G310&lt;&gt;"","Poplar|","")&amp;IF(H310&lt;&gt;"","FJ Primed Poplar|","")&amp;IF(I310&lt;&gt;"","FJ Primed Pine|","")&amp;IF(J310&lt;&gt;"","Clear Pine|","")&amp;IF(K310&lt;&gt;"","Primed MDF|","")&amp;IF(L310&lt;&gt;"","White Oak|","")&amp;IF(M310&lt;&gt;"","Red Oak|","")&amp;IF(N310&lt;&gt;"","Hard Maple|","")&amp;IF(O310&lt;&gt;"","Black Walnut|","")&amp;IF(P310&lt;&gt;"","Douglas Fir|","")&amp;IF(Q310&lt;&gt;"","Western Red Cedar|","")&amp;IF(R310&lt;&gt;"","PVC|","")&amp;IF(S310&lt;&gt;"","Flex|","")&amp;IF(T310&lt;&gt;"","Steel|","")&amp;IF(U310&lt;&gt;"","Plastic|","")&amp;IF(V310&lt;&gt;"",V310&amp;"|","")</f>
        <v/>
      </c>
    </row>
    <row r="311" customFormat="false" ht="16.5" hidden="false" customHeight="true" outlineLevel="0" collapsed="false">
      <c r="A311" s="34" t="s">
        <v>898</v>
      </c>
      <c r="B311" s="35" t="s">
        <v>899</v>
      </c>
      <c r="C311" s="34" t="s">
        <v>886</v>
      </c>
      <c r="D311" s="34" t="s">
        <v>889</v>
      </c>
      <c r="E311" s="34" t="s">
        <v>732</v>
      </c>
      <c r="F311" s="36" t="str">
        <f aca="false">IF(LEN(AA311)=0,"",LEFT(AA311,LEN(AA311)-1))</f>
        <v/>
      </c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8"/>
      <c r="T311" s="37"/>
      <c r="U311" s="37"/>
      <c r="V311" s="39"/>
      <c r="W311" s="39"/>
      <c r="X311" s="40"/>
      <c r="Y311" s="41"/>
      <c r="Z311" s="42"/>
      <c r="AA311" s="43" t="str">
        <f aca="false">IF(G311&lt;&gt;"","Poplar|","")&amp;IF(H311&lt;&gt;"","FJ Primed Poplar|","")&amp;IF(I311&lt;&gt;"","FJ Primed Pine|","")&amp;IF(J311&lt;&gt;"","Clear Pine|","")&amp;IF(K311&lt;&gt;"","Primed MDF|","")&amp;IF(L311&lt;&gt;"","White Oak|","")&amp;IF(M311&lt;&gt;"","Red Oak|","")&amp;IF(N311&lt;&gt;"","Hard Maple|","")&amp;IF(O311&lt;&gt;"","Black Walnut|","")&amp;IF(P311&lt;&gt;"","Douglas Fir|","")&amp;IF(Q311&lt;&gt;"","Western Red Cedar|","")&amp;IF(R311&lt;&gt;"","PVC|","")&amp;IF(S311&lt;&gt;"","Flex|","")&amp;IF(T311&lt;&gt;"","Steel|","")&amp;IF(U311&lt;&gt;"","Plastic|","")&amp;IF(V311&lt;&gt;"",V311&amp;"|","")</f>
        <v/>
      </c>
    </row>
    <row r="312" customFormat="false" ht="16.5" hidden="false" customHeight="true" outlineLevel="0" collapsed="false">
      <c r="A312" s="34" t="s">
        <v>900</v>
      </c>
      <c r="B312" s="35" t="s">
        <v>901</v>
      </c>
      <c r="C312" s="34" t="s">
        <v>886</v>
      </c>
      <c r="D312" s="34" t="s">
        <v>889</v>
      </c>
      <c r="E312" s="34" t="s">
        <v>732</v>
      </c>
      <c r="F312" s="36" t="str">
        <f aca="false">IF(LEN(AA312)=0,"",LEFT(AA312,LEN(AA312)-1))</f>
        <v/>
      </c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8"/>
      <c r="T312" s="37"/>
      <c r="U312" s="37"/>
      <c r="V312" s="39"/>
      <c r="W312" s="39"/>
      <c r="X312" s="40"/>
      <c r="Y312" s="41"/>
      <c r="Z312" s="42"/>
      <c r="AA312" s="43" t="str">
        <f aca="false">IF(G312&lt;&gt;"","Poplar|","")&amp;IF(H312&lt;&gt;"","FJ Primed Poplar|","")&amp;IF(I312&lt;&gt;"","FJ Primed Pine|","")&amp;IF(J312&lt;&gt;"","Clear Pine|","")&amp;IF(K312&lt;&gt;"","Primed MDF|","")&amp;IF(L312&lt;&gt;"","White Oak|","")&amp;IF(M312&lt;&gt;"","Red Oak|","")&amp;IF(N312&lt;&gt;"","Hard Maple|","")&amp;IF(O312&lt;&gt;"","Black Walnut|","")&amp;IF(P312&lt;&gt;"","Douglas Fir|","")&amp;IF(Q312&lt;&gt;"","Western Red Cedar|","")&amp;IF(R312&lt;&gt;"","PVC|","")&amp;IF(S312&lt;&gt;"","Flex|","")&amp;IF(T312&lt;&gt;"","Steel|","")&amp;IF(U312&lt;&gt;"","Plastic|","")&amp;IF(V312&lt;&gt;"",V312&amp;"|","")</f>
        <v/>
      </c>
    </row>
    <row r="313" customFormat="false" ht="16.5" hidden="false" customHeight="true" outlineLevel="0" collapsed="false">
      <c r="A313" s="34" t="s">
        <v>902</v>
      </c>
      <c r="B313" s="35" t="s">
        <v>903</v>
      </c>
      <c r="C313" s="34" t="s">
        <v>886</v>
      </c>
      <c r="D313" s="34" t="s">
        <v>889</v>
      </c>
      <c r="E313" s="34" t="s">
        <v>732</v>
      </c>
      <c r="F313" s="36" t="str">
        <f aca="false">IF(LEN(AA313)=0,"",LEFT(AA313,LEN(AA313)-1))</f>
        <v/>
      </c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8"/>
      <c r="T313" s="37"/>
      <c r="U313" s="37"/>
      <c r="V313" s="39"/>
      <c r="W313" s="39"/>
      <c r="X313" s="40"/>
      <c r="Y313" s="41"/>
      <c r="Z313" s="42"/>
      <c r="AA313" s="43" t="str">
        <f aca="false">IF(G313&lt;&gt;"","Poplar|","")&amp;IF(H313&lt;&gt;"","FJ Primed Poplar|","")&amp;IF(I313&lt;&gt;"","FJ Primed Pine|","")&amp;IF(J313&lt;&gt;"","Clear Pine|","")&amp;IF(K313&lt;&gt;"","Primed MDF|","")&amp;IF(L313&lt;&gt;"","White Oak|","")&amp;IF(M313&lt;&gt;"","Red Oak|","")&amp;IF(N313&lt;&gt;"","Hard Maple|","")&amp;IF(O313&lt;&gt;"","Black Walnut|","")&amp;IF(P313&lt;&gt;"","Douglas Fir|","")&amp;IF(Q313&lt;&gt;"","Western Red Cedar|","")&amp;IF(R313&lt;&gt;"","PVC|","")&amp;IF(S313&lt;&gt;"","Flex|","")&amp;IF(T313&lt;&gt;"","Steel|","")&amp;IF(U313&lt;&gt;"","Plastic|","")&amp;IF(V313&lt;&gt;"",V313&amp;"|","")</f>
        <v/>
      </c>
    </row>
    <row r="314" customFormat="false" ht="16.5" hidden="false" customHeight="true" outlineLevel="0" collapsed="false">
      <c r="A314" s="34" t="s">
        <v>904</v>
      </c>
      <c r="B314" s="35" t="s">
        <v>905</v>
      </c>
      <c r="C314" s="34" t="s">
        <v>886</v>
      </c>
      <c r="D314" s="34" t="s">
        <v>889</v>
      </c>
      <c r="E314" s="34" t="s">
        <v>732</v>
      </c>
      <c r="F314" s="36" t="str">
        <f aca="false">IF(LEN(AA314)=0,"",LEFT(AA314,LEN(AA314)-1))</f>
        <v/>
      </c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8"/>
      <c r="T314" s="37"/>
      <c r="U314" s="37"/>
      <c r="V314" s="39"/>
      <c r="W314" s="39"/>
      <c r="X314" s="40"/>
      <c r="Y314" s="41"/>
      <c r="Z314" s="42"/>
      <c r="AA314" s="43" t="str">
        <f aca="false">IF(G314&lt;&gt;"","Poplar|","")&amp;IF(H314&lt;&gt;"","FJ Primed Poplar|","")&amp;IF(I314&lt;&gt;"","FJ Primed Pine|","")&amp;IF(J314&lt;&gt;"","Clear Pine|","")&amp;IF(K314&lt;&gt;"","Primed MDF|","")&amp;IF(L314&lt;&gt;"","White Oak|","")&amp;IF(M314&lt;&gt;"","Red Oak|","")&amp;IF(N314&lt;&gt;"","Hard Maple|","")&amp;IF(O314&lt;&gt;"","Black Walnut|","")&amp;IF(P314&lt;&gt;"","Douglas Fir|","")&amp;IF(Q314&lt;&gt;"","Western Red Cedar|","")&amp;IF(R314&lt;&gt;"","PVC|","")&amp;IF(S314&lt;&gt;"","Flex|","")&amp;IF(T314&lt;&gt;"","Steel|","")&amp;IF(U314&lt;&gt;"","Plastic|","")&amp;IF(V314&lt;&gt;"",V314&amp;"|","")</f>
        <v/>
      </c>
    </row>
    <row r="315" customFormat="false" ht="16.5" hidden="false" customHeight="true" outlineLevel="0" collapsed="false">
      <c r="A315" s="34" t="s">
        <v>906</v>
      </c>
      <c r="B315" s="35" t="s">
        <v>907</v>
      </c>
      <c r="C315" s="34" t="s">
        <v>886</v>
      </c>
      <c r="D315" s="34" t="s">
        <v>889</v>
      </c>
      <c r="E315" s="34" t="s">
        <v>732</v>
      </c>
      <c r="F315" s="36" t="str">
        <f aca="false">IF(LEN(AA315)=0,"",LEFT(AA315,LEN(AA315)-1))</f>
        <v/>
      </c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8"/>
      <c r="T315" s="37"/>
      <c r="U315" s="37"/>
      <c r="V315" s="39"/>
      <c r="W315" s="39"/>
      <c r="X315" s="40"/>
      <c r="Y315" s="41"/>
      <c r="Z315" s="42"/>
      <c r="AA315" s="43" t="str">
        <f aca="false">IF(G315&lt;&gt;"","Poplar|","")&amp;IF(H315&lt;&gt;"","FJ Primed Poplar|","")&amp;IF(I315&lt;&gt;"","FJ Primed Pine|","")&amp;IF(J315&lt;&gt;"","Clear Pine|","")&amp;IF(K315&lt;&gt;"","Primed MDF|","")&amp;IF(L315&lt;&gt;"","White Oak|","")&amp;IF(M315&lt;&gt;"","Red Oak|","")&amp;IF(N315&lt;&gt;"","Hard Maple|","")&amp;IF(O315&lt;&gt;"","Black Walnut|","")&amp;IF(P315&lt;&gt;"","Douglas Fir|","")&amp;IF(Q315&lt;&gt;"","Western Red Cedar|","")&amp;IF(R315&lt;&gt;"","PVC|","")&amp;IF(S315&lt;&gt;"","Flex|","")&amp;IF(T315&lt;&gt;"","Steel|","")&amp;IF(U315&lt;&gt;"","Plastic|","")&amp;IF(V315&lt;&gt;"",V315&amp;"|","")</f>
        <v/>
      </c>
    </row>
    <row r="316" customFormat="false" ht="16.5" hidden="false" customHeight="true" outlineLevel="0" collapsed="false">
      <c r="A316" s="34" t="s">
        <v>908</v>
      </c>
      <c r="B316" s="35" t="s">
        <v>909</v>
      </c>
      <c r="C316" s="34" t="s">
        <v>886</v>
      </c>
      <c r="D316" s="34" t="s">
        <v>889</v>
      </c>
      <c r="E316" s="34" t="s">
        <v>732</v>
      </c>
      <c r="F316" s="36" t="str">
        <f aca="false">IF(LEN(AA316)=0,"",LEFT(AA316,LEN(AA316)-1))</f>
        <v/>
      </c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8"/>
      <c r="T316" s="37"/>
      <c r="U316" s="37"/>
      <c r="V316" s="39"/>
      <c r="W316" s="39"/>
      <c r="X316" s="40"/>
      <c r="Y316" s="41"/>
      <c r="Z316" s="42"/>
      <c r="AA316" s="43" t="str">
        <f aca="false">IF(G316&lt;&gt;"","Poplar|","")&amp;IF(H316&lt;&gt;"","FJ Primed Poplar|","")&amp;IF(I316&lt;&gt;"","FJ Primed Pine|","")&amp;IF(J316&lt;&gt;"","Clear Pine|","")&amp;IF(K316&lt;&gt;"","Primed MDF|","")&amp;IF(L316&lt;&gt;"","White Oak|","")&amp;IF(M316&lt;&gt;"","Red Oak|","")&amp;IF(N316&lt;&gt;"","Hard Maple|","")&amp;IF(O316&lt;&gt;"","Black Walnut|","")&amp;IF(P316&lt;&gt;"","Douglas Fir|","")&amp;IF(Q316&lt;&gt;"","Western Red Cedar|","")&amp;IF(R316&lt;&gt;"","PVC|","")&amp;IF(S316&lt;&gt;"","Flex|","")&amp;IF(T316&lt;&gt;"","Steel|","")&amp;IF(U316&lt;&gt;"","Plastic|","")&amp;IF(V316&lt;&gt;"",V316&amp;"|","")</f>
        <v/>
      </c>
    </row>
    <row r="317" customFormat="false" ht="16.5" hidden="false" customHeight="true" outlineLevel="0" collapsed="false">
      <c r="A317" s="34" t="s">
        <v>910</v>
      </c>
      <c r="B317" s="35" t="s">
        <v>911</v>
      </c>
      <c r="C317" s="34" t="s">
        <v>886</v>
      </c>
      <c r="D317" s="34" t="s">
        <v>889</v>
      </c>
      <c r="E317" s="34" t="s">
        <v>732</v>
      </c>
      <c r="F317" s="36" t="str">
        <f aca="false">IF(LEN(AA317)=0,"",LEFT(AA317,LEN(AA317)-1))</f>
        <v/>
      </c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8"/>
      <c r="T317" s="37"/>
      <c r="U317" s="37"/>
      <c r="V317" s="39"/>
      <c r="W317" s="39"/>
      <c r="X317" s="40"/>
      <c r="Y317" s="41"/>
      <c r="Z317" s="42"/>
      <c r="AA317" s="43" t="str">
        <f aca="false">IF(G317&lt;&gt;"","Poplar|","")&amp;IF(H317&lt;&gt;"","FJ Primed Poplar|","")&amp;IF(I317&lt;&gt;"","FJ Primed Pine|","")&amp;IF(J317&lt;&gt;"","Clear Pine|","")&amp;IF(K317&lt;&gt;"","Primed MDF|","")&amp;IF(L317&lt;&gt;"","White Oak|","")&amp;IF(M317&lt;&gt;"","Red Oak|","")&amp;IF(N317&lt;&gt;"","Hard Maple|","")&amp;IF(O317&lt;&gt;"","Black Walnut|","")&amp;IF(P317&lt;&gt;"","Douglas Fir|","")&amp;IF(Q317&lt;&gt;"","Western Red Cedar|","")&amp;IF(R317&lt;&gt;"","PVC|","")&amp;IF(S317&lt;&gt;"","Flex|","")&amp;IF(T317&lt;&gt;"","Steel|","")&amp;IF(U317&lt;&gt;"","Plastic|","")&amp;IF(V317&lt;&gt;"",V317&amp;"|","")</f>
        <v/>
      </c>
    </row>
    <row r="318" customFormat="false" ht="16.5" hidden="false" customHeight="true" outlineLevel="0" collapsed="false">
      <c r="A318" s="34" t="s">
        <v>912</v>
      </c>
      <c r="B318" s="35" t="s">
        <v>913</v>
      </c>
      <c r="C318" s="34" t="s">
        <v>886</v>
      </c>
      <c r="D318" s="34" t="s">
        <v>889</v>
      </c>
      <c r="E318" s="34" t="s">
        <v>732</v>
      </c>
      <c r="F318" s="36" t="str">
        <f aca="false">IF(LEN(AA318)=0,"",LEFT(AA318,LEN(AA318)-1))</f>
        <v/>
      </c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8"/>
      <c r="T318" s="37"/>
      <c r="U318" s="37"/>
      <c r="V318" s="39"/>
      <c r="W318" s="39"/>
      <c r="X318" s="40"/>
      <c r="Y318" s="41"/>
      <c r="Z318" s="42"/>
      <c r="AA318" s="43" t="str">
        <f aca="false">IF(G318&lt;&gt;"","Poplar|","")&amp;IF(H318&lt;&gt;"","FJ Primed Poplar|","")&amp;IF(I318&lt;&gt;"","FJ Primed Pine|","")&amp;IF(J318&lt;&gt;"","Clear Pine|","")&amp;IF(K318&lt;&gt;"","Primed MDF|","")&amp;IF(L318&lt;&gt;"","White Oak|","")&amp;IF(M318&lt;&gt;"","Red Oak|","")&amp;IF(N318&lt;&gt;"","Hard Maple|","")&amp;IF(O318&lt;&gt;"","Black Walnut|","")&amp;IF(P318&lt;&gt;"","Douglas Fir|","")&amp;IF(Q318&lt;&gt;"","Western Red Cedar|","")&amp;IF(R318&lt;&gt;"","PVC|","")&amp;IF(S318&lt;&gt;"","Flex|","")&amp;IF(T318&lt;&gt;"","Steel|","")&amp;IF(U318&lt;&gt;"","Plastic|","")&amp;IF(V318&lt;&gt;"",V318&amp;"|","")</f>
        <v/>
      </c>
    </row>
    <row r="319" customFormat="false" ht="16.5" hidden="false" customHeight="true" outlineLevel="0" collapsed="false">
      <c r="A319" s="34" t="s">
        <v>914</v>
      </c>
      <c r="B319" s="35" t="s">
        <v>915</v>
      </c>
      <c r="C319" s="34" t="s">
        <v>886</v>
      </c>
      <c r="D319" s="34" t="s">
        <v>889</v>
      </c>
      <c r="E319" s="34" t="s">
        <v>732</v>
      </c>
      <c r="F319" s="36" t="str">
        <f aca="false">IF(LEN(AA319)=0,"",LEFT(AA319,LEN(AA319)-1))</f>
        <v/>
      </c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8"/>
      <c r="T319" s="37"/>
      <c r="U319" s="37"/>
      <c r="V319" s="39"/>
      <c r="W319" s="39"/>
      <c r="X319" s="40"/>
      <c r="Y319" s="41"/>
      <c r="Z319" s="42"/>
      <c r="AA319" s="43" t="str">
        <f aca="false">IF(G319&lt;&gt;"","Poplar|","")&amp;IF(H319&lt;&gt;"","FJ Primed Poplar|","")&amp;IF(I319&lt;&gt;"","FJ Primed Pine|","")&amp;IF(J319&lt;&gt;"","Clear Pine|","")&amp;IF(K319&lt;&gt;"","Primed MDF|","")&amp;IF(L319&lt;&gt;"","White Oak|","")&amp;IF(M319&lt;&gt;"","Red Oak|","")&amp;IF(N319&lt;&gt;"","Hard Maple|","")&amp;IF(O319&lt;&gt;"","Black Walnut|","")&amp;IF(P319&lt;&gt;"","Douglas Fir|","")&amp;IF(Q319&lt;&gt;"","Western Red Cedar|","")&amp;IF(R319&lt;&gt;"","PVC|","")&amp;IF(S319&lt;&gt;"","Flex|","")&amp;IF(T319&lt;&gt;"","Steel|","")&amp;IF(U319&lt;&gt;"","Plastic|","")&amp;IF(V319&lt;&gt;"",V319&amp;"|","")</f>
        <v/>
      </c>
    </row>
    <row r="320" customFormat="false" ht="16.5" hidden="false" customHeight="true" outlineLevel="0" collapsed="false">
      <c r="A320" s="34" t="s">
        <v>916</v>
      </c>
      <c r="B320" s="35" t="s">
        <v>917</v>
      </c>
      <c r="C320" s="34" t="s">
        <v>886</v>
      </c>
      <c r="D320" s="34" t="s">
        <v>889</v>
      </c>
      <c r="E320" s="34" t="s">
        <v>732</v>
      </c>
      <c r="F320" s="36" t="str">
        <f aca="false">IF(LEN(AA320)=0,"",LEFT(AA320,LEN(AA320)-1))</f>
        <v/>
      </c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8"/>
      <c r="T320" s="37"/>
      <c r="U320" s="37"/>
      <c r="V320" s="39"/>
      <c r="W320" s="39"/>
      <c r="X320" s="40"/>
      <c r="Y320" s="41"/>
      <c r="Z320" s="42"/>
      <c r="AA320" s="43" t="str">
        <f aca="false">IF(G320&lt;&gt;"","Poplar|","")&amp;IF(H320&lt;&gt;"","FJ Primed Poplar|","")&amp;IF(I320&lt;&gt;"","FJ Primed Pine|","")&amp;IF(J320&lt;&gt;"","Clear Pine|","")&amp;IF(K320&lt;&gt;"","Primed MDF|","")&amp;IF(L320&lt;&gt;"","White Oak|","")&amp;IF(M320&lt;&gt;"","Red Oak|","")&amp;IF(N320&lt;&gt;"","Hard Maple|","")&amp;IF(O320&lt;&gt;"","Black Walnut|","")&amp;IF(P320&lt;&gt;"","Douglas Fir|","")&amp;IF(Q320&lt;&gt;"","Western Red Cedar|","")&amp;IF(R320&lt;&gt;"","PVC|","")&amp;IF(S320&lt;&gt;"","Flex|","")&amp;IF(T320&lt;&gt;"","Steel|","")&amp;IF(U320&lt;&gt;"","Plastic|","")&amp;IF(V320&lt;&gt;"",V320&amp;"|","")</f>
        <v/>
      </c>
    </row>
    <row r="321" customFormat="false" ht="16.5" hidden="false" customHeight="true" outlineLevel="0" collapsed="false">
      <c r="A321" s="34" t="s">
        <v>918</v>
      </c>
      <c r="B321" s="35" t="s">
        <v>919</v>
      </c>
      <c r="C321" s="34" t="s">
        <v>886</v>
      </c>
      <c r="D321" s="34" t="s">
        <v>889</v>
      </c>
      <c r="E321" s="34" t="s">
        <v>732</v>
      </c>
      <c r="F321" s="36" t="str">
        <f aca="false">IF(LEN(AA321)=0,"",LEFT(AA321,LEN(AA321)-1))</f>
        <v/>
      </c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8"/>
      <c r="T321" s="37"/>
      <c r="U321" s="37"/>
      <c r="V321" s="39"/>
      <c r="W321" s="39"/>
      <c r="X321" s="40"/>
      <c r="Y321" s="41"/>
      <c r="Z321" s="42"/>
      <c r="AA321" s="43" t="str">
        <f aca="false">IF(G321&lt;&gt;"","Poplar|","")&amp;IF(H321&lt;&gt;"","FJ Primed Poplar|","")&amp;IF(I321&lt;&gt;"","FJ Primed Pine|","")&amp;IF(J321&lt;&gt;"","Clear Pine|","")&amp;IF(K321&lt;&gt;"","Primed MDF|","")&amp;IF(L321&lt;&gt;"","White Oak|","")&amp;IF(M321&lt;&gt;"","Red Oak|","")&amp;IF(N321&lt;&gt;"","Hard Maple|","")&amp;IF(O321&lt;&gt;"","Black Walnut|","")&amp;IF(P321&lt;&gt;"","Douglas Fir|","")&amp;IF(Q321&lt;&gt;"","Western Red Cedar|","")&amp;IF(R321&lt;&gt;"","PVC|","")&amp;IF(S321&lt;&gt;"","Flex|","")&amp;IF(T321&lt;&gt;"","Steel|","")&amp;IF(U321&lt;&gt;"","Plastic|","")&amp;IF(V321&lt;&gt;"",V321&amp;"|","")</f>
        <v/>
      </c>
    </row>
    <row r="322" customFormat="false" ht="16.5" hidden="false" customHeight="true" outlineLevel="0" collapsed="false">
      <c r="A322" s="34" t="s">
        <v>920</v>
      </c>
      <c r="B322" s="35" t="s">
        <v>921</v>
      </c>
      <c r="C322" s="34" t="s">
        <v>886</v>
      </c>
      <c r="D322" s="34" t="s">
        <v>889</v>
      </c>
      <c r="E322" s="34" t="s">
        <v>732</v>
      </c>
      <c r="F322" s="36" t="str">
        <f aca="false">IF(LEN(AA322)=0,"",LEFT(AA322,LEN(AA322)-1))</f>
        <v/>
      </c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8"/>
      <c r="T322" s="37"/>
      <c r="U322" s="37"/>
      <c r="V322" s="39"/>
      <c r="W322" s="39"/>
      <c r="X322" s="40"/>
      <c r="Y322" s="41"/>
      <c r="Z322" s="42"/>
      <c r="AA322" s="43" t="str">
        <f aca="false">IF(G322&lt;&gt;"","Poplar|","")&amp;IF(H322&lt;&gt;"","FJ Primed Poplar|","")&amp;IF(I322&lt;&gt;"","FJ Primed Pine|","")&amp;IF(J322&lt;&gt;"","Clear Pine|","")&amp;IF(K322&lt;&gt;"","Primed MDF|","")&amp;IF(L322&lt;&gt;"","White Oak|","")&amp;IF(M322&lt;&gt;"","Red Oak|","")&amp;IF(N322&lt;&gt;"","Hard Maple|","")&amp;IF(O322&lt;&gt;"","Black Walnut|","")&amp;IF(P322&lt;&gt;"","Douglas Fir|","")&amp;IF(Q322&lt;&gt;"","Western Red Cedar|","")&amp;IF(R322&lt;&gt;"","PVC|","")&amp;IF(S322&lt;&gt;"","Flex|","")&amp;IF(T322&lt;&gt;"","Steel|","")&amp;IF(U322&lt;&gt;"","Plastic|","")&amp;IF(V322&lt;&gt;"",V322&amp;"|","")</f>
        <v/>
      </c>
    </row>
    <row r="323" customFormat="false" ht="16.5" hidden="false" customHeight="true" outlineLevel="0" collapsed="false">
      <c r="A323" s="34" t="s">
        <v>922</v>
      </c>
      <c r="B323" s="35" t="s">
        <v>923</v>
      </c>
      <c r="C323" s="34" t="s">
        <v>886</v>
      </c>
      <c r="D323" s="34" t="s">
        <v>889</v>
      </c>
      <c r="E323" s="34" t="s">
        <v>732</v>
      </c>
      <c r="F323" s="36" t="str">
        <f aca="false">IF(LEN(AA323)=0,"",LEFT(AA323,LEN(AA323)-1))</f>
        <v/>
      </c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8"/>
      <c r="T323" s="37"/>
      <c r="U323" s="37"/>
      <c r="V323" s="39"/>
      <c r="W323" s="39"/>
      <c r="X323" s="40"/>
      <c r="Y323" s="41"/>
      <c r="Z323" s="42"/>
      <c r="AA323" s="43" t="str">
        <f aca="false">IF(G323&lt;&gt;"","Poplar|","")&amp;IF(H323&lt;&gt;"","FJ Primed Poplar|","")&amp;IF(I323&lt;&gt;"","FJ Primed Pine|","")&amp;IF(J323&lt;&gt;"","Clear Pine|","")&amp;IF(K323&lt;&gt;"","Primed MDF|","")&amp;IF(L323&lt;&gt;"","White Oak|","")&amp;IF(M323&lt;&gt;"","Red Oak|","")&amp;IF(N323&lt;&gt;"","Hard Maple|","")&amp;IF(O323&lt;&gt;"","Black Walnut|","")&amp;IF(P323&lt;&gt;"","Douglas Fir|","")&amp;IF(Q323&lt;&gt;"","Western Red Cedar|","")&amp;IF(R323&lt;&gt;"","PVC|","")&amp;IF(S323&lt;&gt;"","Flex|","")&amp;IF(T323&lt;&gt;"","Steel|","")&amp;IF(U323&lt;&gt;"","Plastic|","")&amp;IF(V323&lt;&gt;"",V323&amp;"|","")</f>
        <v/>
      </c>
    </row>
    <row r="324" customFormat="false" ht="16.5" hidden="false" customHeight="true" outlineLevel="0" collapsed="false">
      <c r="A324" s="34" t="s">
        <v>924</v>
      </c>
      <c r="B324" s="35" t="s">
        <v>925</v>
      </c>
      <c r="C324" s="34" t="s">
        <v>886</v>
      </c>
      <c r="D324" s="34" t="s">
        <v>889</v>
      </c>
      <c r="E324" s="34" t="s">
        <v>732</v>
      </c>
      <c r="F324" s="36" t="str">
        <f aca="false">IF(LEN(AA324)=0,"",LEFT(AA324,LEN(AA324)-1))</f>
        <v/>
      </c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8"/>
      <c r="T324" s="37"/>
      <c r="U324" s="37"/>
      <c r="V324" s="39"/>
      <c r="W324" s="39"/>
      <c r="X324" s="40"/>
      <c r="Y324" s="41"/>
      <c r="Z324" s="42"/>
      <c r="AA324" s="43" t="str">
        <f aca="false">IF(G324&lt;&gt;"","Poplar|","")&amp;IF(H324&lt;&gt;"","FJ Primed Poplar|","")&amp;IF(I324&lt;&gt;"","FJ Primed Pine|","")&amp;IF(J324&lt;&gt;"","Clear Pine|","")&amp;IF(K324&lt;&gt;"","Primed MDF|","")&amp;IF(L324&lt;&gt;"","White Oak|","")&amp;IF(M324&lt;&gt;"","Red Oak|","")&amp;IF(N324&lt;&gt;"","Hard Maple|","")&amp;IF(O324&lt;&gt;"","Black Walnut|","")&amp;IF(P324&lt;&gt;"","Douglas Fir|","")&amp;IF(Q324&lt;&gt;"","Western Red Cedar|","")&amp;IF(R324&lt;&gt;"","PVC|","")&amp;IF(S324&lt;&gt;"","Flex|","")&amp;IF(T324&lt;&gt;"","Steel|","")&amp;IF(U324&lt;&gt;"","Plastic|","")&amp;IF(V324&lt;&gt;"",V324&amp;"|","")</f>
        <v/>
      </c>
    </row>
    <row r="325" customFormat="false" ht="16.5" hidden="false" customHeight="true" outlineLevel="0" collapsed="false">
      <c r="A325" s="34" t="s">
        <v>926</v>
      </c>
      <c r="B325" s="35" t="s">
        <v>927</v>
      </c>
      <c r="C325" s="34" t="s">
        <v>886</v>
      </c>
      <c r="D325" s="34" t="s">
        <v>889</v>
      </c>
      <c r="E325" s="34" t="s">
        <v>732</v>
      </c>
      <c r="F325" s="36" t="str">
        <f aca="false">IF(LEN(AA325)=0,"",LEFT(AA325,LEN(AA325)-1))</f>
        <v/>
      </c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8"/>
      <c r="T325" s="37"/>
      <c r="U325" s="37"/>
      <c r="V325" s="39"/>
      <c r="W325" s="39"/>
      <c r="X325" s="40"/>
      <c r="Y325" s="41"/>
      <c r="Z325" s="42"/>
      <c r="AA325" s="43" t="str">
        <f aca="false">IF(G325&lt;&gt;"","Poplar|","")&amp;IF(H325&lt;&gt;"","FJ Primed Poplar|","")&amp;IF(I325&lt;&gt;"","FJ Primed Pine|","")&amp;IF(J325&lt;&gt;"","Clear Pine|","")&amp;IF(K325&lt;&gt;"","Primed MDF|","")&amp;IF(L325&lt;&gt;"","White Oak|","")&amp;IF(M325&lt;&gt;"","Red Oak|","")&amp;IF(N325&lt;&gt;"","Hard Maple|","")&amp;IF(O325&lt;&gt;"","Black Walnut|","")&amp;IF(P325&lt;&gt;"","Douglas Fir|","")&amp;IF(Q325&lt;&gt;"","Western Red Cedar|","")&amp;IF(R325&lt;&gt;"","PVC|","")&amp;IF(S325&lt;&gt;"","Flex|","")&amp;IF(T325&lt;&gt;"","Steel|","")&amp;IF(U325&lt;&gt;"","Plastic|","")&amp;IF(V325&lt;&gt;"",V325&amp;"|","")</f>
        <v/>
      </c>
    </row>
    <row r="326" customFormat="false" ht="16.5" hidden="false" customHeight="true" outlineLevel="0" collapsed="false">
      <c r="A326" s="34" t="s">
        <v>928</v>
      </c>
      <c r="B326" s="35" t="s">
        <v>929</v>
      </c>
      <c r="C326" s="34" t="s">
        <v>886</v>
      </c>
      <c r="D326" s="34"/>
      <c r="E326" s="34" t="s">
        <v>930</v>
      </c>
      <c r="F326" s="36" t="str">
        <f aca="false">IF(LEN(AA326)=0,"",LEFT(AA326,LEN(AA326)-1))</f>
        <v/>
      </c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8"/>
      <c r="T326" s="37"/>
      <c r="U326" s="37"/>
      <c r="V326" s="39"/>
      <c r="W326" s="39"/>
      <c r="X326" s="40"/>
      <c r="Y326" s="41"/>
      <c r="Z326" s="42"/>
      <c r="AA326" s="43" t="str">
        <f aca="false">IF(G326&lt;&gt;"","Poplar|","")&amp;IF(H326&lt;&gt;"","FJ Primed Poplar|","")&amp;IF(I326&lt;&gt;"","FJ Primed Pine|","")&amp;IF(J326&lt;&gt;"","Clear Pine|","")&amp;IF(K326&lt;&gt;"","Primed MDF|","")&amp;IF(L326&lt;&gt;"","White Oak|","")&amp;IF(M326&lt;&gt;"","Red Oak|","")&amp;IF(N326&lt;&gt;"","Hard Maple|","")&amp;IF(O326&lt;&gt;"","Black Walnut|","")&amp;IF(P326&lt;&gt;"","Douglas Fir|","")&amp;IF(Q326&lt;&gt;"","Western Red Cedar|","")&amp;IF(R326&lt;&gt;"","PVC|","")&amp;IF(S326&lt;&gt;"","Flex|","")&amp;IF(T326&lt;&gt;"","Steel|","")&amp;IF(U326&lt;&gt;"","Plastic|","")&amp;IF(V326&lt;&gt;"",V326&amp;"|","")</f>
        <v/>
      </c>
    </row>
    <row r="327" customFormat="false" ht="16.5" hidden="false" customHeight="true" outlineLevel="0" collapsed="false">
      <c r="A327" s="34" t="s">
        <v>931</v>
      </c>
      <c r="B327" s="35" t="s">
        <v>932</v>
      </c>
      <c r="C327" s="34" t="s">
        <v>886</v>
      </c>
      <c r="D327" s="34"/>
      <c r="E327" s="34" t="s">
        <v>732</v>
      </c>
      <c r="F327" s="36" t="str">
        <f aca="false">IF(LEN(AA327)=0,"",LEFT(AA327,LEN(AA327)-1))</f>
        <v/>
      </c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8"/>
      <c r="T327" s="37"/>
      <c r="U327" s="37"/>
      <c r="V327" s="39"/>
      <c r="W327" s="39"/>
      <c r="X327" s="40"/>
      <c r="Y327" s="41"/>
      <c r="Z327" s="42"/>
      <c r="AA327" s="43" t="str">
        <f aca="false">IF(G327&lt;&gt;"","Poplar|","")&amp;IF(H327&lt;&gt;"","FJ Primed Poplar|","")&amp;IF(I327&lt;&gt;"","FJ Primed Pine|","")&amp;IF(J327&lt;&gt;"","Clear Pine|","")&amp;IF(K327&lt;&gt;"","Primed MDF|","")&amp;IF(L327&lt;&gt;"","White Oak|","")&amp;IF(M327&lt;&gt;"","Red Oak|","")&amp;IF(N327&lt;&gt;"","Hard Maple|","")&amp;IF(O327&lt;&gt;"","Black Walnut|","")&amp;IF(P327&lt;&gt;"","Douglas Fir|","")&amp;IF(Q327&lt;&gt;"","Western Red Cedar|","")&amp;IF(R327&lt;&gt;"","PVC|","")&amp;IF(S327&lt;&gt;"","Flex|","")&amp;IF(T327&lt;&gt;"","Steel|","")&amp;IF(U327&lt;&gt;"","Plastic|","")&amp;IF(V327&lt;&gt;"",V327&amp;"|","")</f>
        <v/>
      </c>
    </row>
    <row r="328" customFormat="false" ht="16.5" hidden="false" customHeight="true" outlineLevel="0" collapsed="false">
      <c r="A328" s="44"/>
      <c r="B328" s="45" t="s">
        <v>933</v>
      </c>
      <c r="C328" s="44" t="s">
        <v>934</v>
      </c>
      <c r="D328" s="44" t="s">
        <v>889</v>
      </c>
      <c r="E328" s="44" t="s">
        <v>732</v>
      </c>
      <c r="F328" s="36" t="str">
        <f aca="false">IF(LEN(AA328)=0,"",LEFT(AA328,LEN(AA328)-1))</f>
        <v/>
      </c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8"/>
      <c r="T328" s="37"/>
      <c r="U328" s="37"/>
      <c r="V328" s="46"/>
      <c r="W328" s="46"/>
      <c r="X328" s="40"/>
      <c r="Y328" s="41"/>
      <c r="Z328" s="42"/>
      <c r="AA328" s="43" t="str">
        <f aca="false">IF(G328&lt;&gt;"","Poplar|","")&amp;IF(H328&lt;&gt;"","FJ Primed Poplar|","")&amp;IF(I328&lt;&gt;"","FJ Primed Pine|","")&amp;IF(J328&lt;&gt;"","Clear Pine|","")&amp;IF(K328&lt;&gt;"","Primed MDF|","")&amp;IF(L328&lt;&gt;"","White Oak|","")&amp;IF(M328&lt;&gt;"","Red Oak|","")&amp;IF(N328&lt;&gt;"","Hard Maple|","")&amp;IF(O328&lt;&gt;"","Black Walnut|","")&amp;IF(P328&lt;&gt;"","Douglas Fir|","")&amp;IF(Q328&lt;&gt;"","Western Red Cedar|","")&amp;IF(R328&lt;&gt;"","PVC|","")&amp;IF(S328&lt;&gt;"","Flex|","")&amp;IF(T328&lt;&gt;"","Steel|","")&amp;IF(U328&lt;&gt;"","Plastic|","")&amp;IF(V328&lt;&gt;"",V328&amp;"|","")</f>
        <v/>
      </c>
    </row>
    <row r="329" customFormat="false" ht="16.5" hidden="false" customHeight="true" outlineLevel="0" collapsed="false">
      <c r="A329" s="44"/>
      <c r="B329" s="45" t="s">
        <v>935</v>
      </c>
      <c r="C329" s="44" t="s">
        <v>934</v>
      </c>
      <c r="D329" s="44" t="s">
        <v>889</v>
      </c>
      <c r="E329" s="44" t="s">
        <v>732</v>
      </c>
      <c r="F329" s="36" t="str">
        <f aca="false">IF(LEN(AA329)=0,"",LEFT(AA329,LEN(AA329)-1))</f>
        <v/>
      </c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8"/>
      <c r="T329" s="37"/>
      <c r="U329" s="37"/>
      <c r="V329" s="46"/>
      <c r="W329" s="46"/>
      <c r="X329" s="40"/>
      <c r="Y329" s="41"/>
      <c r="Z329" s="42"/>
      <c r="AA329" s="43" t="str">
        <f aca="false">IF(G329&lt;&gt;"","Poplar|","")&amp;IF(H329&lt;&gt;"","FJ Primed Poplar|","")&amp;IF(I329&lt;&gt;"","FJ Primed Pine|","")&amp;IF(J329&lt;&gt;"","Clear Pine|","")&amp;IF(K329&lt;&gt;"","Primed MDF|","")&amp;IF(L329&lt;&gt;"","White Oak|","")&amp;IF(M329&lt;&gt;"","Red Oak|","")&amp;IF(N329&lt;&gt;"","Hard Maple|","")&amp;IF(O329&lt;&gt;"","Black Walnut|","")&amp;IF(P329&lt;&gt;"","Douglas Fir|","")&amp;IF(Q329&lt;&gt;"","Western Red Cedar|","")&amp;IF(R329&lt;&gt;"","PVC|","")&amp;IF(S329&lt;&gt;"","Flex|","")&amp;IF(T329&lt;&gt;"","Steel|","")&amp;IF(U329&lt;&gt;"","Plastic|","")&amp;IF(V329&lt;&gt;"",V329&amp;"|","")</f>
        <v/>
      </c>
    </row>
    <row r="330" customFormat="false" ht="16.5" hidden="false" customHeight="true" outlineLevel="0" collapsed="false">
      <c r="A330" s="44" t="s">
        <v>936</v>
      </c>
      <c r="B330" s="45" t="s">
        <v>937</v>
      </c>
      <c r="C330" s="44" t="s">
        <v>934</v>
      </c>
      <c r="D330" s="44" t="s">
        <v>889</v>
      </c>
      <c r="E330" s="44" t="s">
        <v>732</v>
      </c>
      <c r="F330" s="36" t="str">
        <f aca="false">IF(LEN(AA330)=0,"",LEFT(AA330,LEN(AA330)-1))</f>
        <v/>
      </c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8"/>
      <c r="T330" s="37"/>
      <c r="U330" s="37"/>
      <c r="V330" s="46"/>
      <c r="W330" s="46"/>
      <c r="X330" s="40"/>
      <c r="Y330" s="41"/>
      <c r="Z330" s="42"/>
      <c r="AA330" s="43" t="str">
        <f aca="false">IF(G330&lt;&gt;"","Poplar|","")&amp;IF(H330&lt;&gt;"","FJ Primed Poplar|","")&amp;IF(I330&lt;&gt;"","FJ Primed Pine|","")&amp;IF(J330&lt;&gt;"","Clear Pine|","")&amp;IF(K330&lt;&gt;"","Primed MDF|","")&amp;IF(L330&lt;&gt;"","White Oak|","")&amp;IF(M330&lt;&gt;"","Red Oak|","")&amp;IF(N330&lt;&gt;"","Hard Maple|","")&amp;IF(O330&lt;&gt;"","Black Walnut|","")&amp;IF(P330&lt;&gt;"","Douglas Fir|","")&amp;IF(Q330&lt;&gt;"","Western Red Cedar|","")&amp;IF(R330&lt;&gt;"","PVC|","")&amp;IF(S330&lt;&gt;"","Flex|","")&amp;IF(T330&lt;&gt;"","Steel|","")&amp;IF(U330&lt;&gt;"","Plastic|","")&amp;IF(V330&lt;&gt;"",V330&amp;"|","")</f>
        <v/>
      </c>
    </row>
    <row r="331" customFormat="false" ht="16.5" hidden="false" customHeight="true" outlineLevel="0" collapsed="false">
      <c r="A331" s="44" t="s">
        <v>938</v>
      </c>
      <c r="B331" s="45" t="s">
        <v>939</v>
      </c>
      <c r="C331" s="44" t="s">
        <v>934</v>
      </c>
      <c r="D331" s="44" t="s">
        <v>889</v>
      </c>
      <c r="E331" s="44" t="s">
        <v>732</v>
      </c>
      <c r="F331" s="36" t="str">
        <f aca="false">IF(LEN(AA331)=0,"",LEFT(AA331,LEN(AA331)-1))</f>
        <v/>
      </c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8"/>
      <c r="T331" s="37"/>
      <c r="U331" s="37"/>
      <c r="V331" s="46"/>
      <c r="W331" s="46"/>
      <c r="X331" s="40"/>
      <c r="Y331" s="41"/>
      <c r="Z331" s="42"/>
      <c r="AA331" s="43" t="str">
        <f aca="false">IF(G331&lt;&gt;"","Poplar|","")&amp;IF(H331&lt;&gt;"","FJ Primed Poplar|","")&amp;IF(I331&lt;&gt;"","FJ Primed Pine|","")&amp;IF(J331&lt;&gt;"","Clear Pine|","")&amp;IF(K331&lt;&gt;"","Primed MDF|","")&amp;IF(L331&lt;&gt;"","White Oak|","")&amp;IF(M331&lt;&gt;"","Red Oak|","")&amp;IF(N331&lt;&gt;"","Hard Maple|","")&amp;IF(O331&lt;&gt;"","Black Walnut|","")&amp;IF(P331&lt;&gt;"","Douglas Fir|","")&amp;IF(Q331&lt;&gt;"","Western Red Cedar|","")&amp;IF(R331&lt;&gt;"","PVC|","")&amp;IF(S331&lt;&gt;"","Flex|","")&amp;IF(T331&lt;&gt;"","Steel|","")&amp;IF(U331&lt;&gt;"","Plastic|","")&amp;IF(V331&lt;&gt;"",V331&amp;"|","")</f>
        <v/>
      </c>
    </row>
    <row r="332" customFormat="false" ht="16.5" hidden="false" customHeight="true" outlineLevel="0" collapsed="false">
      <c r="A332" s="44" t="s">
        <v>940</v>
      </c>
      <c r="B332" s="45" t="s">
        <v>941</v>
      </c>
      <c r="C332" s="44" t="s">
        <v>934</v>
      </c>
      <c r="D332" s="44" t="s">
        <v>889</v>
      </c>
      <c r="E332" s="44" t="s">
        <v>732</v>
      </c>
      <c r="F332" s="36" t="str">
        <f aca="false">IF(LEN(AA332)=0,"",LEFT(AA332,LEN(AA332)-1))</f>
        <v/>
      </c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8"/>
      <c r="T332" s="37"/>
      <c r="U332" s="37"/>
      <c r="V332" s="46"/>
      <c r="W332" s="46"/>
      <c r="X332" s="40"/>
      <c r="Y332" s="41"/>
      <c r="Z332" s="42"/>
      <c r="AA332" s="43" t="str">
        <f aca="false">IF(G332&lt;&gt;"","Poplar|","")&amp;IF(H332&lt;&gt;"","FJ Primed Poplar|","")&amp;IF(I332&lt;&gt;"","FJ Primed Pine|","")&amp;IF(J332&lt;&gt;"","Clear Pine|","")&amp;IF(K332&lt;&gt;"","Primed MDF|","")&amp;IF(L332&lt;&gt;"","White Oak|","")&amp;IF(M332&lt;&gt;"","Red Oak|","")&amp;IF(N332&lt;&gt;"","Hard Maple|","")&amp;IF(O332&lt;&gt;"","Black Walnut|","")&amp;IF(P332&lt;&gt;"","Douglas Fir|","")&amp;IF(Q332&lt;&gt;"","Western Red Cedar|","")&amp;IF(R332&lt;&gt;"","PVC|","")&amp;IF(S332&lt;&gt;"","Flex|","")&amp;IF(T332&lt;&gt;"","Steel|","")&amp;IF(U332&lt;&gt;"","Plastic|","")&amp;IF(V332&lt;&gt;"",V332&amp;"|","")</f>
        <v/>
      </c>
    </row>
    <row r="333" customFormat="false" ht="16.5" hidden="false" customHeight="true" outlineLevel="0" collapsed="false">
      <c r="A333" s="44" t="s">
        <v>942</v>
      </c>
      <c r="B333" s="45" t="s">
        <v>943</v>
      </c>
      <c r="C333" s="44" t="s">
        <v>934</v>
      </c>
      <c r="D333" s="44" t="s">
        <v>889</v>
      </c>
      <c r="E333" s="44" t="s">
        <v>732</v>
      </c>
      <c r="F333" s="36" t="str">
        <f aca="false">IF(LEN(AA333)=0,"",LEFT(AA333,LEN(AA333)-1))</f>
        <v/>
      </c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8"/>
      <c r="T333" s="37"/>
      <c r="U333" s="37"/>
      <c r="V333" s="46"/>
      <c r="W333" s="46"/>
      <c r="X333" s="40"/>
      <c r="Y333" s="41"/>
      <c r="Z333" s="42"/>
      <c r="AA333" s="43" t="str">
        <f aca="false">IF(G333&lt;&gt;"","Poplar|","")&amp;IF(H333&lt;&gt;"","FJ Primed Poplar|","")&amp;IF(I333&lt;&gt;"","FJ Primed Pine|","")&amp;IF(J333&lt;&gt;"","Clear Pine|","")&amp;IF(K333&lt;&gt;"","Primed MDF|","")&amp;IF(L333&lt;&gt;"","White Oak|","")&amp;IF(M333&lt;&gt;"","Red Oak|","")&amp;IF(N333&lt;&gt;"","Hard Maple|","")&amp;IF(O333&lt;&gt;"","Black Walnut|","")&amp;IF(P333&lt;&gt;"","Douglas Fir|","")&amp;IF(Q333&lt;&gt;"","Western Red Cedar|","")&amp;IF(R333&lt;&gt;"","PVC|","")&amp;IF(S333&lt;&gt;"","Flex|","")&amp;IF(T333&lt;&gt;"","Steel|","")&amp;IF(U333&lt;&gt;"","Plastic|","")&amp;IF(V333&lt;&gt;"",V333&amp;"|","")</f>
        <v/>
      </c>
    </row>
    <row r="334" customFormat="false" ht="16.5" hidden="false" customHeight="true" outlineLevel="0" collapsed="false">
      <c r="A334" s="44" t="s">
        <v>944</v>
      </c>
      <c r="B334" s="45" t="s">
        <v>945</v>
      </c>
      <c r="C334" s="44" t="s">
        <v>934</v>
      </c>
      <c r="D334" s="44" t="s">
        <v>889</v>
      </c>
      <c r="E334" s="44" t="s">
        <v>732</v>
      </c>
      <c r="F334" s="36" t="str">
        <f aca="false">IF(LEN(AA334)=0,"",LEFT(AA334,LEN(AA334)-1))</f>
        <v/>
      </c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8"/>
      <c r="T334" s="37"/>
      <c r="U334" s="37"/>
      <c r="V334" s="46"/>
      <c r="W334" s="46"/>
      <c r="X334" s="40"/>
      <c r="Y334" s="41"/>
      <c r="Z334" s="42"/>
      <c r="AA334" s="43" t="str">
        <f aca="false">IF(G334&lt;&gt;"","Poplar|","")&amp;IF(H334&lt;&gt;"","FJ Primed Poplar|","")&amp;IF(I334&lt;&gt;"","FJ Primed Pine|","")&amp;IF(J334&lt;&gt;"","Clear Pine|","")&amp;IF(K334&lt;&gt;"","Primed MDF|","")&amp;IF(L334&lt;&gt;"","White Oak|","")&amp;IF(M334&lt;&gt;"","Red Oak|","")&amp;IF(N334&lt;&gt;"","Hard Maple|","")&amp;IF(O334&lt;&gt;"","Black Walnut|","")&amp;IF(P334&lt;&gt;"","Douglas Fir|","")&amp;IF(Q334&lt;&gt;"","Western Red Cedar|","")&amp;IF(R334&lt;&gt;"","PVC|","")&amp;IF(S334&lt;&gt;"","Flex|","")&amp;IF(T334&lt;&gt;"","Steel|","")&amp;IF(U334&lt;&gt;"","Plastic|","")&amp;IF(V334&lt;&gt;"",V334&amp;"|","")</f>
        <v/>
      </c>
    </row>
    <row r="335" customFormat="false" ht="16.5" hidden="false" customHeight="true" outlineLevel="0" collapsed="false">
      <c r="A335" s="44" t="s">
        <v>946</v>
      </c>
      <c r="B335" s="45" t="s">
        <v>947</v>
      </c>
      <c r="C335" s="44" t="s">
        <v>934</v>
      </c>
      <c r="D335" s="44" t="s">
        <v>889</v>
      </c>
      <c r="E335" s="44" t="s">
        <v>732</v>
      </c>
      <c r="F335" s="36" t="str">
        <f aca="false">IF(LEN(AA335)=0,"",LEFT(AA335,LEN(AA335)-1))</f>
        <v/>
      </c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8"/>
      <c r="T335" s="37"/>
      <c r="U335" s="37"/>
      <c r="V335" s="46"/>
      <c r="W335" s="46"/>
      <c r="X335" s="40"/>
      <c r="Y335" s="41"/>
      <c r="Z335" s="42"/>
      <c r="AA335" s="43" t="str">
        <f aca="false">IF(G335&lt;&gt;"","Poplar|","")&amp;IF(H335&lt;&gt;"","FJ Primed Poplar|","")&amp;IF(I335&lt;&gt;"","FJ Primed Pine|","")&amp;IF(J335&lt;&gt;"","Clear Pine|","")&amp;IF(K335&lt;&gt;"","Primed MDF|","")&amp;IF(L335&lt;&gt;"","White Oak|","")&amp;IF(M335&lt;&gt;"","Red Oak|","")&amp;IF(N335&lt;&gt;"","Hard Maple|","")&amp;IF(O335&lt;&gt;"","Black Walnut|","")&amp;IF(P335&lt;&gt;"","Douglas Fir|","")&amp;IF(Q335&lt;&gt;"","Western Red Cedar|","")&amp;IF(R335&lt;&gt;"","PVC|","")&amp;IF(S335&lt;&gt;"","Flex|","")&amp;IF(T335&lt;&gt;"","Steel|","")&amp;IF(U335&lt;&gt;"","Plastic|","")&amp;IF(V335&lt;&gt;"",V335&amp;"|","")</f>
        <v/>
      </c>
    </row>
    <row r="336" customFormat="false" ht="16.5" hidden="false" customHeight="true" outlineLevel="0" collapsed="false">
      <c r="A336" s="44" t="s">
        <v>948</v>
      </c>
      <c r="B336" s="45" t="s">
        <v>949</v>
      </c>
      <c r="C336" s="44" t="s">
        <v>934</v>
      </c>
      <c r="D336" s="44" t="s">
        <v>889</v>
      </c>
      <c r="E336" s="44" t="s">
        <v>732</v>
      </c>
      <c r="F336" s="36" t="str">
        <f aca="false">IF(LEN(AA336)=0,"",LEFT(AA336,LEN(AA336)-1))</f>
        <v/>
      </c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8"/>
      <c r="T336" s="37"/>
      <c r="U336" s="37"/>
      <c r="V336" s="46"/>
      <c r="W336" s="46"/>
      <c r="X336" s="40"/>
      <c r="Y336" s="41"/>
      <c r="Z336" s="42"/>
      <c r="AA336" s="43" t="str">
        <f aca="false">IF(G336&lt;&gt;"","Poplar|","")&amp;IF(H336&lt;&gt;"","FJ Primed Poplar|","")&amp;IF(I336&lt;&gt;"","FJ Primed Pine|","")&amp;IF(J336&lt;&gt;"","Clear Pine|","")&amp;IF(K336&lt;&gt;"","Primed MDF|","")&amp;IF(L336&lt;&gt;"","White Oak|","")&amp;IF(M336&lt;&gt;"","Red Oak|","")&amp;IF(N336&lt;&gt;"","Hard Maple|","")&amp;IF(O336&lt;&gt;"","Black Walnut|","")&amp;IF(P336&lt;&gt;"","Douglas Fir|","")&amp;IF(Q336&lt;&gt;"","Western Red Cedar|","")&amp;IF(R336&lt;&gt;"","PVC|","")&amp;IF(S336&lt;&gt;"","Flex|","")&amp;IF(T336&lt;&gt;"","Steel|","")&amp;IF(U336&lt;&gt;"","Plastic|","")&amp;IF(V336&lt;&gt;"",V336&amp;"|","")</f>
        <v/>
      </c>
    </row>
    <row r="337" customFormat="false" ht="16.5" hidden="false" customHeight="true" outlineLevel="0" collapsed="false">
      <c r="A337" s="44" t="s">
        <v>950</v>
      </c>
      <c r="B337" s="45" t="s">
        <v>951</v>
      </c>
      <c r="C337" s="44" t="s">
        <v>934</v>
      </c>
      <c r="D337" s="44" t="s">
        <v>889</v>
      </c>
      <c r="E337" s="44" t="s">
        <v>732</v>
      </c>
      <c r="F337" s="36" t="str">
        <f aca="false">IF(LEN(AA337)=0,"",LEFT(AA337,LEN(AA337)-1))</f>
        <v/>
      </c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8"/>
      <c r="T337" s="37"/>
      <c r="U337" s="37"/>
      <c r="V337" s="46"/>
      <c r="W337" s="46"/>
      <c r="X337" s="40"/>
      <c r="Y337" s="41"/>
      <c r="Z337" s="42"/>
      <c r="AA337" s="43" t="str">
        <f aca="false">IF(G337&lt;&gt;"","Poplar|","")&amp;IF(H337&lt;&gt;"","FJ Primed Poplar|","")&amp;IF(I337&lt;&gt;"","FJ Primed Pine|","")&amp;IF(J337&lt;&gt;"","Clear Pine|","")&amp;IF(K337&lt;&gt;"","Primed MDF|","")&amp;IF(L337&lt;&gt;"","White Oak|","")&amp;IF(M337&lt;&gt;"","Red Oak|","")&amp;IF(N337&lt;&gt;"","Hard Maple|","")&amp;IF(O337&lt;&gt;"","Black Walnut|","")&amp;IF(P337&lt;&gt;"","Douglas Fir|","")&amp;IF(Q337&lt;&gt;"","Western Red Cedar|","")&amp;IF(R337&lt;&gt;"","PVC|","")&amp;IF(S337&lt;&gt;"","Flex|","")&amp;IF(T337&lt;&gt;"","Steel|","")&amp;IF(U337&lt;&gt;"","Plastic|","")&amp;IF(V337&lt;&gt;"",V337&amp;"|","")</f>
        <v/>
      </c>
    </row>
    <row r="338" customFormat="false" ht="16.5" hidden="false" customHeight="true" outlineLevel="0" collapsed="false">
      <c r="A338" s="44" t="s">
        <v>952</v>
      </c>
      <c r="B338" s="45" t="s">
        <v>953</v>
      </c>
      <c r="C338" s="44" t="s">
        <v>934</v>
      </c>
      <c r="D338" s="44" t="s">
        <v>889</v>
      </c>
      <c r="E338" s="44" t="s">
        <v>732</v>
      </c>
      <c r="F338" s="36" t="str">
        <f aca="false">IF(LEN(AA338)=0,"",LEFT(AA338,LEN(AA338)-1))</f>
        <v/>
      </c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8"/>
      <c r="T338" s="37"/>
      <c r="U338" s="37"/>
      <c r="V338" s="46"/>
      <c r="W338" s="46"/>
      <c r="X338" s="40"/>
      <c r="Y338" s="41"/>
      <c r="Z338" s="42"/>
      <c r="AA338" s="43" t="str">
        <f aca="false">IF(G338&lt;&gt;"","Poplar|","")&amp;IF(H338&lt;&gt;"","FJ Primed Poplar|","")&amp;IF(I338&lt;&gt;"","FJ Primed Pine|","")&amp;IF(J338&lt;&gt;"","Clear Pine|","")&amp;IF(K338&lt;&gt;"","Primed MDF|","")&amp;IF(L338&lt;&gt;"","White Oak|","")&amp;IF(M338&lt;&gt;"","Red Oak|","")&amp;IF(N338&lt;&gt;"","Hard Maple|","")&amp;IF(O338&lt;&gt;"","Black Walnut|","")&amp;IF(P338&lt;&gt;"","Douglas Fir|","")&amp;IF(Q338&lt;&gt;"","Western Red Cedar|","")&amp;IF(R338&lt;&gt;"","PVC|","")&amp;IF(S338&lt;&gt;"","Flex|","")&amp;IF(T338&lt;&gt;"","Steel|","")&amp;IF(U338&lt;&gt;"","Plastic|","")&amp;IF(V338&lt;&gt;"",V338&amp;"|","")</f>
        <v/>
      </c>
    </row>
    <row r="339" customFormat="false" ht="16.5" hidden="false" customHeight="true" outlineLevel="0" collapsed="false">
      <c r="A339" s="44" t="s">
        <v>954</v>
      </c>
      <c r="B339" s="45" t="s">
        <v>955</v>
      </c>
      <c r="C339" s="44" t="s">
        <v>934</v>
      </c>
      <c r="D339" s="44" t="s">
        <v>889</v>
      </c>
      <c r="E339" s="44" t="s">
        <v>732</v>
      </c>
      <c r="F339" s="36" t="str">
        <f aca="false">IF(LEN(AA339)=0,"",LEFT(AA339,LEN(AA339)-1))</f>
        <v/>
      </c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8"/>
      <c r="T339" s="37"/>
      <c r="U339" s="37"/>
      <c r="V339" s="46"/>
      <c r="W339" s="46"/>
      <c r="X339" s="40"/>
      <c r="Y339" s="41"/>
      <c r="Z339" s="42"/>
      <c r="AA339" s="43" t="str">
        <f aca="false">IF(G339&lt;&gt;"","Poplar|","")&amp;IF(H339&lt;&gt;"","FJ Primed Poplar|","")&amp;IF(I339&lt;&gt;"","FJ Primed Pine|","")&amp;IF(J339&lt;&gt;"","Clear Pine|","")&amp;IF(K339&lt;&gt;"","Primed MDF|","")&amp;IF(L339&lt;&gt;"","White Oak|","")&amp;IF(M339&lt;&gt;"","Red Oak|","")&amp;IF(N339&lt;&gt;"","Hard Maple|","")&amp;IF(O339&lt;&gt;"","Black Walnut|","")&amp;IF(P339&lt;&gt;"","Douglas Fir|","")&amp;IF(Q339&lt;&gt;"","Western Red Cedar|","")&amp;IF(R339&lt;&gt;"","PVC|","")&amp;IF(S339&lt;&gt;"","Flex|","")&amp;IF(T339&lt;&gt;"","Steel|","")&amp;IF(U339&lt;&gt;"","Plastic|","")&amp;IF(V339&lt;&gt;"",V339&amp;"|","")</f>
        <v/>
      </c>
    </row>
    <row r="340" customFormat="false" ht="16.5" hidden="false" customHeight="true" outlineLevel="0" collapsed="false">
      <c r="A340" s="44" t="s">
        <v>956</v>
      </c>
      <c r="B340" s="45" t="s">
        <v>957</v>
      </c>
      <c r="C340" s="44" t="s">
        <v>934</v>
      </c>
      <c r="D340" s="44" t="s">
        <v>889</v>
      </c>
      <c r="E340" s="44" t="s">
        <v>732</v>
      </c>
      <c r="F340" s="36" t="str">
        <f aca="false">IF(LEN(AA340)=0,"",LEFT(AA340,LEN(AA340)-1))</f>
        <v/>
      </c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8"/>
      <c r="T340" s="37"/>
      <c r="U340" s="37"/>
      <c r="V340" s="46"/>
      <c r="W340" s="46"/>
      <c r="X340" s="40"/>
      <c r="Y340" s="41"/>
      <c r="Z340" s="42"/>
      <c r="AA340" s="43" t="str">
        <f aca="false">IF(G340&lt;&gt;"","Poplar|","")&amp;IF(H340&lt;&gt;"","FJ Primed Poplar|","")&amp;IF(I340&lt;&gt;"","FJ Primed Pine|","")&amp;IF(J340&lt;&gt;"","Clear Pine|","")&amp;IF(K340&lt;&gt;"","Primed MDF|","")&amp;IF(L340&lt;&gt;"","White Oak|","")&amp;IF(M340&lt;&gt;"","Red Oak|","")&amp;IF(N340&lt;&gt;"","Hard Maple|","")&amp;IF(O340&lt;&gt;"","Black Walnut|","")&amp;IF(P340&lt;&gt;"","Douglas Fir|","")&amp;IF(Q340&lt;&gt;"","Western Red Cedar|","")&amp;IF(R340&lt;&gt;"","PVC|","")&amp;IF(S340&lt;&gt;"","Flex|","")&amp;IF(T340&lt;&gt;"","Steel|","")&amp;IF(U340&lt;&gt;"","Plastic|","")&amp;IF(V340&lt;&gt;"",V340&amp;"|","")</f>
        <v/>
      </c>
    </row>
    <row r="341" customFormat="false" ht="16.5" hidden="false" customHeight="true" outlineLevel="0" collapsed="false">
      <c r="A341" s="44" t="s">
        <v>958</v>
      </c>
      <c r="B341" s="45" t="s">
        <v>959</v>
      </c>
      <c r="C341" s="44" t="s">
        <v>934</v>
      </c>
      <c r="D341" s="44" t="s">
        <v>889</v>
      </c>
      <c r="E341" s="44" t="s">
        <v>732</v>
      </c>
      <c r="F341" s="36" t="str">
        <f aca="false">IF(LEN(AA341)=0,"",LEFT(AA341,LEN(AA341)-1))</f>
        <v/>
      </c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8"/>
      <c r="T341" s="37"/>
      <c r="U341" s="37"/>
      <c r="V341" s="46"/>
      <c r="W341" s="46"/>
      <c r="X341" s="40"/>
      <c r="Y341" s="41"/>
      <c r="Z341" s="42"/>
      <c r="AA341" s="43" t="str">
        <f aca="false">IF(G341&lt;&gt;"","Poplar|","")&amp;IF(H341&lt;&gt;"","FJ Primed Poplar|","")&amp;IF(I341&lt;&gt;"","FJ Primed Pine|","")&amp;IF(J341&lt;&gt;"","Clear Pine|","")&amp;IF(K341&lt;&gt;"","Primed MDF|","")&amp;IF(L341&lt;&gt;"","White Oak|","")&amp;IF(M341&lt;&gt;"","Red Oak|","")&amp;IF(N341&lt;&gt;"","Hard Maple|","")&amp;IF(O341&lt;&gt;"","Black Walnut|","")&amp;IF(P341&lt;&gt;"","Douglas Fir|","")&amp;IF(Q341&lt;&gt;"","Western Red Cedar|","")&amp;IF(R341&lt;&gt;"","PVC|","")&amp;IF(S341&lt;&gt;"","Flex|","")&amp;IF(T341&lt;&gt;"","Steel|","")&amp;IF(U341&lt;&gt;"","Plastic|","")&amp;IF(V341&lt;&gt;"",V341&amp;"|","")</f>
        <v/>
      </c>
    </row>
    <row r="342" customFormat="false" ht="16.5" hidden="false" customHeight="true" outlineLevel="0" collapsed="false">
      <c r="A342" s="44" t="s">
        <v>960</v>
      </c>
      <c r="B342" s="45" t="s">
        <v>961</v>
      </c>
      <c r="C342" s="44" t="s">
        <v>934</v>
      </c>
      <c r="D342" s="44" t="s">
        <v>889</v>
      </c>
      <c r="E342" s="44" t="s">
        <v>732</v>
      </c>
      <c r="F342" s="36" t="str">
        <f aca="false">IF(LEN(AA342)=0,"",LEFT(AA342,LEN(AA342)-1))</f>
        <v/>
      </c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8"/>
      <c r="T342" s="37"/>
      <c r="U342" s="37"/>
      <c r="V342" s="46"/>
      <c r="W342" s="46"/>
      <c r="X342" s="40"/>
      <c r="Y342" s="41"/>
      <c r="Z342" s="42"/>
      <c r="AA342" s="43" t="str">
        <f aca="false">IF(G342&lt;&gt;"","Poplar|","")&amp;IF(H342&lt;&gt;"","FJ Primed Poplar|","")&amp;IF(I342&lt;&gt;"","FJ Primed Pine|","")&amp;IF(J342&lt;&gt;"","Clear Pine|","")&amp;IF(K342&lt;&gt;"","Primed MDF|","")&amp;IF(L342&lt;&gt;"","White Oak|","")&amp;IF(M342&lt;&gt;"","Red Oak|","")&amp;IF(N342&lt;&gt;"","Hard Maple|","")&amp;IF(O342&lt;&gt;"","Black Walnut|","")&amp;IF(P342&lt;&gt;"","Douglas Fir|","")&amp;IF(Q342&lt;&gt;"","Western Red Cedar|","")&amp;IF(R342&lt;&gt;"","PVC|","")&amp;IF(S342&lt;&gt;"","Flex|","")&amp;IF(T342&lt;&gt;"","Steel|","")&amp;IF(U342&lt;&gt;"","Plastic|","")&amp;IF(V342&lt;&gt;"",V342&amp;"|","")</f>
        <v/>
      </c>
    </row>
    <row r="343" customFormat="false" ht="16.5" hidden="false" customHeight="true" outlineLevel="0" collapsed="false">
      <c r="A343" s="44" t="s">
        <v>962</v>
      </c>
      <c r="B343" s="45" t="s">
        <v>963</v>
      </c>
      <c r="C343" s="44" t="s">
        <v>934</v>
      </c>
      <c r="D343" s="44" t="s">
        <v>889</v>
      </c>
      <c r="E343" s="44" t="s">
        <v>732</v>
      </c>
      <c r="F343" s="36" t="str">
        <f aca="false">IF(LEN(AA343)=0,"",LEFT(AA343,LEN(AA343)-1))</f>
        <v/>
      </c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8"/>
      <c r="T343" s="37"/>
      <c r="U343" s="37"/>
      <c r="V343" s="46"/>
      <c r="W343" s="46"/>
      <c r="X343" s="40"/>
      <c r="Y343" s="41"/>
      <c r="Z343" s="42"/>
      <c r="AA343" s="43" t="str">
        <f aca="false">IF(G343&lt;&gt;"","Poplar|","")&amp;IF(H343&lt;&gt;"","FJ Primed Poplar|","")&amp;IF(I343&lt;&gt;"","FJ Primed Pine|","")&amp;IF(J343&lt;&gt;"","Clear Pine|","")&amp;IF(K343&lt;&gt;"","Primed MDF|","")&amp;IF(L343&lt;&gt;"","White Oak|","")&amp;IF(M343&lt;&gt;"","Red Oak|","")&amp;IF(N343&lt;&gt;"","Hard Maple|","")&amp;IF(O343&lt;&gt;"","Black Walnut|","")&amp;IF(P343&lt;&gt;"","Douglas Fir|","")&amp;IF(Q343&lt;&gt;"","Western Red Cedar|","")&amp;IF(R343&lt;&gt;"","PVC|","")&amp;IF(S343&lt;&gt;"","Flex|","")&amp;IF(T343&lt;&gt;"","Steel|","")&amp;IF(U343&lt;&gt;"","Plastic|","")&amp;IF(V343&lt;&gt;"",V343&amp;"|","")</f>
        <v/>
      </c>
    </row>
    <row r="344" customFormat="false" ht="16.5" hidden="false" customHeight="true" outlineLevel="0" collapsed="false">
      <c r="A344" s="44" t="s">
        <v>964</v>
      </c>
      <c r="B344" s="45" t="s">
        <v>965</v>
      </c>
      <c r="C344" s="44" t="s">
        <v>934</v>
      </c>
      <c r="D344" s="44" t="s">
        <v>889</v>
      </c>
      <c r="E344" s="44" t="s">
        <v>732</v>
      </c>
      <c r="F344" s="36" t="str">
        <f aca="false">IF(LEN(AA344)=0,"",LEFT(AA344,LEN(AA344)-1))</f>
        <v/>
      </c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8"/>
      <c r="T344" s="37"/>
      <c r="U344" s="37"/>
      <c r="V344" s="46"/>
      <c r="W344" s="46"/>
      <c r="X344" s="40"/>
      <c r="Y344" s="41"/>
      <c r="Z344" s="42"/>
      <c r="AA344" s="43" t="str">
        <f aca="false">IF(G344&lt;&gt;"","Poplar|","")&amp;IF(H344&lt;&gt;"","FJ Primed Poplar|","")&amp;IF(I344&lt;&gt;"","FJ Primed Pine|","")&amp;IF(J344&lt;&gt;"","Clear Pine|","")&amp;IF(K344&lt;&gt;"","Primed MDF|","")&amp;IF(L344&lt;&gt;"","White Oak|","")&amp;IF(M344&lt;&gt;"","Red Oak|","")&amp;IF(N344&lt;&gt;"","Hard Maple|","")&amp;IF(O344&lt;&gt;"","Black Walnut|","")&amp;IF(P344&lt;&gt;"","Douglas Fir|","")&amp;IF(Q344&lt;&gt;"","Western Red Cedar|","")&amp;IF(R344&lt;&gt;"","PVC|","")&amp;IF(S344&lt;&gt;"","Flex|","")&amp;IF(T344&lt;&gt;"","Steel|","")&amp;IF(U344&lt;&gt;"","Plastic|","")&amp;IF(V344&lt;&gt;"",V344&amp;"|","")</f>
        <v/>
      </c>
    </row>
    <row r="345" customFormat="false" ht="16.5" hidden="false" customHeight="true" outlineLevel="0" collapsed="false">
      <c r="A345" s="44" t="s">
        <v>966</v>
      </c>
      <c r="B345" s="45" t="s">
        <v>967</v>
      </c>
      <c r="C345" s="44" t="s">
        <v>934</v>
      </c>
      <c r="D345" s="44" t="s">
        <v>889</v>
      </c>
      <c r="E345" s="44" t="s">
        <v>732</v>
      </c>
      <c r="F345" s="36" t="str">
        <f aca="false">IF(LEN(AA345)=0,"",LEFT(AA345,LEN(AA345)-1))</f>
        <v/>
      </c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8"/>
      <c r="T345" s="37"/>
      <c r="U345" s="37"/>
      <c r="V345" s="46"/>
      <c r="W345" s="46"/>
      <c r="X345" s="40"/>
      <c r="Y345" s="41"/>
      <c r="Z345" s="42"/>
      <c r="AA345" s="43" t="str">
        <f aca="false">IF(G345&lt;&gt;"","Poplar|","")&amp;IF(H345&lt;&gt;"","FJ Primed Poplar|","")&amp;IF(I345&lt;&gt;"","FJ Primed Pine|","")&amp;IF(J345&lt;&gt;"","Clear Pine|","")&amp;IF(K345&lt;&gt;"","Primed MDF|","")&amp;IF(L345&lt;&gt;"","White Oak|","")&amp;IF(M345&lt;&gt;"","Red Oak|","")&amp;IF(N345&lt;&gt;"","Hard Maple|","")&amp;IF(O345&lt;&gt;"","Black Walnut|","")&amp;IF(P345&lt;&gt;"","Douglas Fir|","")&amp;IF(Q345&lt;&gt;"","Western Red Cedar|","")&amp;IF(R345&lt;&gt;"","PVC|","")&amp;IF(S345&lt;&gt;"","Flex|","")&amp;IF(T345&lt;&gt;"","Steel|","")&amp;IF(U345&lt;&gt;"","Plastic|","")&amp;IF(V345&lt;&gt;"",V345&amp;"|","")</f>
        <v/>
      </c>
    </row>
    <row r="346" customFormat="false" ht="16.5" hidden="false" customHeight="true" outlineLevel="0" collapsed="false">
      <c r="A346" s="44" t="s">
        <v>968</v>
      </c>
      <c r="B346" s="45" t="s">
        <v>969</v>
      </c>
      <c r="C346" s="44" t="s">
        <v>934</v>
      </c>
      <c r="D346" s="44" t="s">
        <v>889</v>
      </c>
      <c r="E346" s="44" t="s">
        <v>732</v>
      </c>
      <c r="F346" s="36" t="str">
        <f aca="false">IF(LEN(AA346)=0,"",LEFT(AA346,LEN(AA346)-1))</f>
        <v/>
      </c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8"/>
      <c r="T346" s="37"/>
      <c r="U346" s="37"/>
      <c r="V346" s="46"/>
      <c r="W346" s="46"/>
      <c r="X346" s="40"/>
      <c r="Y346" s="41"/>
      <c r="Z346" s="42"/>
      <c r="AA346" s="43" t="str">
        <f aca="false">IF(G346&lt;&gt;"","Poplar|","")&amp;IF(H346&lt;&gt;"","FJ Primed Poplar|","")&amp;IF(I346&lt;&gt;"","FJ Primed Pine|","")&amp;IF(J346&lt;&gt;"","Clear Pine|","")&amp;IF(K346&lt;&gt;"","Primed MDF|","")&amp;IF(L346&lt;&gt;"","White Oak|","")&amp;IF(M346&lt;&gt;"","Red Oak|","")&amp;IF(N346&lt;&gt;"","Hard Maple|","")&amp;IF(O346&lt;&gt;"","Black Walnut|","")&amp;IF(P346&lt;&gt;"","Douglas Fir|","")&amp;IF(Q346&lt;&gt;"","Western Red Cedar|","")&amp;IF(R346&lt;&gt;"","PVC|","")&amp;IF(S346&lt;&gt;"","Flex|","")&amp;IF(T346&lt;&gt;"","Steel|","")&amp;IF(U346&lt;&gt;"","Plastic|","")&amp;IF(V346&lt;&gt;"",V346&amp;"|","")</f>
        <v/>
      </c>
    </row>
    <row r="347" customFormat="false" ht="16.5" hidden="false" customHeight="true" outlineLevel="0" collapsed="false">
      <c r="A347" s="44" t="s">
        <v>970</v>
      </c>
      <c r="B347" s="45" t="s">
        <v>971</v>
      </c>
      <c r="C347" s="44" t="s">
        <v>934</v>
      </c>
      <c r="D347" s="44" t="s">
        <v>889</v>
      </c>
      <c r="E347" s="44" t="s">
        <v>732</v>
      </c>
      <c r="F347" s="36" t="str">
        <f aca="false">IF(LEN(AA347)=0,"",LEFT(AA347,LEN(AA347)-1))</f>
        <v/>
      </c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8"/>
      <c r="T347" s="37"/>
      <c r="U347" s="37"/>
      <c r="V347" s="46"/>
      <c r="W347" s="46"/>
      <c r="X347" s="40"/>
      <c r="Y347" s="41"/>
      <c r="Z347" s="42"/>
      <c r="AA347" s="43" t="str">
        <f aca="false">IF(G347&lt;&gt;"","Poplar|","")&amp;IF(H347&lt;&gt;"","FJ Primed Poplar|","")&amp;IF(I347&lt;&gt;"","FJ Primed Pine|","")&amp;IF(J347&lt;&gt;"","Clear Pine|","")&amp;IF(K347&lt;&gt;"","Primed MDF|","")&amp;IF(L347&lt;&gt;"","White Oak|","")&amp;IF(M347&lt;&gt;"","Red Oak|","")&amp;IF(N347&lt;&gt;"","Hard Maple|","")&amp;IF(O347&lt;&gt;"","Black Walnut|","")&amp;IF(P347&lt;&gt;"","Douglas Fir|","")&amp;IF(Q347&lt;&gt;"","Western Red Cedar|","")&amp;IF(R347&lt;&gt;"","PVC|","")&amp;IF(S347&lt;&gt;"","Flex|","")&amp;IF(T347&lt;&gt;"","Steel|","")&amp;IF(U347&lt;&gt;"","Plastic|","")&amp;IF(V347&lt;&gt;"",V347&amp;"|","")</f>
        <v/>
      </c>
    </row>
    <row r="348" customFormat="false" ht="16.5" hidden="false" customHeight="true" outlineLevel="0" collapsed="false">
      <c r="A348" s="44" t="s">
        <v>972</v>
      </c>
      <c r="B348" s="45" t="s">
        <v>973</v>
      </c>
      <c r="C348" s="44" t="s">
        <v>934</v>
      </c>
      <c r="D348" s="44" t="s">
        <v>889</v>
      </c>
      <c r="E348" s="44" t="s">
        <v>732</v>
      </c>
      <c r="F348" s="36" t="str">
        <f aca="false">IF(LEN(AA348)=0,"",LEFT(AA348,LEN(AA348)-1))</f>
        <v/>
      </c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8"/>
      <c r="T348" s="37"/>
      <c r="U348" s="37"/>
      <c r="V348" s="46"/>
      <c r="W348" s="46"/>
      <c r="X348" s="40"/>
      <c r="Y348" s="41"/>
      <c r="Z348" s="42"/>
      <c r="AA348" s="43" t="str">
        <f aca="false">IF(G348&lt;&gt;"","Poplar|","")&amp;IF(H348&lt;&gt;"","FJ Primed Poplar|","")&amp;IF(I348&lt;&gt;"","FJ Primed Pine|","")&amp;IF(J348&lt;&gt;"","Clear Pine|","")&amp;IF(K348&lt;&gt;"","Primed MDF|","")&amp;IF(L348&lt;&gt;"","White Oak|","")&amp;IF(M348&lt;&gt;"","Red Oak|","")&amp;IF(N348&lt;&gt;"","Hard Maple|","")&amp;IF(O348&lt;&gt;"","Black Walnut|","")&amp;IF(P348&lt;&gt;"","Douglas Fir|","")&amp;IF(Q348&lt;&gt;"","Western Red Cedar|","")&amp;IF(R348&lt;&gt;"","PVC|","")&amp;IF(S348&lt;&gt;"","Flex|","")&amp;IF(T348&lt;&gt;"","Steel|","")&amp;IF(U348&lt;&gt;"","Plastic|","")&amp;IF(V348&lt;&gt;"",V348&amp;"|","")</f>
        <v/>
      </c>
    </row>
    <row r="349" customFormat="false" ht="16.5" hidden="false" customHeight="true" outlineLevel="0" collapsed="false">
      <c r="A349" s="44" t="s">
        <v>974</v>
      </c>
      <c r="B349" s="45" t="s">
        <v>975</v>
      </c>
      <c r="C349" s="44" t="s">
        <v>934</v>
      </c>
      <c r="D349" s="44" t="s">
        <v>889</v>
      </c>
      <c r="E349" s="44" t="s">
        <v>732</v>
      </c>
      <c r="F349" s="36" t="str">
        <f aca="false">IF(LEN(AA349)=0,"",LEFT(AA349,LEN(AA349)-1))</f>
        <v/>
      </c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8"/>
      <c r="T349" s="37"/>
      <c r="U349" s="37"/>
      <c r="V349" s="46"/>
      <c r="W349" s="46"/>
      <c r="X349" s="40"/>
      <c r="Y349" s="41"/>
      <c r="Z349" s="42"/>
      <c r="AA349" s="43" t="str">
        <f aca="false">IF(G349&lt;&gt;"","Poplar|","")&amp;IF(H349&lt;&gt;"","FJ Primed Poplar|","")&amp;IF(I349&lt;&gt;"","FJ Primed Pine|","")&amp;IF(J349&lt;&gt;"","Clear Pine|","")&amp;IF(K349&lt;&gt;"","Primed MDF|","")&amp;IF(L349&lt;&gt;"","White Oak|","")&amp;IF(M349&lt;&gt;"","Red Oak|","")&amp;IF(N349&lt;&gt;"","Hard Maple|","")&amp;IF(O349&lt;&gt;"","Black Walnut|","")&amp;IF(P349&lt;&gt;"","Douglas Fir|","")&amp;IF(Q349&lt;&gt;"","Western Red Cedar|","")&amp;IF(R349&lt;&gt;"","PVC|","")&amp;IF(S349&lt;&gt;"","Flex|","")&amp;IF(T349&lt;&gt;"","Steel|","")&amp;IF(U349&lt;&gt;"","Plastic|","")&amp;IF(V349&lt;&gt;"",V349&amp;"|","")</f>
        <v/>
      </c>
    </row>
    <row r="350" customFormat="false" ht="16.5" hidden="false" customHeight="true" outlineLevel="0" collapsed="false">
      <c r="A350" s="44" t="s">
        <v>976</v>
      </c>
      <c r="B350" s="45" t="s">
        <v>977</v>
      </c>
      <c r="C350" s="44" t="s">
        <v>934</v>
      </c>
      <c r="D350" s="44" t="s">
        <v>889</v>
      </c>
      <c r="E350" s="44" t="s">
        <v>732</v>
      </c>
      <c r="F350" s="36" t="str">
        <f aca="false">IF(LEN(AA350)=0,"",LEFT(AA350,LEN(AA350)-1))</f>
        <v/>
      </c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8"/>
      <c r="T350" s="37"/>
      <c r="U350" s="37"/>
      <c r="V350" s="46"/>
      <c r="W350" s="46"/>
      <c r="X350" s="40"/>
      <c r="Y350" s="41"/>
      <c r="Z350" s="42"/>
      <c r="AA350" s="43" t="str">
        <f aca="false">IF(G350&lt;&gt;"","Poplar|","")&amp;IF(H350&lt;&gt;"","FJ Primed Poplar|","")&amp;IF(I350&lt;&gt;"","FJ Primed Pine|","")&amp;IF(J350&lt;&gt;"","Clear Pine|","")&amp;IF(K350&lt;&gt;"","Primed MDF|","")&amp;IF(L350&lt;&gt;"","White Oak|","")&amp;IF(M350&lt;&gt;"","Red Oak|","")&amp;IF(N350&lt;&gt;"","Hard Maple|","")&amp;IF(O350&lt;&gt;"","Black Walnut|","")&amp;IF(P350&lt;&gt;"","Douglas Fir|","")&amp;IF(Q350&lt;&gt;"","Western Red Cedar|","")&amp;IF(R350&lt;&gt;"","PVC|","")&amp;IF(S350&lt;&gt;"","Flex|","")&amp;IF(T350&lt;&gt;"","Steel|","")&amp;IF(U350&lt;&gt;"","Plastic|","")&amp;IF(V350&lt;&gt;"",V350&amp;"|","")</f>
        <v/>
      </c>
    </row>
    <row r="351" customFormat="false" ht="16.5" hidden="false" customHeight="true" outlineLevel="0" collapsed="false">
      <c r="A351" s="44" t="s">
        <v>978</v>
      </c>
      <c r="B351" s="45" t="s">
        <v>979</v>
      </c>
      <c r="C351" s="44" t="s">
        <v>934</v>
      </c>
      <c r="D351" s="44" t="s">
        <v>889</v>
      </c>
      <c r="E351" s="44" t="s">
        <v>732</v>
      </c>
      <c r="F351" s="36" t="str">
        <f aca="false">IF(LEN(AA351)=0,"",LEFT(AA351,LEN(AA351)-1))</f>
        <v/>
      </c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8"/>
      <c r="T351" s="37"/>
      <c r="U351" s="37"/>
      <c r="V351" s="46"/>
      <c r="W351" s="46"/>
      <c r="X351" s="40"/>
      <c r="Y351" s="41"/>
      <c r="Z351" s="42"/>
      <c r="AA351" s="43" t="str">
        <f aca="false">IF(G351&lt;&gt;"","Poplar|","")&amp;IF(H351&lt;&gt;"","FJ Primed Poplar|","")&amp;IF(I351&lt;&gt;"","FJ Primed Pine|","")&amp;IF(J351&lt;&gt;"","Clear Pine|","")&amp;IF(K351&lt;&gt;"","Primed MDF|","")&amp;IF(L351&lt;&gt;"","White Oak|","")&amp;IF(M351&lt;&gt;"","Red Oak|","")&amp;IF(N351&lt;&gt;"","Hard Maple|","")&amp;IF(O351&lt;&gt;"","Black Walnut|","")&amp;IF(P351&lt;&gt;"","Douglas Fir|","")&amp;IF(Q351&lt;&gt;"","Western Red Cedar|","")&amp;IF(R351&lt;&gt;"","PVC|","")&amp;IF(S351&lt;&gt;"","Flex|","")&amp;IF(T351&lt;&gt;"","Steel|","")&amp;IF(U351&lt;&gt;"","Plastic|","")&amp;IF(V351&lt;&gt;"",V351&amp;"|","")</f>
        <v/>
      </c>
    </row>
    <row r="352" customFormat="false" ht="16.5" hidden="false" customHeight="true" outlineLevel="0" collapsed="false">
      <c r="A352" s="44" t="s">
        <v>980</v>
      </c>
      <c r="B352" s="45" t="s">
        <v>981</v>
      </c>
      <c r="C352" s="44" t="s">
        <v>934</v>
      </c>
      <c r="D352" s="44" t="s">
        <v>889</v>
      </c>
      <c r="E352" s="44" t="s">
        <v>732</v>
      </c>
      <c r="F352" s="36" t="str">
        <f aca="false">IF(LEN(AA352)=0,"",LEFT(AA352,LEN(AA352)-1))</f>
        <v/>
      </c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8"/>
      <c r="T352" s="37"/>
      <c r="U352" s="37"/>
      <c r="V352" s="46"/>
      <c r="W352" s="46"/>
      <c r="X352" s="40"/>
      <c r="Y352" s="41"/>
      <c r="Z352" s="42"/>
      <c r="AA352" s="43" t="str">
        <f aca="false">IF(G352&lt;&gt;"","Poplar|","")&amp;IF(H352&lt;&gt;"","FJ Primed Poplar|","")&amp;IF(I352&lt;&gt;"","FJ Primed Pine|","")&amp;IF(J352&lt;&gt;"","Clear Pine|","")&amp;IF(K352&lt;&gt;"","Primed MDF|","")&amp;IF(L352&lt;&gt;"","White Oak|","")&amp;IF(M352&lt;&gt;"","Red Oak|","")&amp;IF(N352&lt;&gt;"","Hard Maple|","")&amp;IF(O352&lt;&gt;"","Black Walnut|","")&amp;IF(P352&lt;&gt;"","Douglas Fir|","")&amp;IF(Q352&lt;&gt;"","Western Red Cedar|","")&amp;IF(R352&lt;&gt;"","PVC|","")&amp;IF(S352&lt;&gt;"","Flex|","")&amp;IF(T352&lt;&gt;"","Steel|","")&amp;IF(U352&lt;&gt;"","Plastic|","")&amp;IF(V352&lt;&gt;"",V352&amp;"|","")</f>
        <v/>
      </c>
    </row>
    <row r="353" customFormat="false" ht="16.5" hidden="false" customHeight="true" outlineLevel="0" collapsed="false">
      <c r="A353" s="44" t="s">
        <v>982</v>
      </c>
      <c r="B353" s="45" t="s">
        <v>983</v>
      </c>
      <c r="C353" s="44" t="s">
        <v>934</v>
      </c>
      <c r="D353" s="44" t="s">
        <v>889</v>
      </c>
      <c r="E353" s="44" t="s">
        <v>732</v>
      </c>
      <c r="F353" s="36" t="str">
        <f aca="false">IF(LEN(AA353)=0,"",LEFT(AA353,LEN(AA353)-1))</f>
        <v/>
      </c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8"/>
      <c r="T353" s="37"/>
      <c r="U353" s="37"/>
      <c r="V353" s="46"/>
      <c r="W353" s="46"/>
      <c r="X353" s="40"/>
      <c r="Y353" s="41"/>
      <c r="Z353" s="42"/>
      <c r="AA353" s="43" t="str">
        <f aca="false">IF(G353&lt;&gt;"","Poplar|","")&amp;IF(H353&lt;&gt;"","FJ Primed Poplar|","")&amp;IF(I353&lt;&gt;"","FJ Primed Pine|","")&amp;IF(J353&lt;&gt;"","Clear Pine|","")&amp;IF(K353&lt;&gt;"","Primed MDF|","")&amp;IF(L353&lt;&gt;"","White Oak|","")&amp;IF(M353&lt;&gt;"","Red Oak|","")&amp;IF(N353&lt;&gt;"","Hard Maple|","")&amp;IF(O353&lt;&gt;"","Black Walnut|","")&amp;IF(P353&lt;&gt;"","Douglas Fir|","")&amp;IF(Q353&lt;&gt;"","Western Red Cedar|","")&amp;IF(R353&lt;&gt;"","PVC|","")&amp;IF(S353&lt;&gt;"","Flex|","")&amp;IF(T353&lt;&gt;"","Steel|","")&amp;IF(U353&lt;&gt;"","Plastic|","")&amp;IF(V353&lt;&gt;"",V353&amp;"|","")</f>
        <v/>
      </c>
    </row>
    <row r="354" customFormat="false" ht="16.5" hidden="false" customHeight="true" outlineLevel="0" collapsed="false">
      <c r="A354" s="44" t="s">
        <v>984</v>
      </c>
      <c r="B354" s="45" t="s">
        <v>985</v>
      </c>
      <c r="C354" s="44" t="s">
        <v>934</v>
      </c>
      <c r="D354" s="44" t="s">
        <v>889</v>
      </c>
      <c r="E354" s="44" t="s">
        <v>732</v>
      </c>
      <c r="F354" s="36" t="str">
        <f aca="false">IF(LEN(AA354)=0,"",LEFT(AA354,LEN(AA354)-1))</f>
        <v/>
      </c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8"/>
      <c r="T354" s="37"/>
      <c r="U354" s="37"/>
      <c r="V354" s="46"/>
      <c r="W354" s="46"/>
      <c r="X354" s="40"/>
      <c r="Y354" s="41"/>
      <c r="Z354" s="42"/>
      <c r="AA354" s="43" t="str">
        <f aca="false">IF(G354&lt;&gt;"","Poplar|","")&amp;IF(H354&lt;&gt;"","FJ Primed Poplar|","")&amp;IF(I354&lt;&gt;"","FJ Primed Pine|","")&amp;IF(J354&lt;&gt;"","Clear Pine|","")&amp;IF(K354&lt;&gt;"","Primed MDF|","")&amp;IF(L354&lt;&gt;"","White Oak|","")&amp;IF(M354&lt;&gt;"","Red Oak|","")&amp;IF(N354&lt;&gt;"","Hard Maple|","")&amp;IF(O354&lt;&gt;"","Black Walnut|","")&amp;IF(P354&lt;&gt;"","Douglas Fir|","")&amp;IF(Q354&lt;&gt;"","Western Red Cedar|","")&amp;IF(R354&lt;&gt;"","PVC|","")&amp;IF(S354&lt;&gt;"","Flex|","")&amp;IF(T354&lt;&gt;"","Steel|","")&amp;IF(U354&lt;&gt;"","Plastic|","")&amp;IF(V354&lt;&gt;"",V354&amp;"|","")</f>
        <v/>
      </c>
    </row>
    <row r="355" customFormat="false" ht="16.5" hidden="false" customHeight="true" outlineLevel="0" collapsed="false">
      <c r="A355" s="44" t="s">
        <v>986</v>
      </c>
      <c r="B355" s="45" t="s">
        <v>987</v>
      </c>
      <c r="C355" s="44" t="s">
        <v>934</v>
      </c>
      <c r="D355" s="44" t="s">
        <v>889</v>
      </c>
      <c r="E355" s="44" t="s">
        <v>732</v>
      </c>
      <c r="F355" s="36" t="str">
        <f aca="false">IF(LEN(AA355)=0,"",LEFT(AA355,LEN(AA355)-1))</f>
        <v/>
      </c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8"/>
      <c r="T355" s="37"/>
      <c r="U355" s="37"/>
      <c r="V355" s="46"/>
      <c r="W355" s="46"/>
      <c r="X355" s="40"/>
      <c r="Y355" s="41"/>
      <c r="Z355" s="42"/>
      <c r="AA355" s="43" t="str">
        <f aca="false">IF(G355&lt;&gt;"","Poplar|","")&amp;IF(H355&lt;&gt;"","FJ Primed Poplar|","")&amp;IF(I355&lt;&gt;"","FJ Primed Pine|","")&amp;IF(J355&lt;&gt;"","Clear Pine|","")&amp;IF(K355&lt;&gt;"","Primed MDF|","")&amp;IF(L355&lt;&gt;"","White Oak|","")&amp;IF(M355&lt;&gt;"","Red Oak|","")&amp;IF(N355&lt;&gt;"","Hard Maple|","")&amp;IF(O355&lt;&gt;"","Black Walnut|","")&amp;IF(P355&lt;&gt;"","Douglas Fir|","")&amp;IF(Q355&lt;&gt;"","Western Red Cedar|","")&amp;IF(R355&lt;&gt;"","PVC|","")&amp;IF(S355&lt;&gt;"","Flex|","")&amp;IF(T355&lt;&gt;"","Steel|","")&amp;IF(U355&lt;&gt;"","Plastic|","")&amp;IF(V355&lt;&gt;"",V355&amp;"|","")</f>
        <v/>
      </c>
    </row>
    <row r="356" customFormat="false" ht="16.5" hidden="false" customHeight="true" outlineLevel="0" collapsed="false">
      <c r="A356" s="44" t="s">
        <v>988</v>
      </c>
      <c r="B356" s="45" t="s">
        <v>989</v>
      </c>
      <c r="C356" s="44" t="s">
        <v>934</v>
      </c>
      <c r="D356" s="44" t="s">
        <v>889</v>
      </c>
      <c r="E356" s="44" t="s">
        <v>732</v>
      </c>
      <c r="F356" s="36" t="str">
        <f aca="false">IF(LEN(AA356)=0,"",LEFT(AA356,LEN(AA356)-1))</f>
        <v/>
      </c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8"/>
      <c r="T356" s="37"/>
      <c r="U356" s="37"/>
      <c r="V356" s="46"/>
      <c r="W356" s="46"/>
      <c r="X356" s="40"/>
      <c r="Y356" s="41"/>
      <c r="Z356" s="42"/>
      <c r="AA356" s="43" t="str">
        <f aca="false">IF(G356&lt;&gt;"","Poplar|","")&amp;IF(H356&lt;&gt;"","FJ Primed Poplar|","")&amp;IF(I356&lt;&gt;"","FJ Primed Pine|","")&amp;IF(J356&lt;&gt;"","Clear Pine|","")&amp;IF(K356&lt;&gt;"","Primed MDF|","")&amp;IF(L356&lt;&gt;"","White Oak|","")&amp;IF(M356&lt;&gt;"","Red Oak|","")&amp;IF(N356&lt;&gt;"","Hard Maple|","")&amp;IF(O356&lt;&gt;"","Black Walnut|","")&amp;IF(P356&lt;&gt;"","Douglas Fir|","")&amp;IF(Q356&lt;&gt;"","Western Red Cedar|","")&amp;IF(R356&lt;&gt;"","PVC|","")&amp;IF(S356&lt;&gt;"","Flex|","")&amp;IF(T356&lt;&gt;"","Steel|","")&amp;IF(U356&lt;&gt;"","Plastic|","")&amp;IF(V356&lt;&gt;"",V356&amp;"|","")</f>
        <v/>
      </c>
    </row>
    <row r="357" customFormat="false" ht="16.5" hidden="false" customHeight="true" outlineLevel="0" collapsed="false">
      <c r="A357" s="44" t="s">
        <v>990</v>
      </c>
      <c r="B357" s="45" t="s">
        <v>991</v>
      </c>
      <c r="C357" s="44" t="s">
        <v>934</v>
      </c>
      <c r="D357" s="44" t="s">
        <v>889</v>
      </c>
      <c r="E357" s="44" t="s">
        <v>732</v>
      </c>
      <c r="F357" s="36" t="str">
        <f aca="false">IF(LEN(AA357)=0,"",LEFT(AA357,LEN(AA357)-1))</f>
        <v/>
      </c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8"/>
      <c r="T357" s="37"/>
      <c r="U357" s="37"/>
      <c r="V357" s="46"/>
      <c r="W357" s="46"/>
      <c r="X357" s="40"/>
      <c r="Y357" s="41"/>
      <c r="Z357" s="42"/>
      <c r="AA357" s="43" t="str">
        <f aca="false">IF(G357&lt;&gt;"","Poplar|","")&amp;IF(H357&lt;&gt;"","FJ Primed Poplar|","")&amp;IF(I357&lt;&gt;"","FJ Primed Pine|","")&amp;IF(J357&lt;&gt;"","Clear Pine|","")&amp;IF(K357&lt;&gt;"","Primed MDF|","")&amp;IF(L357&lt;&gt;"","White Oak|","")&amp;IF(M357&lt;&gt;"","Red Oak|","")&amp;IF(N357&lt;&gt;"","Hard Maple|","")&amp;IF(O357&lt;&gt;"","Black Walnut|","")&amp;IF(P357&lt;&gt;"","Douglas Fir|","")&amp;IF(Q357&lt;&gt;"","Western Red Cedar|","")&amp;IF(R357&lt;&gt;"","PVC|","")&amp;IF(S357&lt;&gt;"","Flex|","")&amp;IF(T357&lt;&gt;"","Steel|","")&amp;IF(U357&lt;&gt;"","Plastic|","")&amp;IF(V357&lt;&gt;"",V357&amp;"|","")</f>
        <v/>
      </c>
    </row>
    <row r="358" customFormat="false" ht="16.5" hidden="false" customHeight="true" outlineLevel="0" collapsed="false">
      <c r="A358" s="44" t="s">
        <v>992</v>
      </c>
      <c r="B358" s="45" t="s">
        <v>993</v>
      </c>
      <c r="C358" s="44" t="s">
        <v>934</v>
      </c>
      <c r="D358" s="44" t="s">
        <v>889</v>
      </c>
      <c r="E358" s="44" t="s">
        <v>732</v>
      </c>
      <c r="F358" s="36" t="str">
        <f aca="false">IF(LEN(AA358)=0,"",LEFT(AA358,LEN(AA358)-1))</f>
        <v/>
      </c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8"/>
      <c r="T358" s="37"/>
      <c r="U358" s="37"/>
      <c r="V358" s="46"/>
      <c r="W358" s="46"/>
      <c r="X358" s="40"/>
      <c r="Y358" s="41"/>
      <c r="Z358" s="42"/>
      <c r="AA358" s="43" t="str">
        <f aca="false">IF(G358&lt;&gt;"","Poplar|","")&amp;IF(H358&lt;&gt;"","FJ Primed Poplar|","")&amp;IF(I358&lt;&gt;"","FJ Primed Pine|","")&amp;IF(J358&lt;&gt;"","Clear Pine|","")&amp;IF(K358&lt;&gt;"","Primed MDF|","")&amp;IF(L358&lt;&gt;"","White Oak|","")&amp;IF(M358&lt;&gt;"","Red Oak|","")&amp;IF(N358&lt;&gt;"","Hard Maple|","")&amp;IF(O358&lt;&gt;"","Black Walnut|","")&amp;IF(P358&lt;&gt;"","Douglas Fir|","")&amp;IF(Q358&lt;&gt;"","Western Red Cedar|","")&amp;IF(R358&lt;&gt;"","PVC|","")&amp;IF(S358&lt;&gt;"","Flex|","")&amp;IF(T358&lt;&gt;"","Steel|","")&amp;IF(U358&lt;&gt;"","Plastic|","")&amp;IF(V358&lt;&gt;"",V358&amp;"|","")</f>
        <v/>
      </c>
    </row>
    <row r="359" customFormat="false" ht="16.5" hidden="false" customHeight="true" outlineLevel="0" collapsed="false">
      <c r="A359" s="44" t="s">
        <v>994</v>
      </c>
      <c r="B359" s="45" t="s">
        <v>995</v>
      </c>
      <c r="C359" s="44" t="s">
        <v>934</v>
      </c>
      <c r="D359" s="44" t="s">
        <v>889</v>
      </c>
      <c r="E359" s="44" t="s">
        <v>732</v>
      </c>
      <c r="F359" s="36" t="str">
        <f aca="false">IF(LEN(AA359)=0,"",LEFT(AA359,LEN(AA359)-1))</f>
        <v/>
      </c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8"/>
      <c r="T359" s="37"/>
      <c r="U359" s="37"/>
      <c r="V359" s="46"/>
      <c r="W359" s="46"/>
      <c r="X359" s="40"/>
      <c r="Y359" s="41"/>
      <c r="Z359" s="42"/>
      <c r="AA359" s="43" t="str">
        <f aca="false">IF(G359&lt;&gt;"","Poplar|","")&amp;IF(H359&lt;&gt;"","FJ Primed Poplar|","")&amp;IF(I359&lt;&gt;"","FJ Primed Pine|","")&amp;IF(J359&lt;&gt;"","Clear Pine|","")&amp;IF(K359&lt;&gt;"","Primed MDF|","")&amp;IF(L359&lt;&gt;"","White Oak|","")&amp;IF(M359&lt;&gt;"","Red Oak|","")&amp;IF(N359&lt;&gt;"","Hard Maple|","")&amp;IF(O359&lt;&gt;"","Black Walnut|","")&amp;IF(P359&lt;&gt;"","Douglas Fir|","")&amp;IF(Q359&lt;&gt;"","Western Red Cedar|","")&amp;IF(R359&lt;&gt;"","PVC|","")&amp;IF(S359&lt;&gt;"","Flex|","")&amp;IF(T359&lt;&gt;"","Steel|","")&amp;IF(U359&lt;&gt;"","Plastic|","")&amp;IF(V359&lt;&gt;"",V359&amp;"|","")</f>
        <v/>
      </c>
    </row>
    <row r="360" customFormat="false" ht="16.5" hidden="false" customHeight="true" outlineLevel="0" collapsed="false">
      <c r="A360" s="44" t="s">
        <v>996</v>
      </c>
      <c r="B360" s="45" t="s">
        <v>997</v>
      </c>
      <c r="C360" s="44" t="s">
        <v>934</v>
      </c>
      <c r="D360" s="44" t="s">
        <v>889</v>
      </c>
      <c r="E360" s="44" t="s">
        <v>732</v>
      </c>
      <c r="F360" s="36" t="str">
        <f aca="false">IF(LEN(AA360)=0,"",LEFT(AA360,LEN(AA360)-1))</f>
        <v/>
      </c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8"/>
      <c r="T360" s="37"/>
      <c r="U360" s="37"/>
      <c r="V360" s="46"/>
      <c r="W360" s="46"/>
      <c r="X360" s="40"/>
      <c r="Y360" s="41"/>
      <c r="Z360" s="42"/>
      <c r="AA360" s="43" t="str">
        <f aca="false">IF(G360&lt;&gt;"","Poplar|","")&amp;IF(H360&lt;&gt;"","FJ Primed Poplar|","")&amp;IF(I360&lt;&gt;"","FJ Primed Pine|","")&amp;IF(J360&lt;&gt;"","Clear Pine|","")&amp;IF(K360&lt;&gt;"","Primed MDF|","")&amp;IF(L360&lt;&gt;"","White Oak|","")&amp;IF(M360&lt;&gt;"","Red Oak|","")&amp;IF(N360&lt;&gt;"","Hard Maple|","")&amp;IF(O360&lt;&gt;"","Black Walnut|","")&amp;IF(P360&lt;&gt;"","Douglas Fir|","")&amp;IF(Q360&lt;&gt;"","Western Red Cedar|","")&amp;IF(R360&lt;&gt;"","PVC|","")&amp;IF(S360&lt;&gt;"","Flex|","")&amp;IF(T360&lt;&gt;"","Steel|","")&amp;IF(U360&lt;&gt;"","Plastic|","")&amp;IF(V360&lt;&gt;"",V360&amp;"|","")</f>
        <v/>
      </c>
    </row>
    <row r="361" customFormat="false" ht="16.5" hidden="false" customHeight="true" outlineLevel="0" collapsed="false">
      <c r="A361" s="44" t="s">
        <v>998</v>
      </c>
      <c r="B361" s="45" t="s">
        <v>999</v>
      </c>
      <c r="C361" s="44" t="s">
        <v>934</v>
      </c>
      <c r="D361" s="44" t="s">
        <v>889</v>
      </c>
      <c r="E361" s="44" t="s">
        <v>732</v>
      </c>
      <c r="F361" s="36" t="str">
        <f aca="false">IF(LEN(AA361)=0,"",LEFT(AA361,LEN(AA361)-1))</f>
        <v/>
      </c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8"/>
      <c r="T361" s="37"/>
      <c r="U361" s="37"/>
      <c r="V361" s="46"/>
      <c r="W361" s="46"/>
      <c r="X361" s="40"/>
      <c r="Y361" s="41"/>
      <c r="Z361" s="42"/>
      <c r="AA361" s="43" t="str">
        <f aca="false">IF(G361&lt;&gt;"","Poplar|","")&amp;IF(H361&lt;&gt;"","FJ Primed Poplar|","")&amp;IF(I361&lt;&gt;"","FJ Primed Pine|","")&amp;IF(J361&lt;&gt;"","Clear Pine|","")&amp;IF(K361&lt;&gt;"","Primed MDF|","")&amp;IF(L361&lt;&gt;"","White Oak|","")&amp;IF(M361&lt;&gt;"","Red Oak|","")&amp;IF(N361&lt;&gt;"","Hard Maple|","")&amp;IF(O361&lt;&gt;"","Black Walnut|","")&amp;IF(P361&lt;&gt;"","Douglas Fir|","")&amp;IF(Q361&lt;&gt;"","Western Red Cedar|","")&amp;IF(R361&lt;&gt;"","PVC|","")&amp;IF(S361&lt;&gt;"","Flex|","")&amp;IF(T361&lt;&gt;"","Steel|","")&amp;IF(U361&lt;&gt;"","Plastic|","")&amp;IF(V361&lt;&gt;"",V361&amp;"|","")</f>
        <v/>
      </c>
    </row>
    <row r="362" customFormat="false" ht="16.5" hidden="false" customHeight="true" outlineLevel="0" collapsed="false">
      <c r="A362" s="44" t="s">
        <v>1000</v>
      </c>
      <c r="B362" s="45" t="s">
        <v>1001</v>
      </c>
      <c r="C362" s="44" t="s">
        <v>934</v>
      </c>
      <c r="D362" s="44" t="s">
        <v>889</v>
      </c>
      <c r="E362" s="44" t="s">
        <v>732</v>
      </c>
      <c r="F362" s="36" t="str">
        <f aca="false">IF(LEN(AA362)=0,"",LEFT(AA362,LEN(AA362)-1))</f>
        <v/>
      </c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8"/>
      <c r="T362" s="37"/>
      <c r="U362" s="37"/>
      <c r="V362" s="46"/>
      <c r="W362" s="46"/>
      <c r="X362" s="40"/>
      <c r="Y362" s="41"/>
      <c r="Z362" s="42"/>
      <c r="AA362" s="43" t="str">
        <f aca="false">IF(G362&lt;&gt;"","Poplar|","")&amp;IF(H362&lt;&gt;"","FJ Primed Poplar|","")&amp;IF(I362&lt;&gt;"","FJ Primed Pine|","")&amp;IF(J362&lt;&gt;"","Clear Pine|","")&amp;IF(K362&lt;&gt;"","Primed MDF|","")&amp;IF(L362&lt;&gt;"","White Oak|","")&amp;IF(M362&lt;&gt;"","Red Oak|","")&amp;IF(N362&lt;&gt;"","Hard Maple|","")&amp;IF(O362&lt;&gt;"","Black Walnut|","")&amp;IF(P362&lt;&gt;"","Douglas Fir|","")&amp;IF(Q362&lt;&gt;"","Western Red Cedar|","")&amp;IF(R362&lt;&gt;"","PVC|","")&amp;IF(S362&lt;&gt;"","Flex|","")&amp;IF(T362&lt;&gt;"","Steel|","")&amp;IF(U362&lt;&gt;"","Plastic|","")&amp;IF(V362&lt;&gt;"",V362&amp;"|","")</f>
        <v/>
      </c>
    </row>
    <row r="363" customFormat="false" ht="16.5" hidden="false" customHeight="true" outlineLevel="0" collapsed="false">
      <c r="A363" s="44" t="s">
        <v>1002</v>
      </c>
      <c r="B363" s="45" t="s">
        <v>1003</v>
      </c>
      <c r="C363" s="44" t="s">
        <v>934</v>
      </c>
      <c r="D363" s="44" t="s">
        <v>889</v>
      </c>
      <c r="E363" s="44" t="s">
        <v>732</v>
      </c>
      <c r="F363" s="36" t="str">
        <f aca="false">IF(LEN(AA363)=0,"",LEFT(AA363,LEN(AA363)-1))</f>
        <v/>
      </c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8"/>
      <c r="T363" s="37"/>
      <c r="U363" s="37"/>
      <c r="V363" s="46"/>
      <c r="W363" s="46"/>
      <c r="X363" s="40"/>
      <c r="Y363" s="41"/>
      <c r="Z363" s="42"/>
      <c r="AA363" s="43" t="str">
        <f aca="false">IF(G363&lt;&gt;"","Poplar|","")&amp;IF(H363&lt;&gt;"","FJ Primed Poplar|","")&amp;IF(I363&lt;&gt;"","FJ Primed Pine|","")&amp;IF(J363&lt;&gt;"","Clear Pine|","")&amp;IF(K363&lt;&gt;"","Primed MDF|","")&amp;IF(L363&lt;&gt;"","White Oak|","")&amp;IF(M363&lt;&gt;"","Red Oak|","")&amp;IF(N363&lt;&gt;"","Hard Maple|","")&amp;IF(O363&lt;&gt;"","Black Walnut|","")&amp;IF(P363&lt;&gt;"","Douglas Fir|","")&amp;IF(Q363&lt;&gt;"","Western Red Cedar|","")&amp;IF(R363&lt;&gt;"","PVC|","")&amp;IF(S363&lt;&gt;"","Flex|","")&amp;IF(T363&lt;&gt;"","Steel|","")&amp;IF(U363&lt;&gt;"","Plastic|","")&amp;IF(V363&lt;&gt;"",V363&amp;"|","")</f>
        <v/>
      </c>
    </row>
    <row r="364" customFormat="false" ht="16.5" hidden="false" customHeight="true" outlineLevel="0" collapsed="false">
      <c r="A364" s="44" t="s">
        <v>1004</v>
      </c>
      <c r="B364" s="45" t="s">
        <v>1005</v>
      </c>
      <c r="C364" s="44" t="s">
        <v>934</v>
      </c>
      <c r="D364" s="44" t="s">
        <v>889</v>
      </c>
      <c r="E364" s="44" t="s">
        <v>732</v>
      </c>
      <c r="F364" s="36" t="str">
        <f aca="false">IF(LEN(AA364)=0,"",LEFT(AA364,LEN(AA364)-1))</f>
        <v/>
      </c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8"/>
      <c r="T364" s="37"/>
      <c r="U364" s="37"/>
      <c r="V364" s="46"/>
      <c r="W364" s="46"/>
      <c r="X364" s="40"/>
      <c r="Y364" s="41"/>
      <c r="Z364" s="42"/>
      <c r="AA364" s="43" t="str">
        <f aca="false">IF(G364&lt;&gt;"","Poplar|","")&amp;IF(H364&lt;&gt;"","FJ Primed Poplar|","")&amp;IF(I364&lt;&gt;"","FJ Primed Pine|","")&amp;IF(J364&lt;&gt;"","Clear Pine|","")&amp;IF(K364&lt;&gt;"","Primed MDF|","")&amp;IF(L364&lt;&gt;"","White Oak|","")&amp;IF(M364&lt;&gt;"","Red Oak|","")&amp;IF(N364&lt;&gt;"","Hard Maple|","")&amp;IF(O364&lt;&gt;"","Black Walnut|","")&amp;IF(P364&lt;&gt;"","Douglas Fir|","")&amp;IF(Q364&lt;&gt;"","Western Red Cedar|","")&amp;IF(R364&lt;&gt;"","PVC|","")&amp;IF(S364&lt;&gt;"","Flex|","")&amp;IF(T364&lt;&gt;"","Steel|","")&amp;IF(U364&lt;&gt;"","Plastic|","")&amp;IF(V364&lt;&gt;"",V364&amp;"|","")</f>
        <v/>
      </c>
    </row>
    <row r="365" customFormat="false" ht="16.5" hidden="false" customHeight="true" outlineLevel="0" collapsed="false">
      <c r="A365" s="44" t="s">
        <v>1006</v>
      </c>
      <c r="B365" s="45" t="s">
        <v>1007</v>
      </c>
      <c r="C365" s="44" t="s">
        <v>934</v>
      </c>
      <c r="D365" s="44" t="s">
        <v>889</v>
      </c>
      <c r="E365" s="44" t="s">
        <v>732</v>
      </c>
      <c r="F365" s="36" t="str">
        <f aca="false">IF(LEN(AA365)=0,"",LEFT(AA365,LEN(AA365)-1))</f>
        <v/>
      </c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8"/>
      <c r="T365" s="37"/>
      <c r="U365" s="37"/>
      <c r="V365" s="46"/>
      <c r="W365" s="46"/>
      <c r="X365" s="40"/>
      <c r="Y365" s="41"/>
      <c r="Z365" s="42"/>
      <c r="AA365" s="43" t="str">
        <f aca="false">IF(G365&lt;&gt;"","Poplar|","")&amp;IF(H365&lt;&gt;"","FJ Primed Poplar|","")&amp;IF(I365&lt;&gt;"","FJ Primed Pine|","")&amp;IF(J365&lt;&gt;"","Clear Pine|","")&amp;IF(K365&lt;&gt;"","Primed MDF|","")&amp;IF(L365&lt;&gt;"","White Oak|","")&amp;IF(M365&lt;&gt;"","Red Oak|","")&amp;IF(N365&lt;&gt;"","Hard Maple|","")&amp;IF(O365&lt;&gt;"","Black Walnut|","")&amp;IF(P365&lt;&gt;"","Douglas Fir|","")&amp;IF(Q365&lt;&gt;"","Western Red Cedar|","")&amp;IF(R365&lt;&gt;"","PVC|","")&amp;IF(S365&lt;&gt;"","Flex|","")&amp;IF(T365&lt;&gt;"","Steel|","")&amp;IF(U365&lt;&gt;"","Plastic|","")&amp;IF(V365&lt;&gt;"",V365&amp;"|","")</f>
        <v/>
      </c>
    </row>
    <row r="366" customFormat="false" ht="16.5" hidden="false" customHeight="true" outlineLevel="0" collapsed="false">
      <c r="A366" s="44" t="s">
        <v>1008</v>
      </c>
      <c r="B366" s="45" t="s">
        <v>1009</v>
      </c>
      <c r="C366" s="44" t="s">
        <v>934</v>
      </c>
      <c r="D366" s="44" t="s">
        <v>889</v>
      </c>
      <c r="E366" s="44" t="s">
        <v>732</v>
      </c>
      <c r="F366" s="36" t="str">
        <f aca="false">IF(LEN(AA366)=0,"",LEFT(AA366,LEN(AA366)-1))</f>
        <v/>
      </c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8"/>
      <c r="T366" s="37"/>
      <c r="U366" s="37"/>
      <c r="V366" s="46"/>
      <c r="W366" s="46"/>
      <c r="X366" s="40"/>
      <c r="Y366" s="41"/>
      <c r="Z366" s="42"/>
      <c r="AA366" s="43" t="str">
        <f aca="false">IF(G366&lt;&gt;"","Poplar|","")&amp;IF(H366&lt;&gt;"","FJ Primed Poplar|","")&amp;IF(I366&lt;&gt;"","FJ Primed Pine|","")&amp;IF(J366&lt;&gt;"","Clear Pine|","")&amp;IF(K366&lt;&gt;"","Primed MDF|","")&amp;IF(L366&lt;&gt;"","White Oak|","")&amp;IF(M366&lt;&gt;"","Red Oak|","")&amp;IF(N366&lt;&gt;"","Hard Maple|","")&amp;IF(O366&lt;&gt;"","Black Walnut|","")&amp;IF(P366&lt;&gt;"","Douglas Fir|","")&amp;IF(Q366&lt;&gt;"","Western Red Cedar|","")&amp;IF(R366&lt;&gt;"","PVC|","")&amp;IF(S366&lt;&gt;"","Flex|","")&amp;IF(T366&lt;&gt;"","Steel|","")&amp;IF(U366&lt;&gt;"","Plastic|","")&amp;IF(V366&lt;&gt;"",V366&amp;"|","")</f>
        <v/>
      </c>
    </row>
    <row r="367" customFormat="false" ht="16.5" hidden="false" customHeight="true" outlineLevel="0" collapsed="false">
      <c r="A367" s="44" t="s">
        <v>1010</v>
      </c>
      <c r="B367" s="45" t="s">
        <v>1011</v>
      </c>
      <c r="C367" s="44" t="s">
        <v>934</v>
      </c>
      <c r="D367" s="44" t="s">
        <v>889</v>
      </c>
      <c r="E367" s="44" t="s">
        <v>732</v>
      </c>
      <c r="F367" s="36" t="str">
        <f aca="false">IF(LEN(AA367)=0,"",LEFT(AA367,LEN(AA367)-1))</f>
        <v/>
      </c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8"/>
      <c r="T367" s="37"/>
      <c r="U367" s="37"/>
      <c r="V367" s="46"/>
      <c r="W367" s="46"/>
      <c r="X367" s="40"/>
      <c r="Y367" s="41"/>
      <c r="Z367" s="42"/>
      <c r="AA367" s="43" t="str">
        <f aca="false">IF(G367&lt;&gt;"","Poplar|","")&amp;IF(H367&lt;&gt;"","FJ Primed Poplar|","")&amp;IF(I367&lt;&gt;"","FJ Primed Pine|","")&amp;IF(J367&lt;&gt;"","Clear Pine|","")&amp;IF(K367&lt;&gt;"","Primed MDF|","")&amp;IF(L367&lt;&gt;"","White Oak|","")&amp;IF(M367&lt;&gt;"","Red Oak|","")&amp;IF(N367&lt;&gt;"","Hard Maple|","")&amp;IF(O367&lt;&gt;"","Black Walnut|","")&amp;IF(P367&lt;&gt;"","Douglas Fir|","")&amp;IF(Q367&lt;&gt;"","Western Red Cedar|","")&amp;IF(R367&lt;&gt;"","PVC|","")&amp;IF(S367&lt;&gt;"","Flex|","")&amp;IF(T367&lt;&gt;"","Steel|","")&amp;IF(U367&lt;&gt;"","Plastic|","")&amp;IF(V367&lt;&gt;"",V367&amp;"|","")</f>
        <v/>
      </c>
    </row>
    <row r="368" customFormat="false" ht="16.5" hidden="false" customHeight="true" outlineLevel="0" collapsed="false">
      <c r="A368" s="44" t="s">
        <v>1012</v>
      </c>
      <c r="B368" s="45" t="s">
        <v>1013</v>
      </c>
      <c r="C368" s="44" t="s">
        <v>934</v>
      </c>
      <c r="D368" s="44" t="s">
        <v>889</v>
      </c>
      <c r="E368" s="44" t="s">
        <v>732</v>
      </c>
      <c r="F368" s="36" t="str">
        <f aca="false">IF(LEN(AA368)=0,"",LEFT(AA368,LEN(AA368)-1))</f>
        <v/>
      </c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8"/>
      <c r="T368" s="37"/>
      <c r="U368" s="37"/>
      <c r="V368" s="46"/>
      <c r="W368" s="46"/>
      <c r="X368" s="40"/>
      <c r="Y368" s="41"/>
      <c r="Z368" s="42"/>
      <c r="AA368" s="43" t="str">
        <f aca="false">IF(G368&lt;&gt;"","Poplar|","")&amp;IF(H368&lt;&gt;"","FJ Primed Poplar|","")&amp;IF(I368&lt;&gt;"","FJ Primed Pine|","")&amp;IF(J368&lt;&gt;"","Clear Pine|","")&amp;IF(K368&lt;&gt;"","Primed MDF|","")&amp;IF(L368&lt;&gt;"","White Oak|","")&amp;IF(M368&lt;&gt;"","Red Oak|","")&amp;IF(N368&lt;&gt;"","Hard Maple|","")&amp;IF(O368&lt;&gt;"","Black Walnut|","")&amp;IF(P368&lt;&gt;"","Douglas Fir|","")&amp;IF(Q368&lt;&gt;"","Western Red Cedar|","")&amp;IF(R368&lt;&gt;"","PVC|","")&amp;IF(S368&lt;&gt;"","Flex|","")&amp;IF(T368&lt;&gt;"","Steel|","")&amp;IF(U368&lt;&gt;"","Plastic|","")&amp;IF(V368&lt;&gt;"",V368&amp;"|","")</f>
        <v/>
      </c>
    </row>
    <row r="369" customFormat="false" ht="16.5" hidden="false" customHeight="true" outlineLevel="0" collapsed="false">
      <c r="A369" s="44" t="s">
        <v>1014</v>
      </c>
      <c r="B369" s="45" t="s">
        <v>1015</v>
      </c>
      <c r="C369" s="44" t="s">
        <v>934</v>
      </c>
      <c r="D369" s="44" t="s">
        <v>889</v>
      </c>
      <c r="E369" s="44" t="s">
        <v>732</v>
      </c>
      <c r="F369" s="36" t="str">
        <f aca="false">IF(LEN(AA369)=0,"",LEFT(AA369,LEN(AA369)-1))</f>
        <v/>
      </c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8"/>
      <c r="T369" s="37"/>
      <c r="U369" s="37"/>
      <c r="V369" s="46"/>
      <c r="W369" s="46"/>
      <c r="X369" s="40"/>
      <c r="Y369" s="41"/>
      <c r="Z369" s="42"/>
      <c r="AA369" s="43" t="str">
        <f aca="false">IF(G369&lt;&gt;"","Poplar|","")&amp;IF(H369&lt;&gt;"","FJ Primed Poplar|","")&amp;IF(I369&lt;&gt;"","FJ Primed Pine|","")&amp;IF(J369&lt;&gt;"","Clear Pine|","")&amp;IF(K369&lt;&gt;"","Primed MDF|","")&amp;IF(L369&lt;&gt;"","White Oak|","")&amp;IF(M369&lt;&gt;"","Red Oak|","")&amp;IF(N369&lt;&gt;"","Hard Maple|","")&amp;IF(O369&lt;&gt;"","Black Walnut|","")&amp;IF(P369&lt;&gt;"","Douglas Fir|","")&amp;IF(Q369&lt;&gt;"","Western Red Cedar|","")&amp;IF(R369&lt;&gt;"","PVC|","")&amp;IF(S369&lt;&gt;"","Flex|","")&amp;IF(T369&lt;&gt;"","Steel|","")&amp;IF(U369&lt;&gt;"","Plastic|","")&amp;IF(V369&lt;&gt;"",V369&amp;"|","")</f>
        <v/>
      </c>
    </row>
    <row r="370" customFormat="false" ht="16.5" hidden="false" customHeight="true" outlineLevel="0" collapsed="false">
      <c r="A370" s="44" t="s">
        <v>1016</v>
      </c>
      <c r="B370" s="45" t="s">
        <v>1017</v>
      </c>
      <c r="C370" s="44" t="s">
        <v>934</v>
      </c>
      <c r="D370" s="44" t="s">
        <v>889</v>
      </c>
      <c r="E370" s="44" t="s">
        <v>732</v>
      </c>
      <c r="F370" s="36" t="str">
        <f aca="false">IF(LEN(AA370)=0,"",LEFT(AA370,LEN(AA370)-1))</f>
        <v/>
      </c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8"/>
      <c r="T370" s="37"/>
      <c r="U370" s="37"/>
      <c r="V370" s="46"/>
      <c r="W370" s="46"/>
      <c r="X370" s="40"/>
      <c r="Y370" s="41"/>
      <c r="Z370" s="42"/>
      <c r="AA370" s="43" t="str">
        <f aca="false">IF(G370&lt;&gt;"","Poplar|","")&amp;IF(H370&lt;&gt;"","FJ Primed Poplar|","")&amp;IF(I370&lt;&gt;"","FJ Primed Pine|","")&amp;IF(J370&lt;&gt;"","Clear Pine|","")&amp;IF(K370&lt;&gt;"","Primed MDF|","")&amp;IF(L370&lt;&gt;"","White Oak|","")&amp;IF(M370&lt;&gt;"","Red Oak|","")&amp;IF(N370&lt;&gt;"","Hard Maple|","")&amp;IF(O370&lt;&gt;"","Black Walnut|","")&amp;IF(P370&lt;&gt;"","Douglas Fir|","")&amp;IF(Q370&lt;&gt;"","Western Red Cedar|","")&amp;IF(R370&lt;&gt;"","PVC|","")&amp;IF(S370&lt;&gt;"","Flex|","")&amp;IF(T370&lt;&gt;"","Steel|","")&amp;IF(U370&lt;&gt;"","Plastic|","")&amp;IF(V370&lt;&gt;"",V370&amp;"|","")</f>
        <v/>
      </c>
    </row>
    <row r="371" customFormat="false" ht="16.5" hidden="false" customHeight="true" outlineLevel="0" collapsed="false">
      <c r="A371" s="44" t="s">
        <v>1018</v>
      </c>
      <c r="B371" s="45" t="s">
        <v>1019</v>
      </c>
      <c r="C371" s="44" t="s">
        <v>934</v>
      </c>
      <c r="D371" s="44" t="s">
        <v>889</v>
      </c>
      <c r="E371" s="44" t="s">
        <v>732</v>
      </c>
      <c r="F371" s="36" t="str">
        <f aca="false">IF(LEN(AA371)=0,"",LEFT(AA371,LEN(AA371)-1))</f>
        <v/>
      </c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8"/>
      <c r="T371" s="37"/>
      <c r="U371" s="37"/>
      <c r="V371" s="46"/>
      <c r="W371" s="46"/>
      <c r="X371" s="40"/>
      <c r="Y371" s="41"/>
      <c r="Z371" s="42"/>
      <c r="AA371" s="43" t="str">
        <f aca="false">IF(G371&lt;&gt;"","Poplar|","")&amp;IF(H371&lt;&gt;"","FJ Primed Poplar|","")&amp;IF(I371&lt;&gt;"","FJ Primed Pine|","")&amp;IF(J371&lt;&gt;"","Clear Pine|","")&amp;IF(K371&lt;&gt;"","Primed MDF|","")&amp;IF(L371&lt;&gt;"","White Oak|","")&amp;IF(M371&lt;&gt;"","Red Oak|","")&amp;IF(N371&lt;&gt;"","Hard Maple|","")&amp;IF(O371&lt;&gt;"","Black Walnut|","")&amp;IF(P371&lt;&gt;"","Douglas Fir|","")&amp;IF(Q371&lt;&gt;"","Western Red Cedar|","")&amp;IF(R371&lt;&gt;"","PVC|","")&amp;IF(S371&lt;&gt;"","Flex|","")&amp;IF(T371&lt;&gt;"","Steel|","")&amp;IF(U371&lt;&gt;"","Plastic|","")&amp;IF(V371&lt;&gt;"",V371&amp;"|","")</f>
        <v/>
      </c>
    </row>
    <row r="372" customFormat="false" ht="16.5" hidden="false" customHeight="true" outlineLevel="0" collapsed="false">
      <c r="A372" s="44" t="s">
        <v>1020</v>
      </c>
      <c r="B372" s="45" t="s">
        <v>1021</v>
      </c>
      <c r="C372" s="44" t="s">
        <v>934</v>
      </c>
      <c r="D372" s="44" t="s">
        <v>889</v>
      </c>
      <c r="E372" s="44" t="s">
        <v>732</v>
      </c>
      <c r="F372" s="36" t="str">
        <f aca="false">IF(LEN(AA372)=0,"",LEFT(AA372,LEN(AA372)-1))</f>
        <v/>
      </c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8"/>
      <c r="T372" s="37"/>
      <c r="U372" s="37"/>
      <c r="V372" s="46"/>
      <c r="W372" s="46"/>
      <c r="X372" s="40"/>
      <c r="Y372" s="41"/>
      <c r="Z372" s="42"/>
      <c r="AA372" s="43" t="str">
        <f aca="false">IF(G372&lt;&gt;"","Poplar|","")&amp;IF(H372&lt;&gt;"","FJ Primed Poplar|","")&amp;IF(I372&lt;&gt;"","FJ Primed Pine|","")&amp;IF(J372&lt;&gt;"","Clear Pine|","")&amp;IF(K372&lt;&gt;"","Primed MDF|","")&amp;IF(L372&lt;&gt;"","White Oak|","")&amp;IF(M372&lt;&gt;"","Red Oak|","")&amp;IF(N372&lt;&gt;"","Hard Maple|","")&amp;IF(O372&lt;&gt;"","Black Walnut|","")&amp;IF(P372&lt;&gt;"","Douglas Fir|","")&amp;IF(Q372&lt;&gt;"","Western Red Cedar|","")&amp;IF(R372&lt;&gt;"","PVC|","")&amp;IF(S372&lt;&gt;"","Flex|","")&amp;IF(T372&lt;&gt;"","Steel|","")&amp;IF(U372&lt;&gt;"","Plastic|","")&amp;IF(V372&lt;&gt;"",V372&amp;"|","")</f>
        <v/>
      </c>
    </row>
    <row r="373" customFormat="false" ht="16.5" hidden="false" customHeight="true" outlineLevel="0" collapsed="false">
      <c r="A373" s="44" t="s">
        <v>1022</v>
      </c>
      <c r="B373" s="45" t="s">
        <v>1023</v>
      </c>
      <c r="C373" s="44" t="s">
        <v>934</v>
      </c>
      <c r="D373" s="44" t="s">
        <v>889</v>
      </c>
      <c r="E373" s="44" t="s">
        <v>732</v>
      </c>
      <c r="F373" s="36" t="str">
        <f aca="false">IF(LEN(AA373)=0,"",LEFT(AA373,LEN(AA373)-1))</f>
        <v/>
      </c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8"/>
      <c r="T373" s="37"/>
      <c r="U373" s="37"/>
      <c r="V373" s="46"/>
      <c r="W373" s="46"/>
      <c r="X373" s="40"/>
      <c r="Y373" s="41"/>
      <c r="Z373" s="42"/>
      <c r="AA373" s="43" t="str">
        <f aca="false">IF(G373&lt;&gt;"","Poplar|","")&amp;IF(H373&lt;&gt;"","FJ Primed Poplar|","")&amp;IF(I373&lt;&gt;"","FJ Primed Pine|","")&amp;IF(J373&lt;&gt;"","Clear Pine|","")&amp;IF(K373&lt;&gt;"","Primed MDF|","")&amp;IF(L373&lt;&gt;"","White Oak|","")&amp;IF(M373&lt;&gt;"","Red Oak|","")&amp;IF(N373&lt;&gt;"","Hard Maple|","")&amp;IF(O373&lt;&gt;"","Black Walnut|","")&amp;IF(P373&lt;&gt;"","Douglas Fir|","")&amp;IF(Q373&lt;&gt;"","Western Red Cedar|","")&amp;IF(R373&lt;&gt;"","PVC|","")&amp;IF(S373&lt;&gt;"","Flex|","")&amp;IF(T373&lt;&gt;"","Steel|","")&amp;IF(U373&lt;&gt;"","Plastic|","")&amp;IF(V373&lt;&gt;"",V373&amp;"|","")</f>
        <v/>
      </c>
    </row>
    <row r="374" customFormat="false" ht="16.5" hidden="false" customHeight="true" outlineLevel="0" collapsed="false">
      <c r="A374" s="44" t="s">
        <v>1024</v>
      </c>
      <c r="B374" s="45" t="s">
        <v>1025</v>
      </c>
      <c r="C374" s="44" t="s">
        <v>934</v>
      </c>
      <c r="D374" s="44" t="s">
        <v>889</v>
      </c>
      <c r="E374" s="44" t="s">
        <v>732</v>
      </c>
      <c r="F374" s="36" t="str">
        <f aca="false">IF(LEN(AA374)=0,"",LEFT(AA374,LEN(AA374)-1))</f>
        <v/>
      </c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8"/>
      <c r="T374" s="37"/>
      <c r="U374" s="37"/>
      <c r="V374" s="46"/>
      <c r="W374" s="46"/>
      <c r="X374" s="40"/>
      <c r="Y374" s="41"/>
      <c r="Z374" s="42"/>
      <c r="AA374" s="43" t="str">
        <f aca="false">IF(G374&lt;&gt;"","Poplar|","")&amp;IF(H374&lt;&gt;"","FJ Primed Poplar|","")&amp;IF(I374&lt;&gt;"","FJ Primed Pine|","")&amp;IF(J374&lt;&gt;"","Clear Pine|","")&amp;IF(K374&lt;&gt;"","Primed MDF|","")&amp;IF(L374&lt;&gt;"","White Oak|","")&amp;IF(M374&lt;&gt;"","Red Oak|","")&amp;IF(N374&lt;&gt;"","Hard Maple|","")&amp;IF(O374&lt;&gt;"","Black Walnut|","")&amp;IF(P374&lt;&gt;"","Douglas Fir|","")&amp;IF(Q374&lt;&gt;"","Western Red Cedar|","")&amp;IF(R374&lt;&gt;"","PVC|","")&amp;IF(S374&lt;&gt;"","Flex|","")&amp;IF(T374&lt;&gt;"","Steel|","")&amp;IF(U374&lt;&gt;"","Plastic|","")&amp;IF(V374&lt;&gt;"",V374&amp;"|","")</f>
        <v/>
      </c>
    </row>
    <row r="375" customFormat="false" ht="16.5" hidden="false" customHeight="true" outlineLevel="0" collapsed="false">
      <c r="A375" s="44" t="s">
        <v>1026</v>
      </c>
      <c r="B375" s="45" t="s">
        <v>1027</v>
      </c>
      <c r="C375" s="44" t="s">
        <v>934</v>
      </c>
      <c r="D375" s="44" t="s">
        <v>889</v>
      </c>
      <c r="E375" s="44" t="s">
        <v>732</v>
      </c>
      <c r="F375" s="36" t="str">
        <f aca="false">IF(LEN(AA375)=0,"",LEFT(AA375,LEN(AA375)-1))</f>
        <v/>
      </c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8"/>
      <c r="T375" s="37"/>
      <c r="U375" s="37"/>
      <c r="V375" s="46"/>
      <c r="W375" s="46"/>
      <c r="X375" s="40"/>
      <c r="Y375" s="41"/>
      <c r="Z375" s="42"/>
      <c r="AA375" s="43" t="str">
        <f aca="false">IF(G375&lt;&gt;"","Poplar|","")&amp;IF(H375&lt;&gt;"","FJ Primed Poplar|","")&amp;IF(I375&lt;&gt;"","FJ Primed Pine|","")&amp;IF(J375&lt;&gt;"","Clear Pine|","")&amp;IF(K375&lt;&gt;"","Primed MDF|","")&amp;IF(L375&lt;&gt;"","White Oak|","")&amp;IF(M375&lt;&gt;"","Red Oak|","")&amp;IF(N375&lt;&gt;"","Hard Maple|","")&amp;IF(O375&lt;&gt;"","Black Walnut|","")&amp;IF(P375&lt;&gt;"","Douglas Fir|","")&amp;IF(Q375&lt;&gt;"","Western Red Cedar|","")&amp;IF(R375&lt;&gt;"","PVC|","")&amp;IF(S375&lt;&gt;"","Flex|","")&amp;IF(T375&lt;&gt;"","Steel|","")&amp;IF(U375&lt;&gt;"","Plastic|","")&amp;IF(V375&lt;&gt;"",V375&amp;"|","")</f>
        <v/>
      </c>
    </row>
    <row r="376" customFormat="false" ht="16.5" hidden="false" customHeight="true" outlineLevel="0" collapsed="false">
      <c r="A376" s="44" t="s">
        <v>1028</v>
      </c>
      <c r="B376" s="45" t="s">
        <v>1029</v>
      </c>
      <c r="C376" s="44" t="s">
        <v>934</v>
      </c>
      <c r="D376" s="44" t="s">
        <v>889</v>
      </c>
      <c r="E376" s="44" t="s">
        <v>732</v>
      </c>
      <c r="F376" s="36" t="str">
        <f aca="false">IF(LEN(AA376)=0,"",LEFT(AA376,LEN(AA376)-1))</f>
        <v/>
      </c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8"/>
      <c r="T376" s="37"/>
      <c r="U376" s="37"/>
      <c r="V376" s="46"/>
      <c r="W376" s="46"/>
      <c r="X376" s="40"/>
      <c r="Y376" s="41"/>
      <c r="Z376" s="42"/>
      <c r="AA376" s="43" t="str">
        <f aca="false">IF(G376&lt;&gt;"","Poplar|","")&amp;IF(H376&lt;&gt;"","FJ Primed Poplar|","")&amp;IF(I376&lt;&gt;"","FJ Primed Pine|","")&amp;IF(J376&lt;&gt;"","Clear Pine|","")&amp;IF(K376&lt;&gt;"","Primed MDF|","")&amp;IF(L376&lt;&gt;"","White Oak|","")&amp;IF(M376&lt;&gt;"","Red Oak|","")&amp;IF(N376&lt;&gt;"","Hard Maple|","")&amp;IF(O376&lt;&gt;"","Black Walnut|","")&amp;IF(P376&lt;&gt;"","Douglas Fir|","")&amp;IF(Q376&lt;&gt;"","Western Red Cedar|","")&amp;IF(R376&lt;&gt;"","PVC|","")&amp;IF(S376&lt;&gt;"","Flex|","")&amp;IF(T376&lt;&gt;"","Steel|","")&amp;IF(U376&lt;&gt;"","Plastic|","")&amp;IF(V376&lt;&gt;"",V376&amp;"|","")</f>
        <v/>
      </c>
    </row>
    <row r="377" customFormat="false" ht="16.5" hidden="false" customHeight="true" outlineLevel="0" collapsed="false">
      <c r="A377" s="44" t="s">
        <v>1030</v>
      </c>
      <c r="B377" s="45" t="s">
        <v>1031</v>
      </c>
      <c r="C377" s="44" t="s">
        <v>934</v>
      </c>
      <c r="D377" s="44" t="s">
        <v>889</v>
      </c>
      <c r="E377" s="44" t="s">
        <v>732</v>
      </c>
      <c r="F377" s="36" t="str">
        <f aca="false">IF(LEN(AA377)=0,"",LEFT(AA377,LEN(AA377)-1))</f>
        <v/>
      </c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8"/>
      <c r="T377" s="37"/>
      <c r="U377" s="37"/>
      <c r="V377" s="46"/>
      <c r="W377" s="46"/>
      <c r="X377" s="40"/>
      <c r="Y377" s="41"/>
      <c r="Z377" s="42"/>
      <c r="AA377" s="43" t="str">
        <f aca="false">IF(G377&lt;&gt;"","Poplar|","")&amp;IF(H377&lt;&gt;"","FJ Primed Poplar|","")&amp;IF(I377&lt;&gt;"","FJ Primed Pine|","")&amp;IF(J377&lt;&gt;"","Clear Pine|","")&amp;IF(K377&lt;&gt;"","Primed MDF|","")&amp;IF(L377&lt;&gt;"","White Oak|","")&amp;IF(M377&lt;&gt;"","Red Oak|","")&amp;IF(N377&lt;&gt;"","Hard Maple|","")&amp;IF(O377&lt;&gt;"","Black Walnut|","")&amp;IF(P377&lt;&gt;"","Douglas Fir|","")&amp;IF(Q377&lt;&gt;"","Western Red Cedar|","")&amp;IF(R377&lt;&gt;"","PVC|","")&amp;IF(S377&lt;&gt;"","Flex|","")&amp;IF(T377&lt;&gt;"","Steel|","")&amp;IF(U377&lt;&gt;"","Plastic|","")&amp;IF(V377&lt;&gt;"",V377&amp;"|","")</f>
        <v/>
      </c>
    </row>
    <row r="378" customFormat="false" ht="16.5" hidden="false" customHeight="true" outlineLevel="0" collapsed="false">
      <c r="A378" s="44" t="s">
        <v>1032</v>
      </c>
      <c r="B378" s="45" t="s">
        <v>1033</v>
      </c>
      <c r="C378" s="44" t="s">
        <v>934</v>
      </c>
      <c r="D378" s="44" t="s">
        <v>889</v>
      </c>
      <c r="E378" s="44" t="s">
        <v>732</v>
      </c>
      <c r="F378" s="36" t="str">
        <f aca="false">IF(LEN(AA378)=0,"",LEFT(AA378,LEN(AA378)-1))</f>
        <v/>
      </c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8"/>
      <c r="T378" s="37"/>
      <c r="U378" s="37"/>
      <c r="V378" s="46"/>
      <c r="W378" s="46"/>
      <c r="X378" s="40"/>
      <c r="Y378" s="41"/>
      <c r="Z378" s="42"/>
      <c r="AA378" s="43" t="str">
        <f aca="false">IF(G378&lt;&gt;"","Poplar|","")&amp;IF(H378&lt;&gt;"","FJ Primed Poplar|","")&amp;IF(I378&lt;&gt;"","FJ Primed Pine|","")&amp;IF(J378&lt;&gt;"","Clear Pine|","")&amp;IF(K378&lt;&gt;"","Primed MDF|","")&amp;IF(L378&lt;&gt;"","White Oak|","")&amp;IF(M378&lt;&gt;"","Red Oak|","")&amp;IF(N378&lt;&gt;"","Hard Maple|","")&amp;IF(O378&lt;&gt;"","Black Walnut|","")&amp;IF(P378&lt;&gt;"","Douglas Fir|","")&amp;IF(Q378&lt;&gt;"","Western Red Cedar|","")&amp;IF(R378&lt;&gt;"","PVC|","")&amp;IF(S378&lt;&gt;"","Flex|","")&amp;IF(T378&lt;&gt;"","Steel|","")&amp;IF(U378&lt;&gt;"","Plastic|","")&amp;IF(V378&lt;&gt;"",V378&amp;"|","")</f>
        <v/>
      </c>
    </row>
    <row r="379" customFormat="false" ht="16.5" hidden="false" customHeight="true" outlineLevel="0" collapsed="false">
      <c r="A379" s="44" t="s">
        <v>1034</v>
      </c>
      <c r="B379" s="45" t="s">
        <v>1035</v>
      </c>
      <c r="C379" s="44" t="s">
        <v>934</v>
      </c>
      <c r="D379" s="44" t="s">
        <v>889</v>
      </c>
      <c r="E379" s="44" t="s">
        <v>732</v>
      </c>
      <c r="F379" s="36" t="str">
        <f aca="false">IF(LEN(AA379)=0,"",LEFT(AA379,LEN(AA379)-1))</f>
        <v/>
      </c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8"/>
      <c r="T379" s="37"/>
      <c r="U379" s="37"/>
      <c r="V379" s="46"/>
      <c r="W379" s="46"/>
      <c r="X379" s="40"/>
      <c r="Y379" s="41"/>
      <c r="Z379" s="42"/>
      <c r="AA379" s="43" t="str">
        <f aca="false">IF(G379&lt;&gt;"","Poplar|","")&amp;IF(H379&lt;&gt;"","FJ Primed Poplar|","")&amp;IF(I379&lt;&gt;"","FJ Primed Pine|","")&amp;IF(J379&lt;&gt;"","Clear Pine|","")&amp;IF(K379&lt;&gt;"","Primed MDF|","")&amp;IF(L379&lt;&gt;"","White Oak|","")&amp;IF(M379&lt;&gt;"","Red Oak|","")&amp;IF(N379&lt;&gt;"","Hard Maple|","")&amp;IF(O379&lt;&gt;"","Black Walnut|","")&amp;IF(P379&lt;&gt;"","Douglas Fir|","")&amp;IF(Q379&lt;&gt;"","Western Red Cedar|","")&amp;IF(R379&lt;&gt;"","PVC|","")&amp;IF(S379&lt;&gt;"","Flex|","")&amp;IF(T379&lt;&gt;"","Steel|","")&amp;IF(U379&lt;&gt;"","Plastic|","")&amp;IF(V379&lt;&gt;"",V379&amp;"|","")</f>
        <v/>
      </c>
    </row>
    <row r="380" customFormat="false" ht="16.5" hidden="false" customHeight="true" outlineLevel="0" collapsed="false">
      <c r="A380" s="34" t="s">
        <v>1036</v>
      </c>
      <c r="B380" s="35" t="s">
        <v>1037</v>
      </c>
      <c r="C380" s="34" t="s">
        <v>1038</v>
      </c>
      <c r="D380" s="34"/>
      <c r="E380" s="34"/>
      <c r="F380" s="36" t="str">
        <f aca="false">IF(LEN(AA380)=0,"",LEFT(AA380,LEN(AA380)-1))</f>
        <v/>
      </c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8"/>
      <c r="T380" s="37"/>
      <c r="U380" s="37"/>
      <c r="V380" s="39"/>
      <c r="W380" s="39"/>
      <c r="X380" s="40"/>
      <c r="Y380" s="41"/>
      <c r="Z380" s="42"/>
      <c r="AA380" s="43" t="str">
        <f aca="false">IF(G380&lt;&gt;"","Poplar|","")&amp;IF(H380&lt;&gt;"","FJ Primed Poplar|","")&amp;IF(I380&lt;&gt;"","FJ Primed Pine|","")&amp;IF(J380&lt;&gt;"","Clear Pine|","")&amp;IF(K380&lt;&gt;"","Primed MDF|","")&amp;IF(L380&lt;&gt;"","White Oak|","")&amp;IF(M380&lt;&gt;"","Red Oak|","")&amp;IF(N380&lt;&gt;"","Hard Maple|","")&amp;IF(O380&lt;&gt;"","Black Walnut|","")&amp;IF(P380&lt;&gt;"","Douglas Fir|","")&amp;IF(Q380&lt;&gt;"","Western Red Cedar|","")&amp;IF(R380&lt;&gt;"","PVC|","")&amp;IF(S380&lt;&gt;"","Flex|","")&amp;IF(T380&lt;&gt;"","Steel|","")&amp;IF(U380&lt;&gt;"","Plastic|","")&amp;IF(V380&lt;&gt;"",V380&amp;"|","")</f>
        <v/>
      </c>
    </row>
    <row r="381" customFormat="false" ht="16.5" hidden="false" customHeight="true" outlineLevel="0" collapsed="false">
      <c r="A381" s="34" t="s">
        <v>1039</v>
      </c>
      <c r="B381" s="35" t="s">
        <v>1040</v>
      </c>
      <c r="C381" s="34" t="s">
        <v>1038</v>
      </c>
      <c r="D381" s="34"/>
      <c r="E381" s="34"/>
      <c r="F381" s="36" t="str">
        <f aca="false">IF(LEN(AA381)=0,"",LEFT(AA381,LEN(AA381)-1))</f>
        <v/>
      </c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8"/>
      <c r="T381" s="37"/>
      <c r="U381" s="37"/>
      <c r="V381" s="39"/>
      <c r="W381" s="39"/>
      <c r="X381" s="40"/>
      <c r="Y381" s="41"/>
      <c r="Z381" s="42"/>
      <c r="AA381" s="43" t="str">
        <f aca="false">IF(G381&lt;&gt;"","Poplar|","")&amp;IF(H381&lt;&gt;"","FJ Primed Poplar|","")&amp;IF(I381&lt;&gt;"","FJ Primed Pine|","")&amp;IF(J381&lt;&gt;"","Clear Pine|","")&amp;IF(K381&lt;&gt;"","Primed MDF|","")&amp;IF(L381&lt;&gt;"","White Oak|","")&amp;IF(M381&lt;&gt;"","Red Oak|","")&amp;IF(N381&lt;&gt;"","Hard Maple|","")&amp;IF(O381&lt;&gt;"","Black Walnut|","")&amp;IF(P381&lt;&gt;"","Douglas Fir|","")&amp;IF(Q381&lt;&gt;"","Western Red Cedar|","")&amp;IF(R381&lt;&gt;"","PVC|","")&amp;IF(S381&lt;&gt;"","Flex|","")&amp;IF(T381&lt;&gt;"","Steel|","")&amp;IF(U381&lt;&gt;"","Plastic|","")&amp;IF(V381&lt;&gt;"",V381&amp;"|","")</f>
        <v/>
      </c>
    </row>
    <row r="382" customFormat="false" ht="16.5" hidden="false" customHeight="true" outlineLevel="0" collapsed="false">
      <c r="A382" s="34" t="s">
        <v>1041</v>
      </c>
      <c r="B382" s="35" t="s">
        <v>1042</v>
      </c>
      <c r="C382" s="34" t="s">
        <v>1038</v>
      </c>
      <c r="D382" s="34"/>
      <c r="E382" s="34"/>
      <c r="F382" s="36" t="str">
        <f aca="false">IF(LEN(AA382)=0,"",LEFT(AA382,LEN(AA382)-1))</f>
        <v/>
      </c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8"/>
      <c r="T382" s="37"/>
      <c r="U382" s="37"/>
      <c r="V382" s="39"/>
      <c r="W382" s="39"/>
      <c r="X382" s="40"/>
      <c r="Y382" s="41"/>
      <c r="Z382" s="42"/>
      <c r="AA382" s="43" t="str">
        <f aca="false">IF(G382&lt;&gt;"","Poplar|","")&amp;IF(H382&lt;&gt;"","FJ Primed Poplar|","")&amp;IF(I382&lt;&gt;"","FJ Primed Pine|","")&amp;IF(J382&lt;&gt;"","Clear Pine|","")&amp;IF(K382&lt;&gt;"","Primed MDF|","")&amp;IF(L382&lt;&gt;"","White Oak|","")&amp;IF(M382&lt;&gt;"","Red Oak|","")&amp;IF(N382&lt;&gt;"","Hard Maple|","")&amp;IF(O382&lt;&gt;"","Black Walnut|","")&amp;IF(P382&lt;&gt;"","Douglas Fir|","")&amp;IF(Q382&lt;&gt;"","Western Red Cedar|","")&amp;IF(R382&lt;&gt;"","PVC|","")&amp;IF(S382&lt;&gt;"","Flex|","")&amp;IF(T382&lt;&gt;"","Steel|","")&amp;IF(U382&lt;&gt;"","Plastic|","")&amp;IF(V382&lt;&gt;"",V382&amp;"|","")</f>
        <v/>
      </c>
    </row>
    <row r="383" customFormat="false" ht="16.5" hidden="false" customHeight="true" outlineLevel="0" collapsed="false">
      <c r="A383" s="34" t="s">
        <v>1043</v>
      </c>
      <c r="B383" s="35" t="s">
        <v>1044</v>
      </c>
      <c r="C383" s="34" t="s">
        <v>1038</v>
      </c>
      <c r="D383" s="34"/>
      <c r="E383" s="34"/>
      <c r="F383" s="36" t="str">
        <f aca="false">IF(LEN(AA383)=0,"",LEFT(AA383,LEN(AA383)-1))</f>
        <v/>
      </c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8"/>
      <c r="T383" s="37"/>
      <c r="U383" s="37"/>
      <c r="V383" s="39"/>
      <c r="W383" s="39"/>
      <c r="X383" s="40"/>
      <c r="Y383" s="41"/>
      <c r="Z383" s="42"/>
      <c r="AA383" s="43" t="str">
        <f aca="false">IF(G383&lt;&gt;"","Poplar|","")&amp;IF(H383&lt;&gt;"","FJ Primed Poplar|","")&amp;IF(I383&lt;&gt;"","FJ Primed Pine|","")&amp;IF(J383&lt;&gt;"","Clear Pine|","")&amp;IF(K383&lt;&gt;"","Primed MDF|","")&amp;IF(L383&lt;&gt;"","White Oak|","")&amp;IF(M383&lt;&gt;"","Red Oak|","")&amp;IF(N383&lt;&gt;"","Hard Maple|","")&amp;IF(O383&lt;&gt;"","Black Walnut|","")&amp;IF(P383&lt;&gt;"","Douglas Fir|","")&amp;IF(Q383&lt;&gt;"","Western Red Cedar|","")&amp;IF(R383&lt;&gt;"","PVC|","")&amp;IF(S383&lt;&gt;"","Flex|","")&amp;IF(T383&lt;&gt;"","Steel|","")&amp;IF(U383&lt;&gt;"","Plastic|","")&amp;IF(V383&lt;&gt;"",V383&amp;"|","")</f>
        <v/>
      </c>
    </row>
    <row r="384" customFormat="false" ht="16.5" hidden="false" customHeight="true" outlineLevel="0" collapsed="false">
      <c r="A384" s="34" t="s">
        <v>1045</v>
      </c>
      <c r="B384" s="35" t="s">
        <v>1046</v>
      </c>
      <c r="C384" s="34" t="s">
        <v>1038</v>
      </c>
      <c r="D384" s="34"/>
      <c r="E384" s="34"/>
      <c r="F384" s="36" t="str">
        <f aca="false">IF(LEN(AA384)=0,"",LEFT(AA384,LEN(AA384)-1))</f>
        <v/>
      </c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8"/>
      <c r="T384" s="37"/>
      <c r="U384" s="37"/>
      <c r="V384" s="39"/>
      <c r="W384" s="39"/>
      <c r="X384" s="40"/>
      <c r="Y384" s="41"/>
      <c r="Z384" s="42"/>
      <c r="AA384" s="43" t="str">
        <f aca="false">IF(G384&lt;&gt;"","Poplar|","")&amp;IF(H384&lt;&gt;"","FJ Primed Poplar|","")&amp;IF(I384&lt;&gt;"","FJ Primed Pine|","")&amp;IF(J384&lt;&gt;"","Clear Pine|","")&amp;IF(K384&lt;&gt;"","Primed MDF|","")&amp;IF(L384&lt;&gt;"","White Oak|","")&amp;IF(M384&lt;&gt;"","Red Oak|","")&amp;IF(N384&lt;&gt;"","Hard Maple|","")&amp;IF(O384&lt;&gt;"","Black Walnut|","")&amp;IF(P384&lt;&gt;"","Douglas Fir|","")&amp;IF(Q384&lt;&gt;"","Western Red Cedar|","")&amp;IF(R384&lt;&gt;"","PVC|","")&amp;IF(S384&lt;&gt;"","Flex|","")&amp;IF(T384&lt;&gt;"","Steel|","")&amp;IF(U384&lt;&gt;"","Plastic|","")&amp;IF(V384&lt;&gt;"",V384&amp;"|","")</f>
        <v/>
      </c>
    </row>
    <row r="385" customFormat="false" ht="16.5" hidden="false" customHeight="true" outlineLevel="0" collapsed="false">
      <c r="A385" s="34" t="s">
        <v>1047</v>
      </c>
      <c r="B385" s="35" t="s">
        <v>1048</v>
      </c>
      <c r="C385" s="34" t="s">
        <v>1038</v>
      </c>
      <c r="D385" s="34"/>
      <c r="E385" s="34"/>
      <c r="F385" s="36" t="str">
        <f aca="false">IF(LEN(AA385)=0,"",LEFT(AA385,LEN(AA385)-1))</f>
        <v/>
      </c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8"/>
      <c r="T385" s="37"/>
      <c r="U385" s="37"/>
      <c r="V385" s="39"/>
      <c r="W385" s="39"/>
      <c r="X385" s="40"/>
      <c r="Y385" s="41"/>
      <c r="Z385" s="42"/>
      <c r="AA385" s="43" t="str">
        <f aca="false">IF(G385&lt;&gt;"","Poplar|","")&amp;IF(H385&lt;&gt;"","FJ Primed Poplar|","")&amp;IF(I385&lt;&gt;"","FJ Primed Pine|","")&amp;IF(J385&lt;&gt;"","Clear Pine|","")&amp;IF(K385&lt;&gt;"","Primed MDF|","")&amp;IF(L385&lt;&gt;"","White Oak|","")&amp;IF(M385&lt;&gt;"","Red Oak|","")&amp;IF(N385&lt;&gt;"","Hard Maple|","")&amp;IF(O385&lt;&gt;"","Black Walnut|","")&amp;IF(P385&lt;&gt;"","Douglas Fir|","")&amp;IF(Q385&lt;&gt;"","Western Red Cedar|","")&amp;IF(R385&lt;&gt;"","PVC|","")&amp;IF(S385&lt;&gt;"","Flex|","")&amp;IF(T385&lt;&gt;"","Steel|","")&amp;IF(U385&lt;&gt;"","Plastic|","")&amp;IF(V385&lt;&gt;"",V385&amp;"|","")</f>
        <v/>
      </c>
    </row>
    <row r="386" customFormat="false" ht="16.5" hidden="false" customHeight="true" outlineLevel="0" collapsed="false">
      <c r="A386" s="44"/>
      <c r="B386" s="45" t="s">
        <v>1049</v>
      </c>
      <c r="C386" s="44" t="s">
        <v>1050</v>
      </c>
      <c r="D386" s="44"/>
      <c r="E386" s="44"/>
      <c r="F386" s="36" t="str">
        <f aca="false">IF(LEN(AA386)=0,"",LEFT(AA386,LEN(AA386)-1))</f>
        <v/>
      </c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8"/>
      <c r="T386" s="37"/>
      <c r="U386" s="37"/>
      <c r="V386" s="46"/>
      <c r="W386" s="46"/>
      <c r="X386" s="40"/>
      <c r="Y386" s="41"/>
      <c r="Z386" s="42"/>
      <c r="AA386" s="43" t="str">
        <f aca="false">IF(G386&lt;&gt;"","Poplar|","")&amp;IF(H386&lt;&gt;"","FJ Primed Poplar|","")&amp;IF(I386&lt;&gt;"","FJ Primed Pine|","")&amp;IF(J386&lt;&gt;"","Clear Pine|","")&amp;IF(K386&lt;&gt;"","Primed MDF|","")&amp;IF(L386&lt;&gt;"","White Oak|","")&amp;IF(M386&lt;&gt;"","Red Oak|","")&amp;IF(N386&lt;&gt;"","Hard Maple|","")&amp;IF(O386&lt;&gt;"","Black Walnut|","")&amp;IF(P386&lt;&gt;"","Douglas Fir|","")&amp;IF(Q386&lt;&gt;"","Western Red Cedar|","")&amp;IF(R386&lt;&gt;"","PVC|","")&amp;IF(S386&lt;&gt;"","Flex|","")&amp;IF(T386&lt;&gt;"","Steel|","")&amp;IF(U386&lt;&gt;"","Plastic|","")&amp;IF(V386&lt;&gt;"",V386&amp;"|","")</f>
        <v/>
      </c>
    </row>
    <row r="387" customFormat="false" ht="16.5" hidden="false" customHeight="true" outlineLevel="0" collapsed="false">
      <c r="A387" s="44"/>
      <c r="B387" s="45" t="s">
        <v>1051</v>
      </c>
      <c r="C387" s="44" t="s">
        <v>1050</v>
      </c>
      <c r="D387" s="44"/>
      <c r="E387" s="44"/>
      <c r="F387" s="36" t="str">
        <f aca="false">IF(LEN(AA387)=0,"",LEFT(AA387,LEN(AA387)-1))</f>
        <v/>
      </c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8"/>
      <c r="T387" s="37"/>
      <c r="U387" s="37"/>
      <c r="V387" s="46"/>
      <c r="W387" s="46"/>
      <c r="X387" s="40"/>
      <c r="Y387" s="41"/>
      <c r="Z387" s="42"/>
      <c r="AA387" s="43" t="str">
        <f aca="false">IF(G387&lt;&gt;"","Poplar|","")&amp;IF(H387&lt;&gt;"","FJ Primed Poplar|","")&amp;IF(I387&lt;&gt;"","FJ Primed Pine|","")&amp;IF(J387&lt;&gt;"","Clear Pine|","")&amp;IF(K387&lt;&gt;"","Primed MDF|","")&amp;IF(L387&lt;&gt;"","White Oak|","")&amp;IF(M387&lt;&gt;"","Red Oak|","")&amp;IF(N387&lt;&gt;"","Hard Maple|","")&amp;IF(O387&lt;&gt;"","Black Walnut|","")&amp;IF(P387&lt;&gt;"","Douglas Fir|","")&amp;IF(Q387&lt;&gt;"","Western Red Cedar|","")&amp;IF(R387&lt;&gt;"","PVC|","")&amp;IF(S387&lt;&gt;"","Flex|","")&amp;IF(T387&lt;&gt;"","Steel|","")&amp;IF(U387&lt;&gt;"","Plastic|","")&amp;IF(V387&lt;&gt;"",V387&amp;"|","")</f>
        <v/>
      </c>
    </row>
    <row r="388" customFormat="false" ht="16.5" hidden="false" customHeight="true" outlineLevel="0" collapsed="false">
      <c r="A388" s="44"/>
      <c r="B388" s="45" t="s">
        <v>1052</v>
      </c>
      <c r="C388" s="44" t="s">
        <v>1050</v>
      </c>
      <c r="D388" s="44"/>
      <c r="E388" s="44"/>
      <c r="F388" s="36" t="str">
        <f aca="false">IF(LEN(AA388)=0,"",LEFT(AA388,LEN(AA388)-1))</f>
        <v/>
      </c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8"/>
      <c r="T388" s="37"/>
      <c r="U388" s="37"/>
      <c r="V388" s="46"/>
      <c r="W388" s="46"/>
      <c r="X388" s="40"/>
      <c r="Y388" s="41"/>
      <c r="Z388" s="42"/>
      <c r="AA388" s="43" t="str">
        <f aca="false">IF(G388&lt;&gt;"","Poplar|","")&amp;IF(H388&lt;&gt;"","FJ Primed Poplar|","")&amp;IF(I388&lt;&gt;"","FJ Primed Pine|","")&amp;IF(J388&lt;&gt;"","Clear Pine|","")&amp;IF(K388&lt;&gt;"","Primed MDF|","")&amp;IF(L388&lt;&gt;"","White Oak|","")&amp;IF(M388&lt;&gt;"","Red Oak|","")&amp;IF(N388&lt;&gt;"","Hard Maple|","")&amp;IF(O388&lt;&gt;"","Black Walnut|","")&amp;IF(P388&lt;&gt;"","Douglas Fir|","")&amp;IF(Q388&lt;&gt;"","Western Red Cedar|","")&amp;IF(R388&lt;&gt;"","PVC|","")&amp;IF(S388&lt;&gt;"","Flex|","")&amp;IF(T388&lt;&gt;"","Steel|","")&amp;IF(U388&lt;&gt;"","Plastic|","")&amp;IF(V388&lt;&gt;"",V388&amp;"|","")</f>
        <v/>
      </c>
    </row>
    <row r="389" customFormat="false" ht="16.5" hidden="false" customHeight="true" outlineLevel="0" collapsed="false">
      <c r="A389" s="44"/>
      <c r="B389" s="45" t="s">
        <v>1053</v>
      </c>
      <c r="C389" s="44" t="s">
        <v>1050</v>
      </c>
      <c r="D389" s="44"/>
      <c r="E389" s="44"/>
      <c r="F389" s="36" t="str">
        <f aca="false">IF(LEN(AA389)=0,"",LEFT(AA389,LEN(AA389)-1))</f>
        <v/>
      </c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8"/>
      <c r="T389" s="37"/>
      <c r="U389" s="37"/>
      <c r="V389" s="46"/>
      <c r="W389" s="46"/>
      <c r="X389" s="40"/>
      <c r="Y389" s="41"/>
      <c r="Z389" s="42"/>
      <c r="AA389" s="43" t="str">
        <f aca="false">IF(G389&lt;&gt;"","Poplar|","")&amp;IF(H389&lt;&gt;"","FJ Primed Poplar|","")&amp;IF(I389&lt;&gt;"","FJ Primed Pine|","")&amp;IF(J389&lt;&gt;"","Clear Pine|","")&amp;IF(K389&lt;&gt;"","Primed MDF|","")&amp;IF(L389&lt;&gt;"","White Oak|","")&amp;IF(M389&lt;&gt;"","Red Oak|","")&amp;IF(N389&lt;&gt;"","Hard Maple|","")&amp;IF(O389&lt;&gt;"","Black Walnut|","")&amp;IF(P389&lt;&gt;"","Douglas Fir|","")&amp;IF(Q389&lt;&gt;"","Western Red Cedar|","")&amp;IF(R389&lt;&gt;"","PVC|","")&amp;IF(S389&lt;&gt;"","Flex|","")&amp;IF(T389&lt;&gt;"","Steel|","")&amp;IF(U389&lt;&gt;"","Plastic|","")&amp;IF(V389&lt;&gt;"",V389&amp;"|","")</f>
        <v/>
      </c>
    </row>
    <row r="390" customFormat="false" ht="16.5" hidden="false" customHeight="true" outlineLevel="0" collapsed="false">
      <c r="A390" s="44" t="s">
        <v>1054</v>
      </c>
      <c r="B390" s="45" t="s">
        <v>1055</v>
      </c>
      <c r="C390" s="44" t="s">
        <v>1050</v>
      </c>
      <c r="D390" s="44"/>
      <c r="E390" s="44"/>
      <c r="F390" s="36" t="str">
        <f aca="false">IF(LEN(AA390)=0,"",LEFT(AA390,LEN(AA390)-1))</f>
        <v/>
      </c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8"/>
      <c r="T390" s="37"/>
      <c r="U390" s="37"/>
      <c r="V390" s="46"/>
      <c r="W390" s="46"/>
      <c r="X390" s="40"/>
      <c r="Y390" s="41"/>
      <c r="Z390" s="42"/>
      <c r="AA390" s="43" t="str">
        <f aca="false">IF(G390&lt;&gt;"","Poplar|","")&amp;IF(H390&lt;&gt;"","FJ Primed Poplar|","")&amp;IF(I390&lt;&gt;"","FJ Primed Pine|","")&amp;IF(J390&lt;&gt;"","Clear Pine|","")&amp;IF(K390&lt;&gt;"","Primed MDF|","")&amp;IF(L390&lt;&gt;"","White Oak|","")&amp;IF(M390&lt;&gt;"","Red Oak|","")&amp;IF(N390&lt;&gt;"","Hard Maple|","")&amp;IF(O390&lt;&gt;"","Black Walnut|","")&amp;IF(P390&lt;&gt;"","Douglas Fir|","")&amp;IF(Q390&lt;&gt;"","Western Red Cedar|","")&amp;IF(R390&lt;&gt;"","PVC|","")&amp;IF(S390&lt;&gt;"","Flex|","")&amp;IF(T390&lt;&gt;"","Steel|","")&amp;IF(U390&lt;&gt;"","Plastic|","")&amp;IF(V390&lt;&gt;"",V390&amp;"|","")</f>
        <v/>
      </c>
    </row>
    <row r="391" customFormat="false" ht="16.5" hidden="false" customHeight="true" outlineLevel="0" collapsed="false">
      <c r="A391" s="44" t="s">
        <v>1056</v>
      </c>
      <c r="B391" s="45" t="s">
        <v>1057</v>
      </c>
      <c r="C391" s="44" t="s">
        <v>1050</v>
      </c>
      <c r="D391" s="44"/>
      <c r="E391" s="44"/>
      <c r="F391" s="36" t="str">
        <f aca="false">IF(LEN(AA391)=0,"",LEFT(AA391,LEN(AA391)-1))</f>
        <v/>
      </c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8"/>
      <c r="T391" s="37"/>
      <c r="U391" s="37"/>
      <c r="V391" s="46"/>
      <c r="W391" s="46"/>
      <c r="X391" s="40"/>
      <c r="Y391" s="41"/>
      <c r="Z391" s="42"/>
      <c r="AA391" s="43" t="str">
        <f aca="false">IF(G391&lt;&gt;"","Poplar|","")&amp;IF(H391&lt;&gt;"","FJ Primed Poplar|","")&amp;IF(I391&lt;&gt;"","FJ Primed Pine|","")&amp;IF(J391&lt;&gt;"","Clear Pine|","")&amp;IF(K391&lt;&gt;"","Primed MDF|","")&amp;IF(L391&lt;&gt;"","White Oak|","")&amp;IF(M391&lt;&gt;"","Red Oak|","")&amp;IF(N391&lt;&gt;"","Hard Maple|","")&amp;IF(O391&lt;&gt;"","Black Walnut|","")&amp;IF(P391&lt;&gt;"","Douglas Fir|","")&amp;IF(Q391&lt;&gt;"","Western Red Cedar|","")&amp;IF(R391&lt;&gt;"","PVC|","")&amp;IF(S391&lt;&gt;"","Flex|","")&amp;IF(T391&lt;&gt;"","Steel|","")&amp;IF(U391&lt;&gt;"","Plastic|","")&amp;IF(V391&lt;&gt;"",V391&amp;"|","")</f>
        <v/>
      </c>
    </row>
    <row r="392" customFormat="false" ht="16.5" hidden="false" customHeight="true" outlineLevel="0" collapsed="false">
      <c r="A392" s="44" t="s">
        <v>1058</v>
      </c>
      <c r="B392" s="45" t="s">
        <v>1059</v>
      </c>
      <c r="C392" s="44" t="s">
        <v>1050</v>
      </c>
      <c r="D392" s="44"/>
      <c r="E392" s="44"/>
      <c r="F392" s="36" t="str">
        <f aca="false">IF(LEN(AA392)=0,"",LEFT(AA392,LEN(AA392)-1))</f>
        <v/>
      </c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8"/>
      <c r="T392" s="37"/>
      <c r="U392" s="37"/>
      <c r="V392" s="46"/>
      <c r="W392" s="46"/>
      <c r="X392" s="40"/>
      <c r="Y392" s="41"/>
      <c r="Z392" s="42"/>
      <c r="AA392" s="43" t="str">
        <f aca="false">IF(G392&lt;&gt;"","Poplar|","")&amp;IF(H392&lt;&gt;"","FJ Primed Poplar|","")&amp;IF(I392&lt;&gt;"","FJ Primed Pine|","")&amp;IF(J392&lt;&gt;"","Clear Pine|","")&amp;IF(K392&lt;&gt;"","Primed MDF|","")&amp;IF(L392&lt;&gt;"","White Oak|","")&amp;IF(M392&lt;&gt;"","Red Oak|","")&amp;IF(N392&lt;&gt;"","Hard Maple|","")&amp;IF(O392&lt;&gt;"","Black Walnut|","")&amp;IF(P392&lt;&gt;"","Douglas Fir|","")&amp;IF(Q392&lt;&gt;"","Western Red Cedar|","")&amp;IF(R392&lt;&gt;"","PVC|","")&amp;IF(S392&lt;&gt;"","Flex|","")&amp;IF(T392&lt;&gt;"","Steel|","")&amp;IF(U392&lt;&gt;"","Plastic|","")&amp;IF(V392&lt;&gt;"",V392&amp;"|","")</f>
        <v/>
      </c>
    </row>
    <row r="393" customFormat="false" ht="16.5" hidden="false" customHeight="true" outlineLevel="0" collapsed="false">
      <c r="A393" s="34"/>
      <c r="B393" s="35" t="s">
        <v>1060</v>
      </c>
      <c r="C393" s="34" t="s">
        <v>1061</v>
      </c>
      <c r="D393" s="34"/>
      <c r="E393" s="34"/>
      <c r="F393" s="36" t="str">
        <f aca="false">IF(LEN(AA393)=0,"",LEFT(AA393,LEN(AA393)-1))</f>
        <v/>
      </c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8"/>
      <c r="T393" s="37"/>
      <c r="U393" s="37"/>
      <c r="V393" s="39"/>
      <c r="W393" s="39"/>
      <c r="X393" s="40"/>
      <c r="Y393" s="41"/>
      <c r="Z393" s="42"/>
      <c r="AA393" s="43" t="str">
        <f aca="false">IF(G393&lt;&gt;"","Poplar|","")&amp;IF(H393&lt;&gt;"","FJ Primed Poplar|","")&amp;IF(I393&lt;&gt;"","FJ Primed Pine|","")&amp;IF(J393&lt;&gt;"","Clear Pine|","")&amp;IF(K393&lt;&gt;"","Primed MDF|","")&amp;IF(L393&lt;&gt;"","White Oak|","")&amp;IF(M393&lt;&gt;"","Red Oak|","")&amp;IF(N393&lt;&gt;"","Hard Maple|","")&amp;IF(O393&lt;&gt;"","Black Walnut|","")&amp;IF(P393&lt;&gt;"","Douglas Fir|","")&amp;IF(Q393&lt;&gt;"","Western Red Cedar|","")&amp;IF(R393&lt;&gt;"","PVC|","")&amp;IF(S393&lt;&gt;"","Flex|","")&amp;IF(T393&lt;&gt;"","Steel|","")&amp;IF(U393&lt;&gt;"","Plastic|","")&amp;IF(V393&lt;&gt;"",V393&amp;"|","")</f>
        <v/>
      </c>
    </row>
    <row r="394" customFormat="false" ht="16.5" hidden="false" customHeight="true" outlineLevel="0" collapsed="false">
      <c r="A394" s="34"/>
      <c r="B394" s="35" t="s">
        <v>1062</v>
      </c>
      <c r="C394" s="34" t="s">
        <v>1061</v>
      </c>
      <c r="D394" s="34"/>
      <c r="E394" s="34"/>
      <c r="F394" s="36" t="str">
        <f aca="false">IF(LEN(AA394)=0,"",LEFT(AA394,LEN(AA394)-1))</f>
        <v/>
      </c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8"/>
      <c r="T394" s="37"/>
      <c r="U394" s="37"/>
      <c r="V394" s="39"/>
      <c r="W394" s="39"/>
      <c r="X394" s="40"/>
      <c r="Y394" s="41"/>
      <c r="Z394" s="42"/>
      <c r="AA394" s="43" t="str">
        <f aca="false">IF(G394&lt;&gt;"","Poplar|","")&amp;IF(H394&lt;&gt;"","FJ Primed Poplar|","")&amp;IF(I394&lt;&gt;"","FJ Primed Pine|","")&amp;IF(J394&lt;&gt;"","Clear Pine|","")&amp;IF(K394&lt;&gt;"","Primed MDF|","")&amp;IF(L394&lt;&gt;"","White Oak|","")&amp;IF(M394&lt;&gt;"","Red Oak|","")&amp;IF(N394&lt;&gt;"","Hard Maple|","")&amp;IF(O394&lt;&gt;"","Black Walnut|","")&amp;IF(P394&lt;&gt;"","Douglas Fir|","")&amp;IF(Q394&lt;&gt;"","Western Red Cedar|","")&amp;IF(R394&lt;&gt;"","PVC|","")&amp;IF(S394&lt;&gt;"","Flex|","")&amp;IF(T394&lt;&gt;"","Steel|","")&amp;IF(U394&lt;&gt;"","Plastic|","")&amp;IF(V394&lt;&gt;"",V394&amp;"|","")</f>
        <v/>
      </c>
    </row>
    <row r="395" customFormat="false" ht="16.5" hidden="false" customHeight="true" outlineLevel="0" collapsed="false">
      <c r="A395" s="34"/>
      <c r="B395" s="35" t="s">
        <v>1063</v>
      </c>
      <c r="C395" s="34" t="s">
        <v>1061</v>
      </c>
      <c r="D395" s="34"/>
      <c r="E395" s="34"/>
      <c r="F395" s="36" t="str">
        <f aca="false">IF(LEN(AA395)=0,"",LEFT(AA395,LEN(AA395)-1))</f>
        <v/>
      </c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8"/>
      <c r="T395" s="37"/>
      <c r="U395" s="37"/>
      <c r="V395" s="39"/>
      <c r="W395" s="39"/>
      <c r="X395" s="40"/>
      <c r="Y395" s="41"/>
      <c r="Z395" s="42"/>
      <c r="AA395" s="43" t="str">
        <f aca="false">IF(G395&lt;&gt;"","Poplar|","")&amp;IF(H395&lt;&gt;"","FJ Primed Poplar|","")&amp;IF(I395&lt;&gt;"","FJ Primed Pine|","")&amp;IF(J395&lt;&gt;"","Clear Pine|","")&amp;IF(K395&lt;&gt;"","Primed MDF|","")&amp;IF(L395&lt;&gt;"","White Oak|","")&amp;IF(M395&lt;&gt;"","Red Oak|","")&amp;IF(N395&lt;&gt;"","Hard Maple|","")&amp;IF(O395&lt;&gt;"","Black Walnut|","")&amp;IF(P395&lt;&gt;"","Douglas Fir|","")&amp;IF(Q395&lt;&gt;"","Western Red Cedar|","")&amp;IF(R395&lt;&gt;"","PVC|","")&amp;IF(S395&lt;&gt;"","Flex|","")&amp;IF(T395&lt;&gt;"","Steel|","")&amp;IF(U395&lt;&gt;"","Plastic|","")&amp;IF(V395&lt;&gt;"",V395&amp;"|","")</f>
        <v/>
      </c>
    </row>
    <row r="396" customFormat="false" ht="16.5" hidden="false" customHeight="true" outlineLevel="0" collapsed="false">
      <c r="A396" s="34"/>
      <c r="B396" s="35" t="s">
        <v>1064</v>
      </c>
      <c r="C396" s="34" t="s">
        <v>1061</v>
      </c>
      <c r="D396" s="34"/>
      <c r="E396" s="34"/>
      <c r="F396" s="36" t="str">
        <f aca="false">IF(LEN(AA396)=0,"",LEFT(AA396,LEN(AA396)-1))</f>
        <v/>
      </c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8"/>
      <c r="T396" s="37"/>
      <c r="U396" s="37"/>
      <c r="V396" s="39"/>
      <c r="W396" s="39"/>
      <c r="X396" s="40"/>
      <c r="Y396" s="41"/>
      <c r="Z396" s="42"/>
      <c r="AA396" s="43" t="str">
        <f aca="false">IF(G396&lt;&gt;"","Poplar|","")&amp;IF(H396&lt;&gt;"","FJ Primed Poplar|","")&amp;IF(I396&lt;&gt;"","FJ Primed Pine|","")&amp;IF(J396&lt;&gt;"","Clear Pine|","")&amp;IF(K396&lt;&gt;"","Primed MDF|","")&amp;IF(L396&lt;&gt;"","White Oak|","")&amp;IF(M396&lt;&gt;"","Red Oak|","")&amp;IF(N396&lt;&gt;"","Hard Maple|","")&amp;IF(O396&lt;&gt;"","Black Walnut|","")&amp;IF(P396&lt;&gt;"","Douglas Fir|","")&amp;IF(Q396&lt;&gt;"","Western Red Cedar|","")&amp;IF(R396&lt;&gt;"","PVC|","")&amp;IF(S396&lt;&gt;"","Flex|","")&amp;IF(T396&lt;&gt;"","Steel|","")&amp;IF(U396&lt;&gt;"","Plastic|","")&amp;IF(V396&lt;&gt;"",V396&amp;"|","")</f>
        <v/>
      </c>
    </row>
    <row r="397" customFormat="false" ht="16.5" hidden="false" customHeight="true" outlineLevel="0" collapsed="false">
      <c r="A397" s="34"/>
      <c r="B397" s="35" t="s">
        <v>1065</v>
      </c>
      <c r="C397" s="34" t="s">
        <v>1061</v>
      </c>
      <c r="D397" s="34"/>
      <c r="E397" s="34"/>
      <c r="F397" s="36" t="str">
        <f aca="false">IF(LEN(AA397)=0,"",LEFT(AA397,LEN(AA397)-1))</f>
        <v/>
      </c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8"/>
      <c r="T397" s="37"/>
      <c r="U397" s="37"/>
      <c r="V397" s="39"/>
      <c r="W397" s="39"/>
      <c r="X397" s="40"/>
      <c r="Y397" s="41"/>
      <c r="Z397" s="42"/>
      <c r="AA397" s="43" t="str">
        <f aca="false">IF(G397&lt;&gt;"","Poplar|","")&amp;IF(H397&lt;&gt;"","FJ Primed Poplar|","")&amp;IF(I397&lt;&gt;"","FJ Primed Pine|","")&amp;IF(J397&lt;&gt;"","Clear Pine|","")&amp;IF(K397&lt;&gt;"","Primed MDF|","")&amp;IF(L397&lt;&gt;"","White Oak|","")&amp;IF(M397&lt;&gt;"","Red Oak|","")&amp;IF(N397&lt;&gt;"","Hard Maple|","")&amp;IF(O397&lt;&gt;"","Black Walnut|","")&amp;IF(P397&lt;&gt;"","Douglas Fir|","")&amp;IF(Q397&lt;&gt;"","Western Red Cedar|","")&amp;IF(R397&lt;&gt;"","PVC|","")&amp;IF(S397&lt;&gt;"","Flex|","")&amp;IF(T397&lt;&gt;"","Steel|","")&amp;IF(U397&lt;&gt;"","Plastic|","")&amp;IF(V397&lt;&gt;"",V397&amp;"|","")</f>
        <v/>
      </c>
    </row>
    <row r="398" customFormat="false" ht="16.5" hidden="false" customHeight="true" outlineLevel="0" collapsed="false">
      <c r="A398" s="34"/>
      <c r="B398" s="35" t="s">
        <v>1066</v>
      </c>
      <c r="C398" s="34" t="s">
        <v>1061</v>
      </c>
      <c r="D398" s="34"/>
      <c r="E398" s="34"/>
      <c r="F398" s="36" t="str">
        <f aca="false">IF(LEN(AA398)=0,"",LEFT(AA398,LEN(AA398)-1))</f>
        <v/>
      </c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8"/>
      <c r="T398" s="37"/>
      <c r="U398" s="37"/>
      <c r="V398" s="39"/>
      <c r="W398" s="39"/>
      <c r="X398" s="40"/>
      <c r="Y398" s="41"/>
      <c r="Z398" s="42"/>
      <c r="AA398" s="43" t="str">
        <f aca="false">IF(G398&lt;&gt;"","Poplar|","")&amp;IF(H398&lt;&gt;"","FJ Primed Poplar|","")&amp;IF(I398&lt;&gt;"","FJ Primed Pine|","")&amp;IF(J398&lt;&gt;"","Clear Pine|","")&amp;IF(K398&lt;&gt;"","Primed MDF|","")&amp;IF(L398&lt;&gt;"","White Oak|","")&amp;IF(M398&lt;&gt;"","Red Oak|","")&amp;IF(N398&lt;&gt;"","Hard Maple|","")&amp;IF(O398&lt;&gt;"","Black Walnut|","")&amp;IF(P398&lt;&gt;"","Douglas Fir|","")&amp;IF(Q398&lt;&gt;"","Western Red Cedar|","")&amp;IF(R398&lt;&gt;"","PVC|","")&amp;IF(S398&lt;&gt;"","Flex|","")&amp;IF(T398&lt;&gt;"","Steel|","")&amp;IF(U398&lt;&gt;"","Plastic|","")&amp;IF(V398&lt;&gt;"",V398&amp;"|","")</f>
        <v/>
      </c>
    </row>
    <row r="399" customFormat="false" ht="16.5" hidden="false" customHeight="true" outlineLevel="0" collapsed="false">
      <c r="A399" s="34"/>
      <c r="B399" s="35" t="s">
        <v>1067</v>
      </c>
      <c r="C399" s="34" t="s">
        <v>1061</v>
      </c>
      <c r="D399" s="34"/>
      <c r="E399" s="34"/>
      <c r="F399" s="36" t="str">
        <f aca="false">IF(LEN(AA399)=0,"",LEFT(AA399,LEN(AA399)-1))</f>
        <v/>
      </c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8"/>
      <c r="T399" s="37"/>
      <c r="U399" s="37"/>
      <c r="V399" s="39"/>
      <c r="W399" s="39"/>
      <c r="X399" s="40"/>
      <c r="Y399" s="41"/>
      <c r="Z399" s="42"/>
      <c r="AA399" s="43" t="str">
        <f aca="false">IF(G399&lt;&gt;"","Poplar|","")&amp;IF(H399&lt;&gt;"","FJ Primed Poplar|","")&amp;IF(I399&lt;&gt;"","FJ Primed Pine|","")&amp;IF(J399&lt;&gt;"","Clear Pine|","")&amp;IF(K399&lt;&gt;"","Primed MDF|","")&amp;IF(L399&lt;&gt;"","White Oak|","")&amp;IF(M399&lt;&gt;"","Red Oak|","")&amp;IF(N399&lt;&gt;"","Hard Maple|","")&amp;IF(O399&lt;&gt;"","Black Walnut|","")&amp;IF(P399&lt;&gt;"","Douglas Fir|","")&amp;IF(Q399&lt;&gt;"","Western Red Cedar|","")&amp;IF(R399&lt;&gt;"","PVC|","")&amp;IF(S399&lt;&gt;"","Flex|","")&amp;IF(T399&lt;&gt;"","Steel|","")&amp;IF(U399&lt;&gt;"","Plastic|","")&amp;IF(V399&lt;&gt;"",V399&amp;"|","")</f>
        <v/>
      </c>
    </row>
    <row r="400" customFormat="false" ht="16.5" hidden="false" customHeight="true" outlineLevel="0" collapsed="false">
      <c r="A400" s="34"/>
      <c r="B400" s="35" t="s">
        <v>1068</v>
      </c>
      <c r="C400" s="34" t="s">
        <v>1061</v>
      </c>
      <c r="D400" s="34"/>
      <c r="E400" s="34"/>
      <c r="F400" s="36" t="str">
        <f aca="false">IF(LEN(AA400)=0,"",LEFT(AA400,LEN(AA400)-1))</f>
        <v/>
      </c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8"/>
      <c r="T400" s="37"/>
      <c r="U400" s="37"/>
      <c r="V400" s="39"/>
      <c r="W400" s="39"/>
      <c r="X400" s="40"/>
      <c r="Y400" s="41"/>
      <c r="Z400" s="42"/>
      <c r="AA400" s="43" t="str">
        <f aca="false">IF(G400&lt;&gt;"","Poplar|","")&amp;IF(H400&lt;&gt;"","FJ Primed Poplar|","")&amp;IF(I400&lt;&gt;"","FJ Primed Pine|","")&amp;IF(J400&lt;&gt;"","Clear Pine|","")&amp;IF(K400&lt;&gt;"","Primed MDF|","")&amp;IF(L400&lt;&gt;"","White Oak|","")&amp;IF(M400&lt;&gt;"","Red Oak|","")&amp;IF(N400&lt;&gt;"","Hard Maple|","")&amp;IF(O400&lt;&gt;"","Black Walnut|","")&amp;IF(P400&lt;&gt;"","Douglas Fir|","")&amp;IF(Q400&lt;&gt;"","Western Red Cedar|","")&amp;IF(R400&lt;&gt;"","PVC|","")&amp;IF(S400&lt;&gt;"","Flex|","")&amp;IF(T400&lt;&gt;"","Steel|","")&amp;IF(U400&lt;&gt;"","Plastic|","")&amp;IF(V400&lt;&gt;"",V400&amp;"|","")</f>
        <v/>
      </c>
    </row>
    <row r="401" customFormat="false" ht="16.5" hidden="false" customHeight="true" outlineLevel="0" collapsed="false">
      <c r="A401" s="34"/>
      <c r="B401" s="35" t="s">
        <v>1069</v>
      </c>
      <c r="C401" s="34" t="s">
        <v>1061</v>
      </c>
      <c r="D401" s="34"/>
      <c r="E401" s="34"/>
      <c r="F401" s="36" t="str">
        <f aca="false">IF(LEN(AA401)=0,"",LEFT(AA401,LEN(AA401)-1))</f>
        <v/>
      </c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8"/>
      <c r="T401" s="37"/>
      <c r="U401" s="37"/>
      <c r="V401" s="39"/>
      <c r="W401" s="39"/>
      <c r="X401" s="40"/>
      <c r="Y401" s="41"/>
      <c r="Z401" s="42"/>
      <c r="AA401" s="43" t="str">
        <f aca="false">IF(G401&lt;&gt;"","Poplar|","")&amp;IF(H401&lt;&gt;"","FJ Primed Poplar|","")&amp;IF(I401&lt;&gt;"","FJ Primed Pine|","")&amp;IF(J401&lt;&gt;"","Clear Pine|","")&amp;IF(K401&lt;&gt;"","Primed MDF|","")&amp;IF(L401&lt;&gt;"","White Oak|","")&amp;IF(M401&lt;&gt;"","Red Oak|","")&amp;IF(N401&lt;&gt;"","Hard Maple|","")&amp;IF(O401&lt;&gt;"","Black Walnut|","")&amp;IF(P401&lt;&gt;"","Douglas Fir|","")&amp;IF(Q401&lt;&gt;"","Western Red Cedar|","")&amp;IF(R401&lt;&gt;"","PVC|","")&amp;IF(S401&lt;&gt;"","Flex|","")&amp;IF(T401&lt;&gt;"","Steel|","")&amp;IF(U401&lt;&gt;"","Plastic|","")&amp;IF(V401&lt;&gt;"",V401&amp;"|","")</f>
        <v/>
      </c>
    </row>
    <row r="402" customFormat="false" ht="16.5" hidden="false" customHeight="true" outlineLevel="0" collapsed="false">
      <c r="A402" s="34"/>
      <c r="B402" s="35" t="s">
        <v>1070</v>
      </c>
      <c r="C402" s="34" t="s">
        <v>1061</v>
      </c>
      <c r="D402" s="34"/>
      <c r="E402" s="34"/>
      <c r="F402" s="36" t="str">
        <f aca="false">IF(LEN(AA402)=0,"",LEFT(AA402,LEN(AA402)-1))</f>
        <v/>
      </c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8"/>
      <c r="T402" s="37"/>
      <c r="U402" s="37"/>
      <c r="V402" s="39"/>
      <c r="W402" s="39"/>
      <c r="X402" s="40"/>
      <c r="Y402" s="41"/>
      <c r="Z402" s="42"/>
      <c r="AA402" s="43" t="str">
        <f aca="false">IF(G402&lt;&gt;"","Poplar|","")&amp;IF(H402&lt;&gt;"","FJ Primed Poplar|","")&amp;IF(I402&lt;&gt;"","FJ Primed Pine|","")&amp;IF(J402&lt;&gt;"","Clear Pine|","")&amp;IF(K402&lt;&gt;"","Primed MDF|","")&amp;IF(L402&lt;&gt;"","White Oak|","")&amp;IF(M402&lt;&gt;"","Red Oak|","")&amp;IF(N402&lt;&gt;"","Hard Maple|","")&amp;IF(O402&lt;&gt;"","Black Walnut|","")&amp;IF(P402&lt;&gt;"","Douglas Fir|","")&amp;IF(Q402&lt;&gt;"","Western Red Cedar|","")&amp;IF(R402&lt;&gt;"","PVC|","")&amp;IF(S402&lt;&gt;"","Flex|","")&amp;IF(T402&lt;&gt;"","Steel|","")&amp;IF(U402&lt;&gt;"","Plastic|","")&amp;IF(V402&lt;&gt;"",V402&amp;"|","")</f>
        <v/>
      </c>
    </row>
    <row r="403" customFormat="false" ht="16.5" hidden="false" customHeight="true" outlineLevel="0" collapsed="false">
      <c r="A403" s="34"/>
      <c r="B403" s="35" t="s">
        <v>1071</v>
      </c>
      <c r="C403" s="34" t="s">
        <v>1061</v>
      </c>
      <c r="D403" s="34"/>
      <c r="E403" s="34"/>
      <c r="F403" s="36" t="str">
        <f aca="false">IF(LEN(AA403)=0,"",LEFT(AA403,LEN(AA403)-1))</f>
        <v/>
      </c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8"/>
      <c r="T403" s="37"/>
      <c r="U403" s="37"/>
      <c r="V403" s="39"/>
      <c r="W403" s="39"/>
      <c r="X403" s="40"/>
      <c r="Y403" s="41"/>
      <c r="Z403" s="42"/>
      <c r="AA403" s="43" t="str">
        <f aca="false">IF(G403&lt;&gt;"","Poplar|","")&amp;IF(H403&lt;&gt;"","FJ Primed Poplar|","")&amp;IF(I403&lt;&gt;"","FJ Primed Pine|","")&amp;IF(J403&lt;&gt;"","Clear Pine|","")&amp;IF(K403&lt;&gt;"","Primed MDF|","")&amp;IF(L403&lt;&gt;"","White Oak|","")&amp;IF(M403&lt;&gt;"","Red Oak|","")&amp;IF(N403&lt;&gt;"","Hard Maple|","")&amp;IF(O403&lt;&gt;"","Black Walnut|","")&amp;IF(P403&lt;&gt;"","Douglas Fir|","")&amp;IF(Q403&lt;&gt;"","Western Red Cedar|","")&amp;IF(R403&lt;&gt;"","PVC|","")&amp;IF(S403&lt;&gt;"","Flex|","")&amp;IF(T403&lt;&gt;"","Steel|","")&amp;IF(U403&lt;&gt;"","Plastic|","")&amp;IF(V403&lt;&gt;"",V403&amp;"|","")</f>
        <v/>
      </c>
    </row>
    <row r="404" customFormat="false" ht="16.5" hidden="false" customHeight="true" outlineLevel="0" collapsed="false">
      <c r="A404" s="34"/>
      <c r="B404" s="35" t="s">
        <v>1072</v>
      </c>
      <c r="C404" s="34" t="s">
        <v>1061</v>
      </c>
      <c r="D404" s="34"/>
      <c r="E404" s="34"/>
      <c r="F404" s="36" t="str">
        <f aca="false">IF(LEN(AA404)=0,"",LEFT(AA404,LEN(AA404)-1))</f>
        <v/>
      </c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8"/>
      <c r="T404" s="37"/>
      <c r="U404" s="37"/>
      <c r="V404" s="39"/>
      <c r="W404" s="39"/>
      <c r="X404" s="40"/>
      <c r="Y404" s="41"/>
      <c r="Z404" s="42"/>
      <c r="AA404" s="43" t="str">
        <f aca="false">IF(G404&lt;&gt;"","Poplar|","")&amp;IF(H404&lt;&gt;"","FJ Primed Poplar|","")&amp;IF(I404&lt;&gt;"","FJ Primed Pine|","")&amp;IF(J404&lt;&gt;"","Clear Pine|","")&amp;IF(K404&lt;&gt;"","Primed MDF|","")&amp;IF(L404&lt;&gt;"","White Oak|","")&amp;IF(M404&lt;&gt;"","Red Oak|","")&amp;IF(N404&lt;&gt;"","Hard Maple|","")&amp;IF(O404&lt;&gt;"","Black Walnut|","")&amp;IF(P404&lt;&gt;"","Douglas Fir|","")&amp;IF(Q404&lt;&gt;"","Western Red Cedar|","")&amp;IF(R404&lt;&gt;"","PVC|","")&amp;IF(S404&lt;&gt;"","Flex|","")&amp;IF(T404&lt;&gt;"","Steel|","")&amp;IF(U404&lt;&gt;"","Plastic|","")&amp;IF(V404&lt;&gt;"",V404&amp;"|","")</f>
        <v/>
      </c>
    </row>
    <row r="405" customFormat="false" ht="16.5" hidden="false" customHeight="true" outlineLevel="0" collapsed="false">
      <c r="A405" s="34" t="s">
        <v>1073</v>
      </c>
      <c r="B405" s="35" t="s">
        <v>1074</v>
      </c>
      <c r="C405" s="34" t="s">
        <v>1061</v>
      </c>
      <c r="D405" s="34"/>
      <c r="E405" s="34" t="s">
        <v>1075</v>
      </c>
      <c r="F405" s="36" t="str">
        <f aca="false">IF(LEN(AA405)=0,"",LEFT(AA405,LEN(AA405)-1))</f>
        <v/>
      </c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8"/>
      <c r="T405" s="37"/>
      <c r="U405" s="37"/>
      <c r="V405" s="39"/>
      <c r="W405" s="39"/>
      <c r="X405" s="40"/>
      <c r="Y405" s="41"/>
      <c r="Z405" s="42"/>
      <c r="AA405" s="43" t="str">
        <f aca="false">IF(G405&lt;&gt;"","Poplar|","")&amp;IF(H405&lt;&gt;"","FJ Primed Poplar|","")&amp;IF(I405&lt;&gt;"","FJ Primed Pine|","")&amp;IF(J405&lt;&gt;"","Clear Pine|","")&amp;IF(K405&lt;&gt;"","Primed MDF|","")&amp;IF(L405&lt;&gt;"","White Oak|","")&amp;IF(M405&lt;&gt;"","Red Oak|","")&amp;IF(N405&lt;&gt;"","Hard Maple|","")&amp;IF(O405&lt;&gt;"","Black Walnut|","")&amp;IF(P405&lt;&gt;"","Douglas Fir|","")&amp;IF(Q405&lt;&gt;"","Western Red Cedar|","")&amp;IF(R405&lt;&gt;"","PVC|","")&amp;IF(S405&lt;&gt;"","Flex|","")&amp;IF(T405&lt;&gt;"","Steel|","")&amp;IF(U405&lt;&gt;"","Plastic|","")&amp;IF(V405&lt;&gt;"",V405&amp;"|","")</f>
        <v/>
      </c>
    </row>
    <row r="406" customFormat="false" ht="16.5" hidden="false" customHeight="true" outlineLevel="0" collapsed="false">
      <c r="A406" s="34" t="s">
        <v>1076</v>
      </c>
      <c r="B406" s="35" t="s">
        <v>1077</v>
      </c>
      <c r="C406" s="34" t="s">
        <v>1061</v>
      </c>
      <c r="D406" s="34"/>
      <c r="E406" s="34" t="s">
        <v>1078</v>
      </c>
      <c r="F406" s="36" t="str">
        <f aca="false">IF(LEN(AA406)=0,"",LEFT(AA406,LEN(AA406)-1))</f>
        <v/>
      </c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8"/>
      <c r="T406" s="37"/>
      <c r="U406" s="37"/>
      <c r="V406" s="39"/>
      <c r="W406" s="39"/>
      <c r="X406" s="40"/>
      <c r="Y406" s="41"/>
      <c r="Z406" s="42"/>
      <c r="AA406" s="43" t="str">
        <f aca="false">IF(G406&lt;&gt;"","Poplar|","")&amp;IF(H406&lt;&gt;"","FJ Primed Poplar|","")&amp;IF(I406&lt;&gt;"","FJ Primed Pine|","")&amp;IF(J406&lt;&gt;"","Clear Pine|","")&amp;IF(K406&lt;&gt;"","Primed MDF|","")&amp;IF(L406&lt;&gt;"","White Oak|","")&amp;IF(M406&lt;&gt;"","Red Oak|","")&amp;IF(N406&lt;&gt;"","Hard Maple|","")&amp;IF(O406&lt;&gt;"","Black Walnut|","")&amp;IF(P406&lt;&gt;"","Douglas Fir|","")&amp;IF(Q406&lt;&gt;"","Western Red Cedar|","")&amp;IF(R406&lt;&gt;"","PVC|","")&amp;IF(S406&lt;&gt;"","Flex|","")&amp;IF(T406&lt;&gt;"","Steel|","")&amp;IF(U406&lt;&gt;"","Plastic|","")&amp;IF(V406&lt;&gt;"",V406&amp;"|","")</f>
        <v/>
      </c>
    </row>
    <row r="407" customFormat="false" ht="16.5" hidden="false" customHeight="true" outlineLevel="0" collapsed="false">
      <c r="A407" s="44"/>
      <c r="B407" s="45" t="s">
        <v>1079</v>
      </c>
      <c r="C407" s="44" t="s">
        <v>1080</v>
      </c>
      <c r="D407" s="44"/>
      <c r="E407" s="44"/>
      <c r="F407" s="36" t="str">
        <f aca="false">IF(LEN(AA407)=0,"",LEFT(AA407,LEN(AA407)-1))</f>
        <v/>
      </c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8"/>
      <c r="T407" s="37"/>
      <c r="U407" s="37"/>
      <c r="V407" s="46"/>
      <c r="W407" s="46"/>
      <c r="X407" s="40"/>
      <c r="Y407" s="41"/>
      <c r="Z407" s="42"/>
      <c r="AA407" s="43" t="str">
        <f aca="false">IF(G407&lt;&gt;"","Poplar|","")&amp;IF(H407&lt;&gt;"","FJ Primed Poplar|","")&amp;IF(I407&lt;&gt;"","FJ Primed Pine|","")&amp;IF(J407&lt;&gt;"","Clear Pine|","")&amp;IF(K407&lt;&gt;"","Primed MDF|","")&amp;IF(L407&lt;&gt;"","White Oak|","")&amp;IF(M407&lt;&gt;"","Red Oak|","")&amp;IF(N407&lt;&gt;"","Hard Maple|","")&amp;IF(O407&lt;&gt;"","Black Walnut|","")&amp;IF(P407&lt;&gt;"","Douglas Fir|","")&amp;IF(Q407&lt;&gt;"","Western Red Cedar|","")&amp;IF(R407&lt;&gt;"","PVC|","")&amp;IF(S407&lt;&gt;"","Flex|","")&amp;IF(T407&lt;&gt;"","Steel|","")&amp;IF(U407&lt;&gt;"","Plastic|","")&amp;IF(V407&lt;&gt;"",V407&amp;"|","")</f>
        <v/>
      </c>
    </row>
    <row r="408" customFormat="false" ht="16.5" hidden="false" customHeight="true" outlineLevel="0" collapsed="false">
      <c r="A408" s="44"/>
      <c r="B408" s="45" t="s">
        <v>1081</v>
      </c>
      <c r="C408" s="44" t="s">
        <v>1080</v>
      </c>
      <c r="D408" s="44"/>
      <c r="E408" s="44"/>
      <c r="F408" s="36" t="str">
        <f aca="false">IF(LEN(AA408)=0,"",LEFT(AA408,LEN(AA408)-1))</f>
        <v/>
      </c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8"/>
      <c r="T408" s="37"/>
      <c r="U408" s="37"/>
      <c r="V408" s="46"/>
      <c r="W408" s="46"/>
      <c r="X408" s="40"/>
      <c r="Y408" s="41"/>
      <c r="Z408" s="42"/>
      <c r="AA408" s="43" t="str">
        <f aca="false">IF(G408&lt;&gt;"","Poplar|","")&amp;IF(H408&lt;&gt;"","FJ Primed Poplar|","")&amp;IF(I408&lt;&gt;"","FJ Primed Pine|","")&amp;IF(J408&lt;&gt;"","Clear Pine|","")&amp;IF(K408&lt;&gt;"","Primed MDF|","")&amp;IF(L408&lt;&gt;"","White Oak|","")&amp;IF(M408&lt;&gt;"","Red Oak|","")&amp;IF(N408&lt;&gt;"","Hard Maple|","")&amp;IF(O408&lt;&gt;"","Black Walnut|","")&amp;IF(P408&lt;&gt;"","Douglas Fir|","")&amp;IF(Q408&lt;&gt;"","Western Red Cedar|","")&amp;IF(R408&lt;&gt;"","PVC|","")&amp;IF(S408&lt;&gt;"","Flex|","")&amp;IF(T408&lt;&gt;"","Steel|","")&amp;IF(U408&lt;&gt;"","Plastic|","")&amp;IF(V408&lt;&gt;"",V408&amp;"|","")</f>
        <v/>
      </c>
    </row>
    <row r="409" customFormat="false" ht="16.5" hidden="false" customHeight="true" outlineLevel="0" collapsed="false">
      <c r="A409" s="44" t="s">
        <v>1082</v>
      </c>
      <c r="B409" s="45" t="s">
        <v>1083</v>
      </c>
      <c r="C409" s="44" t="s">
        <v>1080</v>
      </c>
      <c r="D409" s="44"/>
      <c r="E409" s="44"/>
      <c r="F409" s="36" t="str">
        <f aca="false">IF(LEN(AA409)=0,"",LEFT(AA409,LEN(AA409)-1))</f>
        <v/>
      </c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8"/>
      <c r="T409" s="37"/>
      <c r="U409" s="37"/>
      <c r="V409" s="46"/>
      <c r="W409" s="46"/>
      <c r="X409" s="40"/>
      <c r="Y409" s="41"/>
      <c r="Z409" s="42"/>
      <c r="AA409" s="43" t="str">
        <f aca="false">IF(G409&lt;&gt;"","Poplar|","")&amp;IF(H409&lt;&gt;"","FJ Primed Poplar|","")&amp;IF(I409&lt;&gt;"","FJ Primed Pine|","")&amp;IF(J409&lt;&gt;"","Clear Pine|","")&amp;IF(K409&lt;&gt;"","Primed MDF|","")&amp;IF(L409&lt;&gt;"","White Oak|","")&amp;IF(M409&lt;&gt;"","Red Oak|","")&amp;IF(N409&lt;&gt;"","Hard Maple|","")&amp;IF(O409&lt;&gt;"","Black Walnut|","")&amp;IF(P409&lt;&gt;"","Douglas Fir|","")&amp;IF(Q409&lt;&gt;"","Western Red Cedar|","")&amp;IF(R409&lt;&gt;"","PVC|","")&amp;IF(S409&lt;&gt;"","Flex|","")&amp;IF(T409&lt;&gt;"","Steel|","")&amp;IF(U409&lt;&gt;"","Plastic|","")&amp;IF(V409&lt;&gt;"",V409&amp;"|","")</f>
        <v/>
      </c>
    </row>
    <row r="410" customFormat="false" ht="16.5" hidden="false" customHeight="true" outlineLevel="0" collapsed="false">
      <c r="A410" s="44" t="s">
        <v>1084</v>
      </c>
      <c r="B410" s="45" t="s">
        <v>1085</v>
      </c>
      <c r="C410" s="44" t="s">
        <v>1080</v>
      </c>
      <c r="D410" s="44"/>
      <c r="E410" s="44"/>
      <c r="F410" s="36" t="str">
        <f aca="false">IF(LEN(AA410)=0,"",LEFT(AA410,LEN(AA410)-1))</f>
        <v/>
      </c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8"/>
      <c r="T410" s="37"/>
      <c r="U410" s="37"/>
      <c r="V410" s="46"/>
      <c r="W410" s="46"/>
      <c r="X410" s="40"/>
      <c r="Y410" s="41"/>
      <c r="Z410" s="42"/>
      <c r="AA410" s="43" t="str">
        <f aca="false">IF(G410&lt;&gt;"","Poplar|","")&amp;IF(H410&lt;&gt;"","FJ Primed Poplar|","")&amp;IF(I410&lt;&gt;"","FJ Primed Pine|","")&amp;IF(J410&lt;&gt;"","Clear Pine|","")&amp;IF(K410&lt;&gt;"","Primed MDF|","")&amp;IF(L410&lt;&gt;"","White Oak|","")&amp;IF(M410&lt;&gt;"","Red Oak|","")&amp;IF(N410&lt;&gt;"","Hard Maple|","")&amp;IF(O410&lt;&gt;"","Black Walnut|","")&amp;IF(P410&lt;&gt;"","Douglas Fir|","")&amp;IF(Q410&lt;&gt;"","Western Red Cedar|","")&amp;IF(R410&lt;&gt;"","PVC|","")&amp;IF(S410&lt;&gt;"","Flex|","")&amp;IF(T410&lt;&gt;"","Steel|","")&amp;IF(U410&lt;&gt;"","Plastic|","")&amp;IF(V410&lt;&gt;"",V410&amp;"|","")</f>
        <v/>
      </c>
    </row>
    <row r="411" customFormat="false" ht="16.5" hidden="false" customHeight="true" outlineLevel="0" collapsed="false">
      <c r="A411" s="44" t="s">
        <v>1086</v>
      </c>
      <c r="B411" s="45" t="s">
        <v>1087</v>
      </c>
      <c r="C411" s="44" t="s">
        <v>1080</v>
      </c>
      <c r="D411" s="44"/>
      <c r="E411" s="44"/>
      <c r="F411" s="36" t="str">
        <f aca="false">IF(LEN(AA411)=0,"",LEFT(AA411,LEN(AA411)-1))</f>
        <v/>
      </c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8"/>
      <c r="T411" s="37"/>
      <c r="U411" s="37"/>
      <c r="V411" s="46"/>
      <c r="W411" s="46"/>
      <c r="X411" s="40"/>
      <c r="Y411" s="41"/>
      <c r="Z411" s="42"/>
      <c r="AA411" s="43" t="str">
        <f aca="false">IF(G411&lt;&gt;"","Poplar|","")&amp;IF(H411&lt;&gt;"","FJ Primed Poplar|","")&amp;IF(I411&lt;&gt;"","FJ Primed Pine|","")&amp;IF(J411&lt;&gt;"","Clear Pine|","")&amp;IF(K411&lt;&gt;"","Primed MDF|","")&amp;IF(L411&lt;&gt;"","White Oak|","")&amp;IF(M411&lt;&gt;"","Red Oak|","")&amp;IF(N411&lt;&gt;"","Hard Maple|","")&amp;IF(O411&lt;&gt;"","Black Walnut|","")&amp;IF(P411&lt;&gt;"","Douglas Fir|","")&amp;IF(Q411&lt;&gt;"","Western Red Cedar|","")&amp;IF(R411&lt;&gt;"","PVC|","")&amp;IF(S411&lt;&gt;"","Flex|","")&amp;IF(T411&lt;&gt;"","Steel|","")&amp;IF(U411&lt;&gt;"","Plastic|","")&amp;IF(V411&lt;&gt;"",V411&amp;"|","")</f>
        <v/>
      </c>
    </row>
    <row r="412" customFormat="false" ht="16.5" hidden="false" customHeight="true" outlineLevel="0" collapsed="false">
      <c r="A412" s="44" t="s">
        <v>1088</v>
      </c>
      <c r="B412" s="45" t="s">
        <v>1089</v>
      </c>
      <c r="C412" s="44" t="s">
        <v>1080</v>
      </c>
      <c r="D412" s="44"/>
      <c r="E412" s="44"/>
      <c r="F412" s="36" t="str">
        <f aca="false">IF(LEN(AA412)=0,"",LEFT(AA412,LEN(AA412)-1))</f>
        <v/>
      </c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8"/>
      <c r="T412" s="37"/>
      <c r="U412" s="37"/>
      <c r="V412" s="46"/>
      <c r="W412" s="46"/>
      <c r="X412" s="40"/>
      <c r="Y412" s="41"/>
      <c r="Z412" s="42"/>
      <c r="AA412" s="43" t="str">
        <f aca="false">IF(G412&lt;&gt;"","Poplar|","")&amp;IF(H412&lt;&gt;"","FJ Primed Poplar|","")&amp;IF(I412&lt;&gt;"","FJ Primed Pine|","")&amp;IF(J412&lt;&gt;"","Clear Pine|","")&amp;IF(K412&lt;&gt;"","Primed MDF|","")&amp;IF(L412&lt;&gt;"","White Oak|","")&amp;IF(M412&lt;&gt;"","Red Oak|","")&amp;IF(N412&lt;&gt;"","Hard Maple|","")&amp;IF(O412&lt;&gt;"","Black Walnut|","")&amp;IF(P412&lt;&gt;"","Douglas Fir|","")&amp;IF(Q412&lt;&gt;"","Western Red Cedar|","")&amp;IF(R412&lt;&gt;"","PVC|","")&amp;IF(S412&lt;&gt;"","Flex|","")&amp;IF(T412&lt;&gt;"","Steel|","")&amp;IF(U412&lt;&gt;"","Plastic|","")&amp;IF(V412&lt;&gt;"",V412&amp;"|","")</f>
        <v/>
      </c>
    </row>
    <row r="413" customFormat="false" ht="16.5" hidden="false" customHeight="true" outlineLevel="0" collapsed="false">
      <c r="A413" s="34"/>
      <c r="B413" s="35" t="s">
        <v>1090</v>
      </c>
      <c r="C413" s="34" t="s">
        <v>1091</v>
      </c>
      <c r="D413" s="34"/>
      <c r="E413" s="34"/>
      <c r="F413" s="36" t="str">
        <f aca="false">IF(LEN(AA413)=0,"",LEFT(AA413,LEN(AA413)-1))</f>
        <v/>
      </c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8"/>
      <c r="T413" s="37"/>
      <c r="U413" s="37"/>
      <c r="V413" s="39"/>
      <c r="W413" s="39"/>
      <c r="X413" s="40"/>
      <c r="Y413" s="41"/>
      <c r="Z413" s="42"/>
      <c r="AA413" s="43" t="str">
        <f aca="false">IF(G413&lt;&gt;"","Poplar|","")&amp;IF(H413&lt;&gt;"","FJ Primed Poplar|","")&amp;IF(I413&lt;&gt;"","FJ Primed Pine|","")&amp;IF(J413&lt;&gt;"","Clear Pine|","")&amp;IF(K413&lt;&gt;"","Primed MDF|","")&amp;IF(L413&lt;&gt;"","White Oak|","")&amp;IF(M413&lt;&gt;"","Red Oak|","")&amp;IF(N413&lt;&gt;"","Hard Maple|","")&amp;IF(O413&lt;&gt;"","Black Walnut|","")&amp;IF(P413&lt;&gt;"","Douglas Fir|","")&amp;IF(Q413&lt;&gt;"","Western Red Cedar|","")&amp;IF(R413&lt;&gt;"","PVC|","")&amp;IF(S413&lt;&gt;"","Flex|","")&amp;IF(T413&lt;&gt;"","Steel|","")&amp;IF(U413&lt;&gt;"","Plastic|","")&amp;IF(V413&lt;&gt;"",V413&amp;"|","")</f>
        <v/>
      </c>
    </row>
    <row r="414" customFormat="false" ht="16.5" hidden="false" customHeight="true" outlineLevel="0" collapsed="false">
      <c r="A414" s="34"/>
      <c r="B414" s="35" t="s">
        <v>1092</v>
      </c>
      <c r="C414" s="34" t="s">
        <v>1091</v>
      </c>
      <c r="D414" s="34"/>
      <c r="E414" s="34"/>
      <c r="F414" s="36" t="str">
        <f aca="false">IF(LEN(AA414)=0,"",LEFT(AA414,LEN(AA414)-1))</f>
        <v/>
      </c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8"/>
      <c r="T414" s="37"/>
      <c r="U414" s="37"/>
      <c r="V414" s="39"/>
      <c r="W414" s="39"/>
      <c r="X414" s="40"/>
      <c r="Y414" s="41"/>
      <c r="Z414" s="42"/>
      <c r="AA414" s="43" t="str">
        <f aca="false">IF(G414&lt;&gt;"","Poplar|","")&amp;IF(H414&lt;&gt;"","FJ Primed Poplar|","")&amp;IF(I414&lt;&gt;"","FJ Primed Pine|","")&amp;IF(J414&lt;&gt;"","Clear Pine|","")&amp;IF(K414&lt;&gt;"","Primed MDF|","")&amp;IF(L414&lt;&gt;"","White Oak|","")&amp;IF(M414&lt;&gt;"","Red Oak|","")&amp;IF(N414&lt;&gt;"","Hard Maple|","")&amp;IF(O414&lt;&gt;"","Black Walnut|","")&amp;IF(P414&lt;&gt;"","Douglas Fir|","")&amp;IF(Q414&lt;&gt;"","Western Red Cedar|","")&amp;IF(R414&lt;&gt;"","PVC|","")&amp;IF(S414&lt;&gt;"","Flex|","")&amp;IF(T414&lt;&gt;"","Steel|","")&amp;IF(U414&lt;&gt;"","Plastic|","")&amp;IF(V414&lt;&gt;"",V414&amp;"|","")</f>
        <v/>
      </c>
    </row>
    <row r="415" customFormat="false" ht="16.5" hidden="false" customHeight="true" outlineLevel="0" collapsed="false">
      <c r="A415" s="34"/>
      <c r="B415" s="35" t="s">
        <v>1093</v>
      </c>
      <c r="C415" s="34" t="s">
        <v>1091</v>
      </c>
      <c r="D415" s="34"/>
      <c r="E415" s="34"/>
      <c r="F415" s="36" t="str">
        <f aca="false">IF(LEN(AA415)=0,"",LEFT(AA415,LEN(AA415)-1))</f>
        <v/>
      </c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8"/>
      <c r="T415" s="37"/>
      <c r="U415" s="37"/>
      <c r="V415" s="39"/>
      <c r="W415" s="39"/>
      <c r="X415" s="40"/>
      <c r="Y415" s="41"/>
      <c r="Z415" s="42"/>
      <c r="AA415" s="43" t="str">
        <f aca="false">IF(G415&lt;&gt;"","Poplar|","")&amp;IF(H415&lt;&gt;"","FJ Primed Poplar|","")&amp;IF(I415&lt;&gt;"","FJ Primed Pine|","")&amp;IF(J415&lt;&gt;"","Clear Pine|","")&amp;IF(K415&lt;&gt;"","Primed MDF|","")&amp;IF(L415&lt;&gt;"","White Oak|","")&amp;IF(M415&lt;&gt;"","Red Oak|","")&amp;IF(N415&lt;&gt;"","Hard Maple|","")&amp;IF(O415&lt;&gt;"","Black Walnut|","")&amp;IF(P415&lt;&gt;"","Douglas Fir|","")&amp;IF(Q415&lt;&gt;"","Western Red Cedar|","")&amp;IF(R415&lt;&gt;"","PVC|","")&amp;IF(S415&lt;&gt;"","Flex|","")&amp;IF(T415&lt;&gt;"","Steel|","")&amp;IF(U415&lt;&gt;"","Plastic|","")&amp;IF(V415&lt;&gt;"",V415&amp;"|","")</f>
        <v/>
      </c>
    </row>
    <row r="416" customFormat="false" ht="16.5" hidden="false" customHeight="true" outlineLevel="0" collapsed="false">
      <c r="A416" s="34"/>
      <c r="B416" s="35" t="s">
        <v>1094</v>
      </c>
      <c r="C416" s="34" t="s">
        <v>1091</v>
      </c>
      <c r="D416" s="34"/>
      <c r="E416" s="34"/>
      <c r="F416" s="36" t="str">
        <f aca="false">IF(LEN(AA416)=0,"",LEFT(AA416,LEN(AA416)-1))</f>
        <v/>
      </c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8"/>
      <c r="T416" s="37"/>
      <c r="U416" s="37"/>
      <c r="V416" s="39"/>
      <c r="W416" s="39"/>
      <c r="X416" s="40"/>
      <c r="Y416" s="41"/>
      <c r="Z416" s="42"/>
      <c r="AA416" s="43" t="str">
        <f aca="false">IF(G416&lt;&gt;"","Poplar|","")&amp;IF(H416&lt;&gt;"","FJ Primed Poplar|","")&amp;IF(I416&lt;&gt;"","FJ Primed Pine|","")&amp;IF(J416&lt;&gt;"","Clear Pine|","")&amp;IF(K416&lt;&gt;"","Primed MDF|","")&amp;IF(L416&lt;&gt;"","White Oak|","")&amp;IF(M416&lt;&gt;"","Red Oak|","")&amp;IF(N416&lt;&gt;"","Hard Maple|","")&amp;IF(O416&lt;&gt;"","Black Walnut|","")&amp;IF(P416&lt;&gt;"","Douglas Fir|","")&amp;IF(Q416&lt;&gt;"","Western Red Cedar|","")&amp;IF(R416&lt;&gt;"","PVC|","")&amp;IF(S416&lt;&gt;"","Flex|","")&amp;IF(T416&lt;&gt;"","Steel|","")&amp;IF(U416&lt;&gt;"","Plastic|","")&amp;IF(V416&lt;&gt;"",V416&amp;"|","")</f>
        <v/>
      </c>
    </row>
    <row r="417" customFormat="false" ht="16.5" hidden="false" customHeight="true" outlineLevel="0" collapsed="false">
      <c r="A417" s="34" t="s">
        <v>1095</v>
      </c>
      <c r="B417" s="35" t="s">
        <v>1096</v>
      </c>
      <c r="C417" s="34" t="s">
        <v>1091</v>
      </c>
      <c r="D417" s="34"/>
      <c r="E417" s="34"/>
      <c r="F417" s="36" t="str">
        <f aca="false">IF(LEN(AA417)=0,"",LEFT(AA417,LEN(AA417)-1))</f>
        <v/>
      </c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8"/>
      <c r="T417" s="37"/>
      <c r="U417" s="37"/>
      <c r="V417" s="39"/>
      <c r="W417" s="39"/>
      <c r="X417" s="40"/>
      <c r="Y417" s="41"/>
      <c r="Z417" s="42"/>
      <c r="AA417" s="43" t="str">
        <f aca="false">IF(G417&lt;&gt;"","Poplar|","")&amp;IF(H417&lt;&gt;"","FJ Primed Poplar|","")&amp;IF(I417&lt;&gt;"","FJ Primed Pine|","")&amp;IF(J417&lt;&gt;"","Clear Pine|","")&amp;IF(K417&lt;&gt;"","Primed MDF|","")&amp;IF(L417&lt;&gt;"","White Oak|","")&amp;IF(M417&lt;&gt;"","Red Oak|","")&amp;IF(N417&lt;&gt;"","Hard Maple|","")&amp;IF(O417&lt;&gt;"","Black Walnut|","")&amp;IF(P417&lt;&gt;"","Douglas Fir|","")&amp;IF(Q417&lt;&gt;"","Western Red Cedar|","")&amp;IF(R417&lt;&gt;"","PVC|","")&amp;IF(S417&lt;&gt;"","Flex|","")&amp;IF(T417&lt;&gt;"","Steel|","")&amp;IF(U417&lt;&gt;"","Plastic|","")&amp;IF(V417&lt;&gt;"",V417&amp;"|","")</f>
        <v/>
      </c>
    </row>
    <row r="418" customFormat="false" ht="16.5" hidden="false" customHeight="true" outlineLevel="0" collapsed="false">
      <c r="A418" s="34" t="s">
        <v>1097</v>
      </c>
      <c r="B418" s="35" t="s">
        <v>1098</v>
      </c>
      <c r="C418" s="34" t="s">
        <v>1091</v>
      </c>
      <c r="D418" s="34"/>
      <c r="E418" s="34"/>
      <c r="F418" s="36" t="str">
        <f aca="false">IF(LEN(AA418)=0,"",LEFT(AA418,LEN(AA418)-1))</f>
        <v/>
      </c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8"/>
      <c r="T418" s="37"/>
      <c r="U418" s="37"/>
      <c r="V418" s="39"/>
      <c r="W418" s="39"/>
      <c r="X418" s="40"/>
      <c r="Y418" s="41"/>
      <c r="Z418" s="42"/>
      <c r="AA418" s="43" t="str">
        <f aca="false">IF(G418&lt;&gt;"","Poplar|","")&amp;IF(H418&lt;&gt;"","FJ Primed Poplar|","")&amp;IF(I418&lt;&gt;"","FJ Primed Pine|","")&amp;IF(J418&lt;&gt;"","Clear Pine|","")&amp;IF(K418&lt;&gt;"","Primed MDF|","")&amp;IF(L418&lt;&gt;"","White Oak|","")&amp;IF(M418&lt;&gt;"","Red Oak|","")&amp;IF(N418&lt;&gt;"","Hard Maple|","")&amp;IF(O418&lt;&gt;"","Black Walnut|","")&amp;IF(P418&lt;&gt;"","Douglas Fir|","")&amp;IF(Q418&lt;&gt;"","Western Red Cedar|","")&amp;IF(R418&lt;&gt;"","PVC|","")&amp;IF(S418&lt;&gt;"","Flex|","")&amp;IF(T418&lt;&gt;"","Steel|","")&amp;IF(U418&lt;&gt;"","Plastic|","")&amp;IF(V418&lt;&gt;"",V418&amp;"|","")</f>
        <v/>
      </c>
    </row>
    <row r="419" customFormat="false" ht="16.5" hidden="false" customHeight="true" outlineLevel="0" collapsed="false">
      <c r="A419" s="34" t="s">
        <v>1099</v>
      </c>
      <c r="B419" s="35" t="s">
        <v>1100</v>
      </c>
      <c r="C419" s="34" t="s">
        <v>1091</v>
      </c>
      <c r="D419" s="34"/>
      <c r="E419" s="34"/>
      <c r="F419" s="36" t="str">
        <f aca="false">IF(LEN(AA419)=0,"",LEFT(AA419,LEN(AA419)-1))</f>
        <v/>
      </c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8"/>
      <c r="T419" s="37"/>
      <c r="U419" s="37"/>
      <c r="V419" s="39"/>
      <c r="W419" s="39"/>
      <c r="X419" s="40"/>
      <c r="Y419" s="41"/>
      <c r="Z419" s="42"/>
      <c r="AA419" s="43" t="str">
        <f aca="false">IF(G419&lt;&gt;"","Poplar|","")&amp;IF(H419&lt;&gt;"","FJ Primed Poplar|","")&amp;IF(I419&lt;&gt;"","FJ Primed Pine|","")&amp;IF(J419&lt;&gt;"","Clear Pine|","")&amp;IF(K419&lt;&gt;"","Primed MDF|","")&amp;IF(L419&lt;&gt;"","White Oak|","")&amp;IF(M419&lt;&gt;"","Red Oak|","")&amp;IF(N419&lt;&gt;"","Hard Maple|","")&amp;IF(O419&lt;&gt;"","Black Walnut|","")&amp;IF(P419&lt;&gt;"","Douglas Fir|","")&amp;IF(Q419&lt;&gt;"","Western Red Cedar|","")&amp;IF(R419&lt;&gt;"","PVC|","")&amp;IF(S419&lt;&gt;"","Flex|","")&amp;IF(T419&lt;&gt;"","Steel|","")&amp;IF(U419&lt;&gt;"","Plastic|","")&amp;IF(V419&lt;&gt;"",V419&amp;"|","")</f>
        <v/>
      </c>
    </row>
    <row r="420" customFormat="false" ht="16.5" hidden="false" customHeight="true" outlineLevel="0" collapsed="false">
      <c r="A420" s="34" t="s">
        <v>1101</v>
      </c>
      <c r="B420" s="35" t="s">
        <v>1102</v>
      </c>
      <c r="C420" s="34" t="s">
        <v>1091</v>
      </c>
      <c r="D420" s="34"/>
      <c r="E420" s="34"/>
      <c r="F420" s="36" t="str">
        <f aca="false">IF(LEN(AA420)=0,"",LEFT(AA420,LEN(AA420)-1))</f>
        <v/>
      </c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8"/>
      <c r="T420" s="37"/>
      <c r="U420" s="37"/>
      <c r="V420" s="39"/>
      <c r="W420" s="39"/>
      <c r="X420" s="40"/>
      <c r="Y420" s="41"/>
      <c r="Z420" s="42"/>
      <c r="AA420" s="43" t="str">
        <f aca="false">IF(G420&lt;&gt;"","Poplar|","")&amp;IF(H420&lt;&gt;"","FJ Primed Poplar|","")&amp;IF(I420&lt;&gt;"","FJ Primed Pine|","")&amp;IF(J420&lt;&gt;"","Clear Pine|","")&amp;IF(K420&lt;&gt;"","Primed MDF|","")&amp;IF(L420&lt;&gt;"","White Oak|","")&amp;IF(M420&lt;&gt;"","Red Oak|","")&amp;IF(N420&lt;&gt;"","Hard Maple|","")&amp;IF(O420&lt;&gt;"","Black Walnut|","")&amp;IF(P420&lt;&gt;"","Douglas Fir|","")&amp;IF(Q420&lt;&gt;"","Western Red Cedar|","")&amp;IF(R420&lt;&gt;"","PVC|","")&amp;IF(S420&lt;&gt;"","Flex|","")&amp;IF(T420&lt;&gt;"","Steel|","")&amp;IF(U420&lt;&gt;"","Plastic|","")&amp;IF(V420&lt;&gt;"",V420&amp;"|","")</f>
        <v/>
      </c>
    </row>
    <row r="421" customFormat="false" ht="16.5" hidden="false" customHeight="true" outlineLevel="0" collapsed="false">
      <c r="A421" s="34" t="s">
        <v>1103</v>
      </c>
      <c r="B421" s="35" t="s">
        <v>1104</v>
      </c>
      <c r="C421" s="34" t="s">
        <v>1091</v>
      </c>
      <c r="D421" s="34"/>
      <c r="E421" s="34"/>
      <c r="F421" s="36" t="str">
        <f aca="false">IF(LEN(AA421)=0,"",LEFT(AA421,LEN(AA421)-1))</f>
        <v/>
      </c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8"/>
      <c r="T421" s="37"/>
      <c r="U421" s="37"/>
      <c r="V421" s="39"/>
      <c r="W421" s="39"/>
      <c r="X421" s="40"/>
      <c r="Y421" s="41"/>
      <c r="Z421" s="42"/>
      <c r="AA421" s="43" t="str">
        <f aca="false">IF(G421&lt;&gt;"","Poplar|","")&amp;IF(H421&lt;&gt;"","FJ Primed Poplar|","")&amp;IF(I421&lt;&gt;"","FJ Primed Pine|","")&amp;IF(J421&lt;&gt;"","Clear Pine|","")&amp;IF(K421&lt;&gt;"","Primed MDF|","")&amp;IF(L421&lt;&gt;"","White Oak|","")&amp;IF(M421&lt;&gt;"","Red Oak|","")&amp;IF(N421&lt;&gt;"","Hard Maple|","")&amp;IF(O421&lt;&gt;"","Black Walnut|","")&amp;IF(P421&lt;&gt;"","Douglas Fir|","")&amp;IF(Q421&lt;&gt;"","Western Red Cedar|","")&amp;IF(R421&lt;&gt;"","PVC|","")&amp;IF(S421&lt;&gt;"","Flex|","")&amp;IF(T421&lt;&gt;"","Steel|","")&amp;IF(U421&lt;&gt;"","Plastic|","")&amp;IF(V421&lt;&gt;"",V421&amp;"|","")</f>
        <v/>
      </c>
    </row>
    <row r="422" customFormat="false" ht="16.5" hidden="false" customHeight="true" outlineLevel="0" collapsed="false">
      <c r="A422" s="34" t="s">
        <v>1105</v>
      </c>
      <c r="B422" s="35" t="s">
        <v>1106</v>
      </c>
      <c r="C422" s="34" t="s">
        <v>1091</v>
      </c>
      <c r="D422" s="34"/>
      <c r="E422" s="34"/>
      <c r="F422" s="36" t="str">
        <f aca="false">IF(LEN(AA422)=0,"",LEFT(AA422,LEN(AA422)-1))</f>
        <v/>
      </c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8"/>
      <c r="T422" s="37"/>
      <c r="U422" s="37"/>
      <c r="V422" s="39"/>
      <c r="W422" s="39"/>
      <c r="X422" s="40"/>
      <c r="Y422" s="41"/>
      <c r="Z422" s="42"/>
      <c r="AA422" s="43" t="str">
        <f aca="false">IF(G422&lt;&gt;"","Poplar|","")&amp;IF(H422&lt;&gt;"","FJ Primed Poplar|","")&amp;IF(I422&lt;&gt;"","FJ Primed Pine|","")&amp;IF(J422&lt;&gt;"","Clear Pine|","")&amp;IF(K422&lt;&gt;"","Primed MDF|","")&amp;IF(L422&lt;&gt;"","White Oak|","")&amp;IF(M422&lt;&gt;"","Red Oak|","")&amp;IF(N422&lt;&gt;"","Hard Maple|","")&amp;IF(O422&lt;&gt;"","Black Walnut|","")&amp;IF(P422&lt;&gt;"","Douglas Fir|","")&amp;IF(Q422&lt;&gt;"","Western Red Cedar|","")&amp;IF(R422&lt;&gt;"","PVC|","")&amp;IF(S422&lt;&gt;"","Flex|","")&amp;IF(T422&lt;&gt;"","Steel|","")&amp;IF(U422&lt;&gt;"","Plastic|","")&amp;IF(V422&lt;&gt;"",V422&amp;"|","")</f>
        <v/>
      </c>
    </row>
    <row r="423" customFormat="false" ht="16.5" hidden="false" customHeight="true" outlineLevel="0" collapsed="false">
      <c r="A423" s="34" t="s">
        <v>1107</v>
      </c>
      <c r="B423" s="35" t="s">
        <v>1108</v>
      </c>
      <c r="C423" s="34" t="s">
        <v>1091</v>
      </c>
      <c r="D423" s="34"/>
      <c r="E423" s="34"/>
      <c r="F423" s="36" t="str">
        <f aca="false">IF(LEN(AA423)=0,"",LEFT(AA423,LEN(AA423)-1))</f>
        <v/>
      </c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8"/>
      <c r="T423" s="37"/>
      <c r="U423" s="37"/>
      <c r="V423" s="39"/>
      <c r="W423" s="39"/>
      <c r="X423" s="40"/>
      <c r="Y423" s="41"/>
      <c r="Z423" s="42"/>
      <c r="AA423" s="43" t="str">
        <f aca="false">IF(G423&lt;&gt;"","Poplar|","")&amp;IF(H423&lt;&gt;"","FJ Primed Poplar|","")&amp;IF(I423&lt;&gt;"","FJ Primed Pine|","")&amp;IF(J423&lt;&gt;"","Clear Pine|","")&amp;IF(K423&lt;&gt;"","Primed MDF|","")&amp;IF(L423&lt;&gt;"","White Oak|","")&amp;IF(M423&lt;&gt;"","Red Oak|","")&amp;IF(N423&lt;&gt;"","Hard Maple|","")&amp;IF(O423&lt;&gt;"","Black Walnut|","")&amp;IF(P423&lt;&gt;"","Douglas Fir|","")&amp;IF(Q423&lt;&gt;"","Western Red Cedar|","")&amp;IF(R423&lt;&gt;"","PVC|","")&amp;IF(S423&lt;&gt;"","Flex|","")&amp;IF(T423&lt;&gt;"","Steel|","")&amp;IF(U423&lt;&gt;"","Plastic|","")&amp;IF(V423&lt;&gt;"",V423&amp;"|","")</f>
        <v/>
      </c>
    </row>
    <row r="424" customFormat="false" ht="16.5" hidden="false" customHeight="true" outlineLevel="0" collapsed="false">
      <c r="A424" s="34" t="s">
        <v>1109</v>
      </c>
      <c r="B424" s="35" t="s">
        <v>1110</v>
      </c>
      <c r="C424" s="34" t="s">
        <v>1091</v>
      </c>
      <c r="D424" s="34"/>
      <c r="E424" s="34"/>
      <c r="F424" s="36" t="str">
        <f aca="false">IF(LEN(AA424)=0,"",LEFT(AA424,LEN(AA424)-1))</f>
        <v/>
      </c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8"/>
      <c r="T424" s="37"/>
      <c r="U424" s="37"/>
      <c r="V424" s="39"/>
      <c r="W424" s="39"/>
      <c r="X424" s="40"/>
      <c r="Y424" s="41"/>
      <c r="Z424" s="42"/>
      <c r="AA424" s="43" t="str">
        <f aca="false">IF(G424&lt;&gt;"","Poplar|","")&amp;IF(H424&lt;&gt;"","FJ Primed Poplar|","")&amp;IF(I424&lt;&gt;"","FJ Primed Pine|","")&amp;IF(J424&lt;&gt;"","Clear Pine|","")&amp;IF(K424&lt;&gt;"","Primed MDF|","")&amp;IF(L424&lt;&gt;"","White Oak|","")&amp;IF(M424&lt;&gt;"","Red Oak|","")&amp;IF(N424&lt;&gt;"","Hard Maple|","")&amp;IF(O424&lt;&gt;"","Black Walnut|","")&amp;IF(P424&lt;&gt;"","Douglas Fir|","")&amp;IF(Q424&lt;&gt;"","Western Red Cedar|","")&amp;IF(R424&lt;&gt;"","PVC|","")&amp;IF(S424&lt;&gt;"","Flex|","")&amp;IF(T424&lt;&gt;"","Steel|","")&amp;IF(U424&lt;&gt;"","Plastic|","")&amp;IF(V424&lt;&gt;"",V424&amp;"|","")</f>
        <v/>
      </c>
    </row>
    <row r="425" customFormat="false" ht="16.5" hidden="false" customHeight="true" outlineLevel="0" collapsed="false">
      <c r="A425" s="34" t="s">
        <v>1111</v>
      </c>
      <c r="B425" s="35" t="s">
        <v>1112</v>
      </c>
      <c r="C425" s="34" t="s">
        <v>1091</v>
      </c>
      <c r="D425" s="34"/>
      <c r="E425" s="34"/>
      <c r="F425" s="36" t="str">
        <f aca="false">IF(LEN(AA425)=0,"",LEFT(AA425,LEN(AA425)-1))</f>
        <v/>
      </c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8"/>
      <c r="T425" s="37"/>
      <c r="U425" s="37"/>
      <c r="V425" s="39"/>
      <c r="W425" s="39"/>
      <c r="X425" s="40"/>
      <c r="Y425" s="41"/>
      <c r="Z425" s="42"/>
      <c r="AA425" s="43" t="str">
        <f aca="false">IF(G425&lt;&gt;"","Poplar|","")&amp;IF(H425&lt;&gt;"","FJ Primed Poplar|","")&amp;IF(I425&lt;&gt;"","FJ Primed Pine|","")&amp;IF(J425&lt;&gt;"","Clear Pine|","")&amp;IF(K425&lt;&gt;"","Primed MDF|","")&amp;IF(L425&lt;&gt;"","White Oak|","")&amp;IF(M425&lt;&gt;"","Red Oak|","")&amp;IF(N425&lt;&gt;"","Hard Maple|","")&amp;IF(O425&lt;&gt;"","Black Walnut|","")&amp;IF(P425&lt;&gt;"","Douglas Fir|","")&amp;IF(Q425&lt;&gt;"","Western Red Cedar|","")&amp;IF(R425&lt;&gt;"","PVC|","")&amp;IF(S425&lt;&gt;"","Flex|","")&amp;IF(T425&lt;&gt;"","Steel|","")&amp;IF(U425&lt;&gt;"","Plastic|","")&amp;IF(V425&lt;&gt;"",V425&amp;"|","")</f>
        <v/>
      </c>
    </row>
    <row r="426" customFormat="false" ht="16.5" hidden="false" customHeight="true" outlineLevel="0" collapsed="false">
      <c r="A426" s="34" t="s">
        <v>1113</v>
      </c>
      <c r="B426" s="35" t="s">
        <v>1114</v>
      </c>
      <c r="C426" s="34" t="s">
        <v>1091</v>
      </c>
      <c r="D426" s="34"/>
      <c r="E426" s="34"/>
      <c r="F426" s="36" t="str">
        <f aca="false">IF(LEN(AA426)=0,"",LEFT(AA426,LEN(AA426)-1))</f>
        <v/>
      </c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8"/>
      <c r="T426" s="37"/>
      <c r="U426" s="37"/>
      <c r="V426" s="39"/>
      <c r="W426" s="39"/>
      <c r="X426" s="40"/>
      <c r="Y426" s="41"/>
      <c r="Z426" s="42"/>
      <c r="AA426" s="43" t="str">
        <f aca="false">IF(G426&lt;&gt;"","Poplar|","")&amp;IF(H426&lt;&gt;"","FJ Primed Poplar|","")&amp;IF(I426&lt;&gt;"","FJ Primed Pine|","")&amp;IF(J426&lt;&gt;"","Clear Pine|","")&amp;IF(K426&lt;&gt;"","Primed MDF|","")&amp;IF(L426&lt;&gt;"","White Oak|","")&amp;IF(M426&lt;&gt;"","Red Oak|","")&amp;IF(N426&lt;&gt;"","Hard Maple|","")&amp;IF(O426&lt;&gt;"","Black Walnut|","")&amp;IF(P426&lt;&gt;"","Douglas Fir|","")&amp;IF(Q426&lt;&gt;"","Western Red Cedar|","")&amp;IF(R426&lt;&gt;"","PVC|","")&amp;IF(S426&lt;&gt;"","Flex|","")&amp;IF(T426&lt;&gt;"","Steel|","")&amp;IF(U426&lt;&gt;"","Plastic|","")&amp;IF(V426&lt;&gt;"",V426&amp;"|","")</f>
        <v/>
      </c>
    </row>
    <row r="427" customFormat="false" ht="16.5" hidden="false" customHeight="true" outlineLevel="0" collapsed="false">
      <c r="A427" s="34" t="s">
        <v>1115</v>
      </c>
      <c r="B427" s="35" t="s">
        <v>1116</v>
      </c>
      <c r="C427" s="34" t="s">
        <v>1091</v>
      </c>
      <c r="D427" s="34"/>
      <c r="E427" s="34"/>
      <c r="F427" s="36" t="str">
        <f aca="false">IF(LEN(AA427)=0,"",LEFT(AA427,LEN(AA427)-1))</f>
        <v/>
      </c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8"/>
      <c r="T427" s="37"/>
      <c r="U427" s="37"/>
      <c r="V427" s="39"/>
      <c r="W427" s="39"/>
      <c r="X427" s="40"/>
      <c r="Y427" s="41"/>
      <c r="Z427" s="42"/>
      <c r="AA427" s="43" t="str">
        <f aca="false">IF(G427&lt;&gt;"","Poplar|","")&amp;IF(H427&lt;&gt;"","FJ Primed Poplar|","")&amp;IF(I427&lt;&gt;"","FJ Primed Pine|","")&amp;IF(J427&lt;&gt;"","Clear Pine|","")&amp;IF(K427&lt;&gt;"","Primed MDF|","")&amp;IF(L427&lt;&gt;"","White Oak|","")&amp;IF(M427&lt;&gt;"","Red Oak|","")&amp;IF(N427&lt;&gt;"","Hard Maple|","")&amp;IF(O427&lt;&gt;"","Black Walnut|","")&amp;IF(P427&lt;&gt;"","Douglas Fir|","")&amp;IF(Q427&lt;&gt;"","Western Red Cedar|","")&amp;IF(R427&lt;&gt;"","PVC|","")&amp;IF(S427&lt;&gt;"","Flex|","")&amp;IF(T427&lt;&gt;"","Steel|","")&amp;IF(U427&lt;&gt;"","Plastic|","")&amp;IF(V427&lt;&gt;"",V427&amp;"|","")</f>
        <v/>
      </c>
    </row>
    <row r="428" customFormat="false" ht="16.5" hidden="false" customHeight="true" outlineLevel="0" collapsed="false">
      <c r="A428" s="34" t="s">
        <v>1117</v>
      </c>
      <c r="B428" s="35" t="s">
        <v>1118</v>
      </c>
      <c r="C428" s="34" t="s">
        <v>1091</v>
      </c>
      <c r="D428" s="34"/>
      <c r="E428" s="34"/>
      <c r="F428" s="36" t="str">
        <f aca="false">IF(LEN(AA428)=0,"",LEFT(AA428,LEN(AA428)-1))</f>
        <v/>
      </c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8"/>
      <c r="T428" s="37"/>
      <c r="U428" s="37"/>
      <c r="V428" s="39"/>
      <c r="W428" s="39"/>
      <c r="X428" s="40"/>
      <c r="Y428" s="41"/>
      <c r="Z428" s="42"/>
      <c r="AA428" s="43" t="str">
        <f aca="false">IF(G428&lt;&gt;"","Poplar|","")&amp;IF(H428&lt;&gt;"","FJ Primed Poplar|","")&amp;IF(I428&lt;&gt;"","FJ Primed Pine|","")&amp;IF(J428&lt;&gt;"","Clear Pine|","")&amp;IF(K428&lt;&gt;"","Primed MDF|","")&amp;IF(L428&lt;&gt;"","White Oak|","")&amp;IF(M428&lt;&gt;"","Red Oak|","")&amp;IF(N428&lt;&gt;"","Hard Maple|","")&amp;IF(O428&lt;&gt;"","Black Walnut|","")&amp;IF(P428&lt;&gt;"","Douglas Fir|","")&amp;IF(Q428&lt;&gt;"","Western Red Cedar|","")&amp;IF(R428&lt;&gt;"","PVC|","")&amp;IF(S428&lt;&gt;"","Flex|","")&amp;IF(T428&lt;&gt;"","Steel|","")&amp;IF(U428&lt;&gt;"","Plastic|","")&amp;IF(V428&lt;&gt;"",V428&amp;"|","")</f>
        <v/>
      </c>
    </row>
    <row r="429" customFormat="false" ht="16.5" hidden="false" customHeight="true" outlineLevel="0" collapsed="false">
      <c r="A429" s="34" t="s">
        <v>1119</v>
      </c>
      <c r="B429" s="35" t="s">
        <v>1120</v>
      </c>
      <c r="C429" s="34" t="s">
        <v>1091</v>
      </c>
      <c r="D429" s="34"/>
      <c r="E429" s="34"/>
      <c r="F429" s="36" t="str">
        <f aca="false">IF(LEN(AA429)=0,"",LEFT(AA429,LEN(AA429)-1))</f>
        <v/>
      </c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8"/>
      <c r="T429" s="37"/>
      <c r="U429" s="37"/>
      <c r="V429" s="39"/>
      <c r="W429" s="39"/>
      <c r="X429" s="40"/>
      <c r="Y429" s="41"/>
      <c r="Z429" s="42"/>
      <c r="AA429" s="43" t="str">
        <f aca="false">IF(G429&lt;&gt;"","Poplar|","")&amp;IF(H429&lt;&gt;"","FJ Primed Poplar|","")&amp;IF(I429&lt;&gt;"","FJ Primed Pine|","")&amp;IF(J429&lt;&gt;"","Clear Pine|","")&amp;IF(K429&lt;&gt;"","Primed MDF|","")&amp;IF(L429&lt;&gt;"","White Oak|","")&amp;IF(M429&lt;&gt;"","Red Oak|","")&amp;IF(N429&lt;&gt;"","Hard Maple|","")&amp;IF(O429&lt;&gt;"","Black Walnut|","")&amp;IF(P429&lt;&gt;"","Douglas Fir|","")&amp;IF(Q429&lt;&gt;"","Western Red Cedar|","")&amp;IF(R429&lt;&gt;"","PVC|","")&amp;IF(S429&lt;&gt;"","Flex|","")&amp;IF(T429&lt;&gt;"","Steel|","")&amp;IF(U429&lt;&gt;"","Plastic|","")&amp;IF(V429&lt;&gt;"",V429&amp;"|","")</f>
        <v/>
      </c>
    </row>
    <row r="430" customFormat="false" ht="16.5" hidden="false" customHeight="true" outlineLevel="0" collapsed="false">
      <c r="A430" s="34" t="s">
        <v>1121</v>
      </c>
      <c r="B430" s="35" t="s">
        <v>1122</v>
      </c>
      <c r="C430" s="34" t="s">
        <v>1091</v>
      </c>
      <c r="D430" s="34"/>
      <c r="E430" s="34"/>
      <c r="F430" s="36" t="str">
        <f aca="false">IF(LEN(AA430)=0,"",LEFT(AA430,LEN(AA430)-1))</f>
        <v/>
      </c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8"/>
      <c r="T430" s="37"/>
      <c r="U430" s="37"/>
      <c r="V430" s="39"/>
      <c r="W430" s="39"/>
      <c r="X430" s="40"/>
      <c r="Y430" s="41"/>
      <c r="Z430" s="42"/>
      <c r="AA430" s="43" t="str">
        <f aca="false">IF(G430&lt;&gt;"","Poplar|","")&amp;IF(H430&lt;&gt;"","FJ Primed Poplar|","")&amp;IF(I430&lt;&gt;"","FJ Primed Pine|","")&amp;IF(J430&lt;&gt;"","Clear Pine|","")&amp;IF(K430&lt;&gt;"","Primed MDF|","")&amp;IF(L430&lt;&gt;"","White Oak|","")&amp;IF(M430&lt;&gt;"","Red Oak|","")&amp;IF(N430&lt;&gt;"","Hard Maple|","")&amp;IF(O430&lt;&gt;"","Black Walnut|","")&amp;IF(P430&lt;&gt;"","Douglas Fir|","")&amp;IF(Q430&lt;&gt;"","Western Red Cedar|","")&amp;IF(R430&lt;&gt;"","PVC|","")&amp;IF(S430&lt;&gt;"","Flex|","")&amp;IF(T430&lt;&gt;"","Steel|","")&amp;IF(U430&lt;&gt;"","Plastic|","")&amp;IF(V430&lt;&gt;"",V430&amp;"|","")</f>
        <v/>
      </c>
    </row>
    <row r="431" customFormat="false" ht="16.5" hidden="false" customHeight="true" outlineLevel="0" collapsed="false">
      <c r="A431" s="34" t="s">
        <v>1123</v>
      </c>
      <c r="B431" s="35" t="s">
        <v>1124</v>
      </c>
      <c r="C431" s="34" t="s">
        <v>1091</v>
      </c>
      <c r="D431" s="34"/>
      <c r="E431" s="34"/>
      <c r="F431" s="36" t="str">
        <f aca="false">IF(LEN(AA431)=0,"",LEFT(AA431,LEN(AA431)-1))</f>
        <v/>
      </c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8"/>
      <c r="T431" s="37"/>
      <c r="U431" s="37"/>
      <c r="V431" s="39"/>
      <c r="W431" s="39"/>
      <c r="X431" s="40"/>
      <c r="Y431" s="41"/>
      <c r="Z431" s="42"/>
      <c r="AA431" s="43" t="str">
        <f aca="false">IF(G431&lt;&gt;"","Poplar|","")&amp;IF(H431&lt;&gt;"","FJ Primed Poplar|","")&amp;IF(I431&lt;&gt;"","FJ Primed Pine|","")&amp;IF(J431&lt;&gt;"","Clear Pine|","")&amp;IF(K431&lt;&gt;"","Primed MDF|","")&amp;IF(L431&lt;&gt;"","White Oak|","")&amp;IF(M431&lt;&gt;"","Red Oak|","")&amp;IF(N431&lt;&gt;"","Hard Maple|","")&amp;IF(O431&lt;&gt;"","Black Walnut|","")&amp;IF(P431&lt;&gt;"","Douglas Fir|","")&amp;IF(Q431&lt;&gt;"","Western Red Cedar|","")&amp;IF(R431&lt;&gt;"","PVC|","")&amp;IF(S431&lt;&gt;"","Flex|","")&amp;IF(T431&lt;&gt;"","Steel|","")&amp;IF(U431&lt;&gt;"","Plastic|","")&amp;IF(V431&lt;&gt;"",V431&amp;"|","")</f>
        <v/>
      </c>
    </row>
    <row r="432" customFormat="false" ht="16.5" hidden="false" customHeight="true" outlineLevel="0" collapsed="false">
      <c r="A432" s="44"/>
      <c r="B432" s="45" t="s">
        <v>1125</v>
      </c>
      <c r="C432" s="44" t="s">
        <v>1126</v>
      </c>
      <c r="D432" s="44"/>
      <c r="E432" s="44"/>
      <c r="F432" s="36" t="str">
        <f aca="false">IF(LEN(AA432)=0,"",LEFT(AA432,LEN(AA432)-1))</f>
        <v/>
      </c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8"/>
      <c r="T432" s="37"/>
      <c r="U432" s="37"/>
      <c r="V432" s="46"/>
      <c r="W432" s="46"/>
      <c r="X432" s="40"/>
      <c r="Y432" s="41"/>
      <c r="Z432" s="42"/>
      <c r="AA432" s="43" t="str">
        <f aca="false">IF(G432&lt;&gt;"","Poplar|","")&amp;IF(H432&lt;&gt;"","FJ Primed Poplar|","")&amp;IF(I432&lt;&gt;"","FJ Primed Pine|","")&amp;IF(J432&lt;&gt;"","Clear Pine|","")&amp;IF(K432&lt;&gt;"","Primed MDF|","")&amp;IF(L432&lt;&gt;"","White Oak|","")&amp;IF(M432&lt;&gt;"","Red Oak|","")&amp;IF(N432&lt;&gt;"","Hard Maple|","")&amp;IF(O432&lt;&gt;"","Black Walnut|","")&amp;IF(P432&lt;&gt;"","Douglas Fir|","")&amp;IF(Q432&lt;&gt;"","Western Red Cedar|","")&amp;IF(R432&lt;&gt;"","PVC|","")&amp;IF(S432&lt;&gt;"","Flex|","")&amp;IF(T432&lt;&gt;"","Steel|","")&amp;IF(U432&lt;&gt;"","Plastic|","")&amp;IF(V432&lt;&gt;"",V432&amp;"|","")</f>
        <v/>
      </c>
    </row>
    <row r="433" customFormat="false" ht="16.5" hidden="false" customHeight="true" outlineLevel="0" collapsed="false">
      <c r="A433" s="44"/>
      <c r="B433" s="45" t="s">
        <v>1127</v>
      </c>
      <c r="C433" s="44" t="s">
        <v>1126</v>
      </c>
      <c r="D433" s="44"/>
      <c r="E433" s="44"/>
      <c r="F433" s="36" t="str">
        <f aca="false">IF(LEN(AA433)=0,"",LEFT(AA433,LEN(AA433)-1))</f>
        <v/>
      </c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8"/>
      <c r="T433" s="37"/>
      <c r="U433" s="37"/>
      <c r="V433" s="46"/>
      <c r="W433" s="46"/>
      <c r="X433" s="40"/>
      <c r="Y433" s="41"/>
      <c r="Z433" s="42"/>
      <c r="AA433" s="43" t="str">
        <f aca="false">IF(G433&lt;&gt;"","Poplar|","")&amp;IF(H433&lt;&gt;"","FJ Primed Poplar|","")&amp;IF(I433&lt;&gt;"","FJ Primed Pine|","")&amp;IF(J433&lt;&gt;"","Clear Pine|","")&amp;IF(K433&lt;&gt;"","Primed MDF|","")&amp;IF(L433&lt;&gt;"","White Oak|","")&amp;IF(M433&lt;&gt;"","Red Oak|","")&amp;IF(N433&lt;&gt;"","Hard Maple|","")&amp;IF(O433&lt;&gt;"","Black Walnut|","")&amp;IF(P433&lt;&gt;"","Douglas Fir|","")&amp;IF(Q433&lt;&gt;"","Western Red Cedar|","")&amp;IF(R433&lt;&gt;"","PVC|","")&amp;IF(S433&lt;&gt;"","Flex|","")&amp;IF(T433&lt;&gt;"","Steel|","")&amp;IF(U433&lt;&gt;"","Plastic|","")&amp;IF(V433&lt;&gt;"",V433&amp;"|","")</f>
        <v/>
      </c>
    </row>
    <row r="434" customFormat="false" ht="16.5" hidden="false" customHeight="true" outlineLevel="0" collapsed="false">
      <c r="A434" s="44"/>
      <c r="B434" s="45" t="s">
        <v>1128</v>
      </c>
      <c r="C434" s="44" t="s">
        <v>1126</v>
      </c>
      <c r="D434" s="44"/>
      <c r="E434" s="44"/>
      <c r="F434" s="36" t="str">
        <f aca="false">IF(LEN(AA434)=0,"",LEFT(AA434,LEN(AA434)-1))</f>
        <v/>
      </c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8"/>
      <c r="T434" s="37"/>
      <c r="U434" s="37"/>
      <c r="V434" s="46"/>
      <c r="W434" s="46"/>
      <c r="X434" s="40"/>
      <c r="Y434" s="41"/>
      <c r="Z434" s="42"/>
      <c r="AA434" s="43" t="str">
        <f aca="false">IF(G434&lt;&gt;"","Poplar|","")&amp;IF(H434&lt;&gt;"","FJ Primed Poplar|","")&amp;IF(I434&lt;&gt;"","FJ Primed Pine|","")&amp;IF(J434&lt;&gt;"","Clear Pine|","")&amp;IF(K434&lt;&gt;"","Primed MDF|","")&amp;IF(L434&lt;&gt;"","White Oak|","")&amp;IF(M434&lt;&gt;"","Red Oak|","")&amp;IF(N434&lt;&gt;"","Hard Maple|","")&amp;IF(O434&lt;&gt;"","Black Walnut|","")&amp;IF(P434&lt;&gt;"","Douglas Fir|","")&amp;IF(Q434&lt;&gt;"","Western Red Cedar|","")&amp;IF(R434&lt;&gt;"","PVC|","")&amp;IF(S434&lt;&gt;"","Flex|","")&amp;IF(T434&lt;&gt;"","Steel|","")&amp;IF(U434&lt;&gt;"","Plastic|","")&amp;IF(V434&lt;&gt;"",V434&amp;"|","")</f>
        <v/>
      </c>
    </row>
    <row r="435" customFormat="false" ht="16.5" hidden="false" customHeight="true" outlineLevel="0" collapsed="false">
      <c r="A435" s="44"/>
      <c r="B435" s="45" t="s">
        <v>1129</v>
      </c>
      <c r="C435" s="44" t="s">
        <v>1126</v>
      </c>
      <c r="D435" s="44"/>
      <c r="E435" s="44"/>
      <c r="F435" s="36" t="str">
        <f aca="false">IF(LEN(AA435)=0,"",LEFT(AA435,LEN(AA435)-1))</f>
        <v/>
      </c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8"/>
      <c r="T435" s="37"/>
      <c r="U435" s="37"/>
      <c r="V435" s="46"/>
      <c r="W435" s="46"/>
      <c r="X435" s="40"/>
      <c r="Y435" s="41"/>
      <c r="Z435" s="42"/>
      <c r="AA435" s="43" t="str">
        <f aca="false">IF(G435&lt;&gt;"","Poplar|","")&amp;IF(H435&lt;&gt;"","FJ Primed Poplar|","")&amp;IF(I435&lt;&gt;"","FJ Primed Pine|","")&amp;IF(J435&lt;&gt;"","Clear Pine|","")&amp;IF(K435&lt;&gt;"","Primed MDF|","")&amp;IF(L435&lt;&gt;"","White Oak|","")&amp;IF(M435&lt;&gt;"","Red Oak|","")&amp;IF(N435&lt;&gt;"","Hard Maple|","")&amp;IF(O435&lt;&gt;"","Black Walnut|","")&amp;IF(P435&lt;&gt;"","Douglas Fir|","")&amp;IF(Q435&lt;&gt;"","Western Red Cedar|","")&amp;IF(R435&lt;&gt;"","PVC|","")&amp;IF(S435&lt;&gt;"","Flex|","")&amp;IF(T435&lt;&gt;"","Steel|","")&amp;IF(U435&lt;&gt;"","Plastic|","")&amp;IF(V435&lt;&gt;"",V435&amp;"|","")</f>
        <v/>
      </c>
    </row>
    <row r="436" customFormat="false" ht="16.5" hidden="false" customHeight="true" outlineLevel="0" collapsed="false">
      <c r="A436" s="44" t="s">
        <v>1130</v>
      </c>
      <c r="B436" s="45" t="s">
        <v>1131</v>
      </c>
      <c r="C436" s="44" t="s">
        <v>1126</v>
      </c>
      <c r="D436" s="44"/>
      <c r="E436" s="44"/>
      <c r="F436" s="36" t="str">
        <f aca="false">IF(LEN(AA436)=0,"",LEFT(AA436,LEN(AA436)-1))</f>
        <v/>
      </c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8"/>
      <c r="T436" s="37"/>
      <c r="U436" s="37"/>
      <c r="V436" s="46"/>
      <c r="W436" s="46"/>
      <c r="X436" s="40"/>
      <c r="Y436" s="41"/>
      <c r="Z436" s="42"/>
      <c r="AA436" s="43" t="str">
        <f aca="false">IF(G436&lt;&gt;"","Poplar|","")&amp;IF(H436&lt;&gt;"","FJ Primed Poplar|","")&amp;IF(I436&lt;&gt;"","FJ Primed Pine|","")&amp;IF(J436&lt;&gt;"","Clear Pine|","")&amp;IF(K436&lt;&gt;"","Primed MDF|","")&amp;IF(L436&lt;&gt;"","White Oak|","")&amp;IF(M436&lt;&gt;"","Red Oak|","")&amp;IF(N436&lt;&gt;"","Hard Maple|","")&amp;IF(O436&lt;&gt;"","Black Walnut|","")&amp;IF(P436&lt;&gt;"","Douglas Fir|","")&amp;IF(Q436&lt;&gt;"","Western Red Cedar|","")&amp;IF(R436&lt;&gt;"","PVC|","")&amp;IF(S436&lt;&gt;"","Flex|","")&amp;IF(T436&lt;&gt;"","Steel|","")&amp;IF(U436&lt;&gt;"","Plastic|","")&amp;IF(V436&lt;&gt;"",V436&amp;"|","")</f>
        <v/>
      </c>
    </row>
    <row r="437" customFormat="false" ht="16.5" hidden="false" customHeight="true" outlineLevel="0" collapsed="false">
      <c r="A437" s="44" t="s">
        <v>1132</v>
      </c>
      <c r="B437" s="45" t="s">
        <v>1133</v>
      </c>
      <c r="C437" s="44" t="s">
        <v>1126</v>
      </c>
      <c r="D437" s="44"/>
      <c r="E437" s="44"/>
      <c r="F437" s="36" t="str">
        <f aca="false">IF(LEN(AA437)=0,"",LEFT(AA437,LEN(AA437)-1))</f>
        <v/>
      </c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8"/>
      <c r="T437" s="37"/>
      <c r="U437" s="37"/>
      <c r="V437" s="46"/>
      <c r="W437" s="46"/>
      <c r="X437" s="40"/>
      <c r="Y437" s="41"/>
      <c r="Z437" s="42"/>
      <c r="AA437" s="43" t="str">
        <f aca="false">IF(G437&lt;&gt;"","Poplar|","")&amp;IF(H437&lt;&gt;"","FJ Primed Poplar|","")&amp;IF(I437&lt;&gt;"","FJ Primed Pine|","")&amp;IF(J437&lt;&gt;"","Clear Pine|","")&amp;IF(K437&lt;&gt;"","Primed MDF|","")&amp;IF(L437&lt;&gt;"","White Oak|","")&amp;IF(M437&lt;&gt;"","Red Oak|","")&amp;IF(N437&lt;&gt;"","Hard Maple|","")&amp;IF(O437&lt;&gt;"","Black Walnut|","")&amp;IF(P437&lt;&gt;"","Douglas Fir|","")&amp;IF(Q437&lt;&gt;"","Western Red Cedar|","")&amp;IF(R437&lt;&gt;"","PVC|","")&amp;IF(S437&lt;&gt;"","Flex|","")&amp;IF(T437&lt;&gt;"","Steel|","")&amp;IF(U437&lt;&gt;"","Plastic|","")&amp;IF(V437&lt;&gt;"",V437&amp;"|","")</f>
        <v/>
      </c>
    </row>
    <row r="438" customFormat="false" ht="16.5" hidden="false" customHeight="true" outlineLevel="0" collapsed="false">
      <c r="A438" s="44" t="s">
        <v>1134</v>
      </c>
      <c r="B438" s="45" t="s">
        <v>1135</v>
      </c>
      <c r="C438" s="44" t="s">
        <v>1126</v>
      </c>
      <c r="D438" s="44"/>
      <c r="E438" s="44"/>
      <c r="F438" s="36" t="str">
        <f aca="false">IF(LEN(AA438)=0,"",LEFT(AA438,LEN(AA438)-1))</f>
        <v/>
      </c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8"/>
      <c r="T438" s="37"/>
      <c r="U438" s="37"/>
      <c r="V438" s="46"/>
      <c r="W438" s="46"/>
      <c r="X438" s="40"/>
      <c r="Y438" s="41"/>
      <c r="Z438" s="42"/>
      <c r="AA438" s="43" t="str">
        <f aca="false">IF(G438&lt;&gt;"","Poplar|","")&amp;IF(H438&lt;&gt;"","FJ Primed Poplar|","")&amp;IF(I438&lt;&gt;"","FJ Primed Pine|","")&amp;IF(J438&lt;&gt;"","Clear Pine|","")&amp;IF(K438&lt;&gt;"","Primed MDF|","")&amp;IF(L438&lt;&gt;"","White Oak|","")&amp;IF(M438&lt;&gt;"","Red Oak|","")&amp;IF(N438&lt;&gt;"","Hard Maple|","")&amp;IF(O438&lt;&gt;"","Black Walnut|","")&amp;IF(P438&lt;&gt;"","Douglas Fir|","")&amp;IF(Q438&lt;&gt;"","Western Red Cedar|","")&amp;IF(R438&lt;&gt;"","PVC|","")&amp;IF(S438&lt;&gt;"","Flex|","")&amp;IF(T438&lt;&gt;"","Steel|","")&amp;IF(U438&lt;&gt;"","Plastic|","")&amp;IF(V438&lt;&gt;"",V438&amp;"|","")</f>
        <v/>
      </c>
    </row>
    <row r="439" customFormat="false" ht="16.5" hidden="false" customHeight="true" outlineLevel="0" collapsed="false">
      <c r="A439" s="44" t="s">
        <v>1136</v>
      </c>
      <c r="B439" s="45" t="s">
        <v>1137</v>
      </c>
      <c r="C439" s="44" t="s">
        <v>1126</v>
      </c>
      <c r="D439" s="44"/>
      <c r="E439" s="44"/>
      <c r="F439" s="36" t="str">
        <f aca="false">IF(LEN(AA439)=0,"",LEFT(AA439,LEN(AA439)-1))</f>
        <v/>
      </c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8"/>
      <c r="T439" s="37"/>
      <c r="U439" s="37"/>
      <c r="V439" s="46"/>
      <c r="W439" s="46"/>
      <c r="X439" s="40"/>
      <c r="Y439" s="41"/>
      <c r="Z439" s="42"/>
      <c r="AA439" s="43" t="str">
        <f aca="false">IF(G439&lt;&gt;"","Poplar|","")&amp;IF(H439&lt;&gt;"","FJ Primed Poplar|","")&amp;IF(I439&lt;&gt;"","FJ Primed Pine|","")&amp;IF(J439&lt;&gt;"","Clear Pine|","")&amp;IF(K439&lt;&gt;"","Primed MDF|","")&amp;IF(L439&lt;&gt;"","White Oak|","")&amp;IF(M439&lt;&gt;"","Red Oak|","")&amp;IF(N439&lt;&gt;"","Hard Maple|","")&amp;IF(O439&lt;&gt;"","Black Walnut|","")&amp;IF(P439&lt;&gt;"","Douglas Fir|","")&amp;IF(Q439&lt;&gt;"","Western Red Cedar|","")&amp;IF(R439&lt;&gt;"","PVC|","")&amp;IF(S439&lt;&gt;"","Flex|","")&amp;IF(T439&lt;&gt;"","Steel|","")&amp;IF(U439&lt;&gt;"","Plastic|","")&amp;IF(V439&lt;&gt;"",V439&amp;"|","")</f>
        <v/>
      </c>
    </row>
    <row r="440" customFormat="false" ht="16.5" hidden="false" customHeight="true" outlineLevel="0" collapsed="false">
      <c r="A440" s="44" t="s">
        <v>1138</v>
      </c>
      <c r="B440" s="45" t="s">
        <v>1139</v>
      </c>
      <c r="C440" s="44" t="s">
        <v>1126</v>
      </c>
      <c r="D440" s="44"/>
      <c r="E440" s="44"/>
      <c r="F440" s="36" t="str">
        <f aca="false">IF(LEN(AA440)=0,"",LEFT(AA440,LEN(AA440)-1))</f>
        <v/>
      </c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8"/>
      <c r="T440" s="37"/>
      <c r="U440" s="37"/>
      <c r="V440" s="46"/>
      <c r="W440" s="46"/>
      <c r="X440" s="40"/>
      <c r="Y440" s="41"/>
      <c r="Z440" s="42"/>
      <c r="AA440" s="43" t="str">
        <f aca="false">IF(G440&lt;&gt;"","Poplar|","")&amp;IF(H440&lt;&gt;"","FJ Primed Poplar|","")&amp;IF(I440&lt;&gt;"","FJ Primed Pine|","")&amp;IF(J440&lt;&gt;"","Clear Pine|","")&amp;IF(K440&lt;&gt;"","Primed MDF|","")&amp;IF(L440&lt;&gt;"","White Oak|","")&amp;IF(M440&lt;&gt;"","Red Oak|","")&amp;IF(N440&lt;&gt;"","Hard Maple|","")&amp;IF(O440&lt;&gt;"","Black Walnut|","")&amp;IF(P440&lt;&gt;"","Douglas Fir|","")&amp;IF(Q440&lt;&gt;"","Western Red Cedar|","")&amp;IF(R440&lt;&gt;"","PVC|","")&amp;IF(S440&lt;&gt;"","Flex|","")&amp;IF(T440&lt;&gt;"","Steel|","")&amp;IF(U440&lt;&gt;"","Plastic|","")&amp;IF(V440&lt;&gt;"",V440&amp;"|","")</f>
        <v/>
      </c>
    </row>
    <row r="441" customFormat="false" ht="16.5" hidden="false" customHeight="true" outlineLevel="0" collapsed="false">
      <c r="A441" s="44" t="s">
        <v>1140</v>
      </c>
      <c r="B441" s="45" t="s">
        <v>1141</v>
      </c>
      <c r="C441" s="44" t="s">
        <v>1126</v>
      </c>
      <c r="D441" s="44"/>
      <c r="E441" s="44"/>
      <c r="F441" s="36" t="str">
        <f aca="false">IF(LEN(AA441)=0,"",LEFT(AA441,LEN(AA441)-1))</f>
        <v/>
      </c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8"/>
      <c r="T441" s="37"/>
      <c r="U441" s="37"/>
      <c r="V441" s="46"/>
      <c r="W441" s="46"/>
      <c r="X441" s="40"/>
      <c r="Y441" s="41"/>
      <c r="Z441" s="42"/>
      <c r="AA441" s="43" t="str">
        <f aca="false">IF(G441&lt;&gt;"","Poplar|","")&amp;IF(H441&lt;&gt;"","FJ Primed Poplar|","")&amp;IF(I441&lt;&gt;"","FJ Primed Pine|","")&amp;IF(J441&lt;&gt;"","Clear Pine|","")&amp;IF(K441&lt;&gt;"","Primed MDF|","")&amp;IF(L441&lt;&gt;"","White Oak|","")&amp;IF(M441&lt;&gt;"","Red Oak|","")&amp;IF(N441&lt;&gt;"","Hard Maple|","")&amp;IF(O441&lt;&gt;"","Black Walnut|","")&amp;IF(P441&lt;&gt;"","Douglas Fir|","")&amp;IF(Q441&lt;&gt;"","Western Red Cedar|","")&amp;IF(R441&lt;&gt;"","PVC|","")&amp;IF(S441&lt;&gt;"","Flex|","")&amp;IF(T441&lt;&gt;"","Steel|","")&amp;IF(U441&lt;&gt;"","Plastic|","")&amp;IF(V441&lt;&gt;"",V441&amp;"|","")</f>
        <v/>
      </c>
    </row>
    <row r="442" customFormat="false" ht="16.5" hidden="false" customHeight="true" outlineLevel="0" collapsed="false">
      <c r="A442" s="44" t="s">
        <v>1142</v>
      </c>
      <c r="B442" s="45" t="s">
        <v>1143</v>
      </c>
      <c r="C442" s="44" t="s">
        <v>1126</v>
      </c>
      <c r="D442" s="44"/>
      <c r="E442" s="44"/>
      <c r="F442" s="36" t="str">
        <f aca="false">IF(LEN(AA442)=0,"",LEFT(AA442,LEN(AA442)-1))</f>
        <v/>
      </c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8"/>
      <c r="T442" s="37"/>
      <c r="U442" s="37"/>
      <c r="V442" s="46"/>
      <c r="W442" s="46"/>
      <c r="X442" s="40"/>
      <c r="Y442" s="41"/>
      <c r="Z442" s="42"/>
      <c r="AA442" s="43" t="str">
        <f aca="false">IF(G442&lt;&gt;"","Poplar|","")&amp;IF(H442&lt;&gt;"","FJ Primed Poplar|","")&amp;IF(I442&lt;&gt;"","FJ Primed Pine|","")&amp;IF(J442&lt;&gt;"","Clear Pine|","")&amp;IF(K442&lt;&gt;"","Primed MDF|","")&amp;IF(L442&lt;&gt;"","White Oak|","")&amp;IF(M442&lt;&gt;"","Red Oak|","")&amp;IF(N442&lt;&gt;"","Hard Maple|","")&amp;IF(O442&lt;&gt;"","Black Walnut|","")&amp;IF(P442&lt;&gt;"","Douglas Fir|","")&amp;IF(Q442&lt;&gt;"","Western Red Cedar|","")&amp;IF(R442&lt;&gt;"","PVC|","")&amp;IF(S442&lt;&gt;"","Flex|","")&amp;IF(T442&lt;&gt;"","Steel|","")&amp;IF(U442&lt;&gt;"","Plastic|","")&amp;IF(V442&lt;&gt;"",V442&amp;"|","")</f>
        <v/>
      </c>
    </row>
    <row r="443" customFormat="false" ht="16.5" hidden="false" customHeight="true" outlineLevel="0" collapsed="false">
      <c r="A443" s="44" t="s">
        <v>1144</v>
      </c>
      <c r="B443" s="45" t="s">
        <v>1145</v>
      </c>
      <c r="C443" s="44" t="s">
        <v>1126</v>
      </c>
      <c r="D443" s="44"/>
      <c r="E443" s="44"/>
      <c r="F443" s="36" t="str">
        <f aca="false">IF(LEN(AA443)=0,"",LEFT(AA443,LEN(AA443)-1))</f>
        <v/>
      </c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8"/>
      <c r="T443" s="37"/>
      <c r="U443" s="37"/>
      <c r="V443" s="46"/>
      <c r="W443" s="46"/>
      <c r="X443" s="40"/>
      <c r="Y443" s="41"/>
      <c r="Z443" s="42"/>
      <c r="AA443" s="43" t="str">
        <f aca="false">IF(G443&lt;&gt;"","Poplar|","")&amp;IF(H443&lt;&gt;"","FJ Primed Poplar|","")&amp;IF(I443&lt;&gt;"","FJ Primed Pine|","")&amp;IF(J443&lt;&gt;"","Clear Pine|","")&amp;IF(K443&lt;&gt;"","Primed MDF|","")&amp;IF(L443&lt;&gt;"","White Oak|","")&amp;IF(M443&lt;&gt;"","Red Oak|","")&amp;IF(N443&lt;&gt;"","Hard Maple|","")&amp;IF(O443&lt;&gt;"","Black Walnut|","")&amp;IF(P443&lt;&gt;"","Douglas Fir|","")&amp;IF(Q443&lt;&gt;"","Western Red Cedar|","")&amp;IF(R443&lt;&gt;"","PVC|","")&amp;IF(S443&lt;&gt;"","Flex|","")&amp;IF(T443&lt;&gt;"","Steel|","")&amp;IF(U443&lt;&gt;"","Plastic|","")&amp;IF(V443&lt;&gt;"",V443&amp;"|","")</f>
        <v/>
      </c>
    </row>
    <row r="444" customFormat="false" ht="16.5" hidden="false" customHeight="true" outlineLevel="0" collapsed="false">
      <c r="A444" s="44" t="s">
        <v>1146</v>
      </c>
      <c r="B444" s="45" t="s">
        <v>1147</v>
      </c>
      <c r="C444" s="44" t="s">
        <v>1126</v>
      </c>
      <c r="D444" s="44"/>
      <c r="E444" s="44"/>
      <c r="F444" s="36" t="str">
        <f aca="false">IF(LEN(AA444)=0,"",LEFT(AA444,LEN(AA444)-1))</f>
        <v/>
      </c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8"/>
      <c r="T444" s="37"/>
      <c r="U444" s="37"/>
      <c r="V444" s="46"/>
      <c r="W444" s="46"/>
      <c r="X444" s="40"/>
      <c r="Y444" s="41"/>
      <c r="Z444" s="42"/>
      <c r="AA444" s="43" t="str">
        <f aca="false">IF(G444&lt;&gt;"","Poplar|","")&amp;IF(H444&lt;&gt;"","FJ Primed Poplar|","")&amp;IF(I444&lt;&gt;"","FJ Primed Pine|","")&amp;IF(J444&lt;&gt;"","Clear Pine|","")&amp;IF(K444&lt;&gt;"","Primed MDF|","")&amp;IF(L444&lt;&gt;"","White Oak|","")&amp;IF(M444&lt;&gt;"","Red Oak|","")&amp;IF(N444&lt;&gt;"","Hard Maple|","")&amp;IF(O444&lt;&gt;"","Black Walnut|","")&amp;IF(P444&lt;&gt;"","Douglas Fir|","")&amp;IF(Q444&lt;&gt;"","Western Red Cedar|","")&amp;IF(R444&lt;&gt;"","PVC|","")&amp;IF(S444&lt;&gt;"","Flex|","")&amp;IF(T444&lt;&gt;"","Steel|","")&amp;IF(U444&lt;&gt;"","Plastic|","")&amp;IF(V444&lt;&gt;"",V444&amp;"|","")</f>
        <v/>
      </c>
    </row>
    <row r="445" customFormat="false" ht="16.5" hidden="false" customHeight="true" outlineLevel="0" collapsed="false">
      <c r="A445" s="44" t="s">
        <v>1146</v>
      </c>
      <c r="B445" s="45" t="s">
        <v>1148</v>
      </c>
      <c r="C445" s="44" t="s">
        <v>1126</v>
      </c>
      <c r="D445" s="44"/>
      <c r="E445" s="44"/>
      <c r="F445" s="36" t="str">
        <f aca="false">IF(LEN(AA445)=0,"",LEFT(AA445,LEN(AA445)-1))</f>
        <v/>
      </c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8"/>
      <c r="T445" s="37"/>
      <c r="U445" s="37"/>
      <c r="V445" s="46"/>
      <c r="W445" s="46"/>
      <c r="X445" s="40"/>
      <c r="Y445" s="41"/>
      <c r="Z445" s="42"/>
      <c r="AA445" s="43" t="str">
        <f aca="false">IF(G445&lt;&gt;"","Poplar|","")&amp;IF(H445&lt;&gt;"","FJ Primed Poplar|","")&amp;IF(I445&lt;&gt;"","FJ Primed Pine|","")&amp;IF(J445&lt;&gt;"","Clear Pine|","")&amp;IF(K445&lt;&gt;"","Primed MDF|","")&amp;IF(L445&lt;&gt;"","White Oak|","")&amp;IF(M445&lt;&gt;"","Red Oak|","")&amp;IF(N445&lt;&gt;"","Hard Maple|","")&amp;IF(O445&lt;&gt;"","Black Walnut|","")&amp;IF(P445&lt;&gt;"","Douglas Fir|","")&amp;IF(Q445&lt;&gt;"","Western Red Cedar|","")&amp;IF(R445&lt;&gt;"","PVC|","")&amp;IF(S445&lt;&gt;"","Flex|","")&amp;IF(T445&lt;&gt;"","Steel|","")&amp;IF(U445&lt;&gt;"","Plastic|","")&amp;IF(V445&lt;&gt;"",V445&amp;"|","")</f>
        <v/>
      </c>
    </row>
    <row r="446" customFormat="false" ht="16.5" hidden="false" customHeight="true" outlineLevel="0" collapsed="false">
      <c r="A446" s="44" t="s">
        <v>1149</v>
      </c>
      <c r="B446" s="45" t="s">
        <v>1150</v>
      </c>
      <c r="C446" s="44" t="s">
        <v>1126</v>
      </c>
      <c r="D446" s="44" t="s">
        <v>1151</v>
      </c>
      <c r="E446" s="44" t="s">
        <v>1152</v>
      </c>
      <c r="F446" s="36" t="str">
        <f aca="false">IF(LEN(AA446)=0,"",LEFT(AA446,LEN(AA446)-1))</f>
        <v/>
      </c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8"/>
      <c r="T446" s="37"/>
      <c r="U446" s="37"/>
      <c r="V446" s="46"/>
      <c r="W446" s="46"/>
      <c r="X446" s="40"/>
      <c r="Y446" s="41"/>
      <c r="Z446" s="42"/>
      <c r="AA446" s="43" t="str">
        <f aca="false">IF(G446&lt;&gt;"","Poplar|","")&amp;IF(H446&lt;&gt;"","FJ Primed Poplar|","")&amp;IF(I446&lt;&gt;"","FJ Primed Pine|","")&amp;IF(J446&lt;&gt;"","Clear Pine|","")&amp;IF(K446&lt;&gt;"","Primed MDF|","")&amp;IF(L446&lt;&gt;"","White Oak|","")&amp;IF(M446&lt;&gt;"","Red Oak|","")&amp;IF(N446&lt;&gt;"","Hard Maple|","")&amp;IF(O446&lt;&gt;"","Black Walnut|","")&amp;IF(P446&lt;&gt;"","Douglas Fir|","")&amp;IF(Q446&lt;&gt;"","Western Red Cedar|","")&amp;IF(R446&lt;&gt;"","PVC|","")&amp;IF(S446&lt;&gt;"","Flex|","")&amp;IF(T446&lt;&gt;"","Steel|","")&amp;IF(U446&lt;&gt;"","Plastic|","")&amp;IF(V446&lt;&gt;"",V446&amp;"|","")</f>
        <v/>
      </c>
    </row>
    <row r="447" customFormat="false" ht="16.5" hidden="false" customHeight="true" outlineLevel="0" collapsed="false">
      <c r="A447" s="44" t="s">
        <v>1153</v>
      </c>
      <c r="B447" s="45" t="s">
        <v>1154</v>
      </c>
      <c r="C447" s="44" t="s">
        <v>1126</v>
      </c>
      <c r="D447" s="44"/>
      <c r="E447" s="44"/>
      <c r="F447" s="36" t="str">
        <f aca="false">IF(LEN(AA447)=0,"",LEFT(AA447,LEN(AA447)-1))</f>
        <v/>
      </c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8"/>
      <c r="T447" s="37"/>
      <c r="U447" s="37"/>
      <c r="V447" s="46"/>
      <c r="W447" s="46"/>
      <c r="X447" s="40"/>
      <c r="Y447" s="41"/>
      <c r="Z447" s="42"/>
      <c r="AA447" s="43" t="str">
        <f aca="false">IF(G447&lt;&gt;"","Poplar|","")&amp;IF(H447&lt;&gt;"","FJ Primed Poplar|","")&amp;IF(I447&lt;&gt;"","FJ Primed Pine|","")&amp;IF(J447&lt;&gt;"","Clear Pine|","")&amp;IF(K447&lt;&gt;"","Primed MDF|","")&amp;IF(L447&lt;&gt;"","White Oak|","")&amp;IF(M447&lt;&gt;"","Red Oak|","")&amp;IF(N447&lt;&gt;"","Hard Maple|","")&amp;IF(O447&lt;&gt;"","Black Walnut|","")&amp;IF(P447&lt;&gt;"","Douglas Fir|","")&amp;IF(Q447&lt;&gt;"","Western Red Cedar|","")&amp;IF(R447&lt;&gt;"","PVC|","")&amp;IF(S447&lt;&gt;"","Flex|","")&amp;IF(T447&lt;&gt;"","Steel|","")&amp;IF(U447&lt;&gt;"","Plastic|","")&amp;IF(V447&lt;&gt;"",V447&amp;"|","")</f>
        <v/>
      </c>
    </row>
    <row r="448" customFormat="false" ht="16.5" hidden="false" customHeight="true" outlineLevel="0" collapsed="false">
      <c r="A448" s="44" t="s">
        <v>1155</v>
      </c>
      <c r="B448" s="45" t="s">
        <v>1156</v>
      </c>
      <c r="C448" s="44" t="s">
        <v>1126</v>
      </c>
      <c r="D448" s="44"/>
      <c r="E448" s="44"/>
      <c r="F448" s="36" t="str">
        <f aca="false">IF(LEN(AA448)=0,"",LEFT(AA448,LEN(AA448)-1))</f>
        <v/>
      </c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8"/>
      <c r="T448" s="37"/>
      <c r="U448" s="37"/>
      <c r="V448" s="46"/>
      <c r="W448" s="46"/>
      <c r="X448" s="40"/>
      <c r="Y448" s="41"/>
      <c r="Z448" s="42"/>
      <c r="AA448" s="43" t="str">
        <f aca="false">IF(G448&lt;&gt;"","Poplar|","")&amp;IF(H448&lt;&gt;"","FJ Primed Poplar|","")&amp;IF(I448&lt;&gt;"","FJ Primed Pine|","")&amp;IF(J448&lt;&gt;"","Clear Pine|","")&amp;IF(K448&lt;&gt;"","Primed MDF|","")&amp;IF(L448&lt;&gt;"","White Oak|","")&amp;IF(M448&lt;&gt;"","Red Oak|","")&amp;IF(N448&lt;&gt;"","Hard Maple|","")&amp;IF(O448&lt;&gt;"","Black Walnut|","")&amp;IF(P448&lt;&gt;"","Douglas Fir|","")&amp;IF(Q448&lt;&gt;"","Western Red Cedar|","")&amp;IF(R448&lt;&gt;"","PVC|","")&amp;IF(S448&lt;&gt;"","Flex|","")&amp;IF(T448&lt;&gt;"","Steel|","")&amp;IF(U448&lt;&gt;"","Plastic|","")&amp;IF(V448&lt;&gt;"",V448&amp;"|","")</f>
        <v/>
      </c>
    </row>
    <row r="449" customFormat="false" ht="16.5" hidden="false" customHeight="true" outlineLevel="0" collapsed="false">
      <c r="A449" s="44" t="s">
        <v>1157</v>
      </c>
      <c r="B449" s="45" t="s">
        <v>1158</v>
      </c>
      <c r="C449" s="44" t="s">
        <v>1126</v>
      </c>
      <c r="D449" s="44"/>
      <c r="E449" s="44"/>
      <c r="F449" s="36" t="str">
        <f aca="false">IF(LEN(AA449)=0,"",LEFT(AA449,LEN(AA449)-1))</f>
        <v/>
      </c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8"/>
      <c r="T449" s="37"/>
      <c r="U449" s="37"/>
      <c r="V449" s="46"/>
      <c r="W449" s="46"/>
      <c r="X449" s="40"/>
      <c r="Y449" s="41"/>
      <c r="Z449" s="42"/>
      <c r="AA449" s="43" t="str">
        <f aca="false">IF(G449&lt;&gt;"","Poplar|","")&amp;IF(H449&lt;&gt;"","FJ Primed Poplar|","")&amp;IF(I449&lt;&gt;"","FJ Primed Pine|","")&amp;IF(J449&lt;&gt;"","Clear Pine|","")&amp;IF(K449&lt;&gt;"","Primed MDF|","")&amp;IF(L449&lt;&gt;"","White Oak|","")&amp;IF(M449&lt;&gt;"","Red Oak|","")&amp;IF(N449&lt;&gt;"","Hard Maple|","")&amp;IF(O449&lt;&gt;"","Black Walnut|","")&amp;IF(P449&lt;&gt;"","Douglas Fir|","")&amp;IF(Q449&lt;&gt;"","Western Red Cedar|","")&amp;IF(R449&lt;&gt;"","PVC|","")&amp;IF(S449&lt;&gt;"","Flex|","")&amp;IF(T449&lt;&gt;"","Steel|","")&amp;IF(U449&lt;&gt;"","Plastic|","")&amp;IF(V449&lt;&gt;"",V449&amp;"|","")</f>
        <v/>
      </c>
    </row>
    <row r="450" customFormat="false" ht="16.5" hidden="false" customHeight="true" outlineLevel="0" collapsed="false">
      <c r="A450" s="44" t="s">
        <v>1159</v>
      </c>
      <c r="B450" s="45" t="s">
        <v>1160</v>
      </c>
      <c r="C450" s="44" t="s">
        <v>1126</v>
      </c>
      <c r="D450" s="44"/>
      <c r="E450" s="44"/>
      <c r="F450" s="36" t="str">
        <f aca="false">IF(LEN(AA450)=0,"",LEFT(AA450,LEN(AA450)-1))</f>
        <v/>
      </c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8"/>
      <c r="T450" s="37"/>
      <c r="U450" s="37"/>
      <c r="V450" s="46"/>
      <c r="W450" s="46"/>
      <c r="X450" s="40"/>
      <c r="Y450" s="41"/>
      <c r="Z450" s="42"/>
      <c r="AA450" s="43" t="str">
        <f aca="false">IF(G450&lt;&gt;"","Poplar|","")&amp;IF(H450&lt;&gt;"","FJ Primed Poplar|","")&amp;IF(I450&lt;&gt;"","FJ Primed Pine|","")&amp;IF(J450&lt;&gt;"","Clear Pine|","")&amp;IF(K450&lt;&gt;"","Primed MDF|","")&amp;IF(L450&lt;&gt;"","White Oak|","")&amp;IF(M450&lt;&gt;"","Red Oak|","")&amp;IF(N450&lt;&gt;"","Hard Maple|","")&amp;IF(O450&lt;&gt;"","Black Walnut|","")&amp;IF(P450&lt;&gt;"","Douglas Fir|","")&amp;IF(Q450&lt;&gt;"","Western Red Cedar|","")&amp;IF(R450&lt;&gt;"","PVC|","")&amp;IF(S450&lt;&gt;"","Flex|","")&amp;IF(T450&lt;&gt;"","Steel|","")&amp;IF(U450&lt;&gt;"","Plastic|","")&amp;IF(V450&lt;&gt;"",V450&amp;"|","")</f>
        <v/>
      </c>
    </row>
    <row r="451" customFormat="false" ht="16.5" hidden="false" customHeight="true" outlineLevel="0" collapsed="false">
      <c r="A451" s="44" t="s">
        <v>1161</v>
      </c>
      <c r="B451" s="45" t="s">
        <v>1162</v>
      </c>
      <c r="C451" s="44" t="s">
        <v>1126</v>
      </c>
      <c r="D451" s="44"/>
      <c r="E451" s="44"/>
      <c r="F451" s="36" t="str">
        <f aca="false">IF(LEN(AA451)=0,"",LEFT(AA451,LEN(AA451)-1))</f>
        <v/>
      </c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8"/>
      <c r="T451" s="37"/>
      <c r="U451" s="37"/>
      <c r="V451" s="46"/>
      <c r="W451" s="46"/>
      <c r="X451" s="40"/>
      <c r="Y451" s="41"/>
      <c r="Z451" s="42"/>
      <c r="AA451" s="43" t="str">
        <f aca="false">IF(G451&lt;&gt;"","Poplar|","")&amp;IF(H451&lt;&gt;"","FJ Primed Poplar|","")&amp;IF(I451&lt;&gt;"","FJ Primed Pine|","")&amp;IF(J451&lt;&gt;"","Clear Pine|","")&amp;IF(K451&lt;&gt;"","Primed MDF|","")&amp;IF(L451&lt;&gt;"","White Oak|","")&amp;IF(M451&lt;&gt;"","Red Oak|","")&amp;IF(N451&lt;&gt;"","Hard Maple|","")&amp;IF(O451&lt;&gt;"","Black Walnut|","")&amp;IF(P451&lt;&gt;"","Douglas Fir|","")&amp;IF(Q451&lt;&gt;"","Western Red Cedar|","")&amp;IF(R451&lt;&gt;"","PVC|","")&amp;IF(S451&lt;&gt;"","Flex|","")&amp;IF(T451&lt;&gt;"","Steel|","")&amp;IF(U451&lt;&gt;"","Plastic|","")&amp;IF(V451&lt;&gt;"",V451&amp;"|","")</f>
        <v/>
      </c>
    </row>
    <row r="452" customFormat="false" ht="16.5" hidden="false" customHeight="true" outlineLevel="0" collapsed="false">
      <c r="A452" s="44" t="s">
        <v>1163</v>
      </c>
      <c r="B452" s="45" t="s">
        <v>1164</v>
      </c>
      <c r="C452" s="44" t="s">
        <v>1126</v>
      </c>
      <c r="D452" s="44"/>
      <c r="E452" s="44"/>
      <c r="F452" s="36" t="str">
        <f aca="false">IF(LEN(AA452)=0,"",LEFT(AA452,LEN(AA452)-1))</f>
        <v/>
      </c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8"/>
      <c r="T452" s="37"/>
      <c r="U452" s="37"/>
      <c r="V452" s="46"/>
      <c r="W452" s="46"/>
      <c r="X452" s="40"/>
      <c r="Y452" s="41"/>
      <c r="Z452" s="42"/>
      <c r="AA452" s="43" t="str">
        <f aca="false">IF(G452&lt;&gt;"","Poplar|","")&amp;IF(H452&lt;&gt;"","FJ Primed Poplar|","")&amp;IF(I452&lt;&gt;"","FJ Primed Pine|","")&amp;IF(J452&lt;&gt;"","Clear Pine|","")&amp;IF(K452&lt;&gt;"","Primed MDF|","")&amp;IF(L452&lt;&gt;"","White Oak|","")&amp;IF(M452&lt;&gt;"","Red Oak|","")&amp;IF(N452&lt;&gt;"","Hard Maple|","")&amp;IF(O452&lt;&gt;"","Black Walnut|","")&amp;IF(P452&lt;&gt;"","Douglas Fir|","")&amp;IF(Q452&lt;&gt;"","Western Red Cedar|","")&amp;IF(R452&lt;&gt;"","PVC|","")&amp;IF(S452&lt;&gt;"","Flex|","")&amp;IF(T452&lt;&gt;"","Steel|","")&amp;IF(U452&lt;&gt;"","Plastic|","")&amp;IF(V452&lt;&gt;"",V452&amp;"|","")</f>
        <v/>
      </c>
    </row>
    <row r="453" customFormat="false" ht="16.5" hidden="false" customHeight="true" outlineLevel="0" collapsed="false">
      <c r="A453" s="44" t="s">
        <v>1165</v>
      </c>
      <c r="B453" s="45" t="s">
        <v>1166</v>
      </c>
      <c r="C453" s="44" t="s">
        <v>1126</v>
      </c>
      <c r="D453" s="44" t="s">
        <v>1167</v>
      </c>
      <c r="E453" s="44" t="s">
        <v>141</v>
      </c>
      <c r="F453" s="36" t="str">
        <f aca="false">IF(LEN(AA453)=0,"",LEFT(AA453,LEN(AA453)-1))</f>
        <v/>
      </c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8"/>
      <c r="T453" s="37"/>
      <c r="U453" s="37"/>
      <c r="V453" s="46"/>
      <c r="W453" s="46"/>
      <c r="X453" s="40"/>
      <c r="Y453" s="41"/>
      <c r="Z453" s="42"/>
      <c r="AA453" s="43" t="str">
        <f aca="false">IF(G453&lt;&gt;"","Poplar|","")&amp;IF(H453&lt;&gt;"","FJ Primed Poplar|","")&amp;IF(I453&lt;&gt;"","FJ Primed Pine|","")&amp;IF(J453&lt;&gt;"","Clear Pine|","")&amp;IF(K453&lt;&gt;"","Primed MDF|","")&amp;IF(L453&lt;&gt;"","White Oak|","")&amp;IF(M453&lt;&gt;"","Red Oak|","")&amp;IF(N453&lt;&gt;"","Hard Maple|","")&amp;IF(O453&lt;&gt;"","Black Walnut|","")&amp;IF(P453&lt;&gt;"","Douglas Fir|","")&amp;IF(Q453&lt;&gt;"","Western Red Cedar|","")&amp;IF(R453&lt;&gt;"","PVC|","")&amp;IF(S453&lt;&gt;"","Flex|","")&amp;IF(T453&lt;&gt;"","Steel|","")&amp;IF(U453&lt;&gt;"","Plastic|","")&amp;IF(V453&lt;&gt;"",V453&amp;"|","")</f>
        <v/>
      </c>
    </row>
    <row r="454" customFormat="false" ht="16.5" hidden="false" customHeight="true" outlineLevel="0" collapsed="false">
      <c r="A454" s="44" t="s">
        <v>1165</v>
      </c>
      <c r="B454" s="45" t="s">
        <v>1168</v>
      </c>
      <c r="C454" s="44" t="s">
        <v>1126</v>
      </c>
      <c r="D454" s="44" t="s">
        <v>1167</v>
      </c>
      <c r="E454" s="44" t="s">
        <v>141</v>
      </c>
      <c r="F454" s="36" t="str">
        <f aca="false">IF(LEN(AA454)=0,"",LEFT(AA454,LEN(AA454)-1))</f>
        <v/>
      </c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8"/>
      <c r="T454" s="37"/>
      <c r="U454" s="37"/>
      <c r="V454" s="46"/>
      <c r="W454" s="46"/>
      <c r="X454" s="40"/>
      <c r="Y454" s="41"/>
      <c r="Z454" s="42"/>
      <c r="AA454" s="43" t="str">
        <f aca="false">IF(G454&lt;&gt;"","Poplar|","")&amp;IF(H454&lt;&gt;"","FJ Primed Poplar|","")&amp;IF(I454&lt;&gt;"","FJ Primed Pine|","")&amp;IF(J454&lt;&gt;"","Clear Pine|","")&amp;IF(K454&lt;&gt;"","Primed MDF|","")&amp;IF(L454&lt;&gt;"","White Oak|","")&amp;IF(M454&lt;&gt;"","Red Oak|","")&amp;IF(N454&lt;&gt;"","Hard Maple|","")&amp;IF(O454&lt;&gt;"","Black Walnut|","")&amp;IF(P454&lt;&gt;"","Douglas Fir|","")&amp;IF(Q454&lt;&gt;"","Western Red Cedar|","")&amp;IF(R454&lt;&gt;"","PVC|","")&amp;IF(S454&lt;&gt;"","Flex|","")&amp;IF(T454&lt;&gt;"","Steel|","")&amp;IF(U454&lt;&gt;"","Plastic|","")&amp;IF(V454&lt;&gt;"",V454&amp;"|","")</f>
        <v/>
      </c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AA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AA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AA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AA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AA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AA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AA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AA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AA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AA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AA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AA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AA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AA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AA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AA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AA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AA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AA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AA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AA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AA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AA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AA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AA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AA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AA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AA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AA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AA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AA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AA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AA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AA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AA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AA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AA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AA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AA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AA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AA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AA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AA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AA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AA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AA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AA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AA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AA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AA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AA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AA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AA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AA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AA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AA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AA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AA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AA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AA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AA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AA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AA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AA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AA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AA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AA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AA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AA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AA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AA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AA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AA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AA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AA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AA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AA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AA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AA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AA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AA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AA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AA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AA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AA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AA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AA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AA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AA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AA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AA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AA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AA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AA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AA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AA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AA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AA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AA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AA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AA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AA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AA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AA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AA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AA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AA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AA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AA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AA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AA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AA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AA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AA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AA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AA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AA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AA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AA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AA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AA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AA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AA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AA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AA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AA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AA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AA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AA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AA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AA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AA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AA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AA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AA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AA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AA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AA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AA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AA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AA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AA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AA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AA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AA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AA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AA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AA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AA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AA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AA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AA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AA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AA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AA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AA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AA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AA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AA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AA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AA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AA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AA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AA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AA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AA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AA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AA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AA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AA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AA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AA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AA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AA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AA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AA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AA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AA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AA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AA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AA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AA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AA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AA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AA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AA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AA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AA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AA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AA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AA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AA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AA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AA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AA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AA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AA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AA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AA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AA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AA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AA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AA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AA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AA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AA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AA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AA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AA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AA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AA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AA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AA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AA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AA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AA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AA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AA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AA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AA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AA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AA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AA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AA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AA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AA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AA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AA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AA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AA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AA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AA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AA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AA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AA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AA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AA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AA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AA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AA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AA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AA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AA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AA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AA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AA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AA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AA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AA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AA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AA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AA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AA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AA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AA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AA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AA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AA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AA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AA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AA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AA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AA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AA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AA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AA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AA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AA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AA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AA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AA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AA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AA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AA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AA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AA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AA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AA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AA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AA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AA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AA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AA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AA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AA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AA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AA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AA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AA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AA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AA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AA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AA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AA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AA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AA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AA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AA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AA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AA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AA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AA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AA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AA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AA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AA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AA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AA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AA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AA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AA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AA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AA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AA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AA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AA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AA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AA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AA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AA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AA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AA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AA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AA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AA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AA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AA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AA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AA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AA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AA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AA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AA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AA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AA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AA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AA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AA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AA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AA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AA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AA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AA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AA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AA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AA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AA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AA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AA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AA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AA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AA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AA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AA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AA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AA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AA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AA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AA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AA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AA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AA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AA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AA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AA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AA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AA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AA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AA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AA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AA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AA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AA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AA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AA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AA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AA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AA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AA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AA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AA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AA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AA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AA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AA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AA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AA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AA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AA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AA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AA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AA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AA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AA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AA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AA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AA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AA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AA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AA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AA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AA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AA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AA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AA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AA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AA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AA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AA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AA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AA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AA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AA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AA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AA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AA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AA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AA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AA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AA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AA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AA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AA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AA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AA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AA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AA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AA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AA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AA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AA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AA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AA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AA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AA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AA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AA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AA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AA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AA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AA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AA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AA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AA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AA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AA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AA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AA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AA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AA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AA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AA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AA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AA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AA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AA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AA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AA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AA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AA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AA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AA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AA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AA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AA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AA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AA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AA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AA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AA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AA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AA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AA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AA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AA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AA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AA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AA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AA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AA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AA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AA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AA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AA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AA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AA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AA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AA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AA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AA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AA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AA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AA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AA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AA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AA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AA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AA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AA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AA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AA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AA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AA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AA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AA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AA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AA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AA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AA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AA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AA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AA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AA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AA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AA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AA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AA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AA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AA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AA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AA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AA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AA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AA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AA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AA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AA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AA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AA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AA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AA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AA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AA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AA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AA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AA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AA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AA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AA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AA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AA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AA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AA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AA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AA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AA1000" s="4"/>
    </row>
  </sheetData>
  <autoFilter ref="A5:Z454"/>
  <mergeCells count="2">
    <mergeCell ref="A2:F2"/>
    <mergeCell ref="A3:F3"/>
  </mergeCells>
  <conditionalFormatting sqref="X6:Z454">
    <cfRule type="expression" priority="2" aboveAverage="0" equalAverage="0" bottom="0" percent="0" rank="0" text="" dxfId="15">
      <formula>COUNTA($X6:$Z6)&gt;1</formula>
    </cfRule>
  </conditionalFormatting>
  <dataValidations count="2">
    <dataValidation allowBlank="true" errorStyle="stop" operator="between" showDropDown="false" showErrorMessage="false" showInputMessage="false" sqref="G6:U454" type="list">
      <formula1>"X"</formula1>
      <formula2>0</formula2>
    </dataValidation>
    <dataValidation allowBlank="true" errorStyle="stop" operator="between" showDropDown="false" showErrorMessage="false" showInputMessage="false" sqref="X6:Z454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5" min="4" style="0" width="4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52"/>
    <col collapsed="false" customWidth="true" hidden="false" outlineLevel="0" max="11" min="11" style="0" width="2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26"/>
    <col collapsed="false" customWidth="true" hidden="false" outlineLevel="0" max="16" min="16" style="0" width="24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0" min="20" style="0" width="9"/>
    <col collapsed="false" customWidth="true" hidden="false" outlineLevel="0" max="21" min="21" style="0" width="46"/>
    <col collapsed="false" customWidth="true" hidden="false" outlineLevel="0" max="22" min="22" style="0" width="18"/>
    <col collapsed="false" customWidth="true" hidden="false" outlineLevel="0" max="23" min="23" style="0" width="52"/>
  </cols>
  <sheetData>
    <row r="1" customFormat="false" ht="30" hidden="false" customHeight="true" outlineLevel="0" collapsed="false">
      <c r="A1" s="54" t="s">
        <v>1169</v>
      </c>
      <c r="B1" s="54" t="s">
        <v>1170</v>
      </c>
      <c r="C1" s="54" t="s">
        <v>1171</v>
      </c>
      <c r="D1" s="54" t="s">
        <v>1172</v>
      </c>
      <c r="E1" s="54" t="s">
        <v>1173</v>
      </c>
      <c r="F1" s="54" t="s">
        <v>1174</v>
      </c>
      <c r="G1" s="54" t="s">
        <v>1175</v>
      </c>
      <c r="H1" s="54" t="s">
        <v>1176</v>
      </c>
      <c r="I1" s="54" t="s">
        <v>1177</v>
      </c>
      <c r="J1" s="54" t="s">
        <v>1178</v>
      </c>
      <c r="K1" s="54" t="s">
        <v>1179</v>
      </c>
      <c r="L1" s="54" t="s">
        <v>1180</v>
      </c>
      <c r="M1" s="54" t="s">
        <v>1181</v>
      </c>
      <c r="N1" s="54" t="s">
        <v>1182</v>
      </c>
      <c r="O1" s="54" t="s">
        <v>1183</v>
      </c>
      <c r="P1" s="54" t="s">
        <v>1184</v>
      </c>
      <c r="Q1" s="54" t="s">
        <v>1185</v>
      </c>
      <c r="R1" s="54" t="s">
        <v>1186</v>
      </c>
      <c r="S1" s="54" t="s">
        <v>1187</v>
      </c>
      <c r="T1" s="54" t="s">
        <v>1188</v>
      </c>
      <c r="U1" s="54" t="s">
        <v>1189</v>
      </c>
      <c r="V1" s="54" t="s">
        <v>1190</v>
      </c>
      <c r="W1" s="54" t="s">
        <v>1191</v>
      </c>
      <c r="X1" s="4"/>
      <c r="Y1" s="4"/>
      <c r="Z1" s="4"/>
    </row>
    <row r="2" customFormat="false" ht="15" hidden="false" customHeight="false" outlineLevel="0" collapsed="false">
      <c r="A2" s="55" t="n">
        <v>1762</v>
      </c>
      <c r="B2" s="55"/>
      <c r="C2" s="55" t="s">
        <v>1192</v>
      </c>
      <c r="D2" s="55" t="s">
        <v>1193</v>
      </c>
      <c r="E2" s="55" t="s">
        <v>1193</v>
      </c>
      <c r="F2" s="55" t="s">
        <v>1194</v>
      </c>
      <c r="G2" s="55" t="s">
        <v>1195</v>
      </c>
      <c r="H2" s="55" t="s">
        <v>1196</v>
      </c>
      <c r="I2" s="55" t="s">
        <v>883</v>
      </c>
      <c r="J2" s="55" t="s">
        <v>1197</v>
      </c>
      <c r="K2" s="55" t="s">
        <v>1198</v>
      </c>
      <c r="L2" s="55"/>
      <c r="M2" s="55"/>
      <c r="N2" s="55" t="s">
        <v>1199</v>
      </c>
      <c r="O2" s="55" t="s">
        <v>1200</v>
      </c>
      <c r="P2" s="55"/>
      <c r="Q2" s="55"/>
      <c r="R2" s="55" t="n">
        <v>83</v>
      </c>
      <c r="S2" s="55" t="n">
        <v>429</v>
      </c>
      <c r="T2" s="55"/>
      <c r="U2" s="55" t="s">
        <v>1192</v>
      </c>
      <c r="V2" s="55" t="s">
        <v>1201</v>
      </c>
      <c r="W2" s="55" t="s">
        <v>1202</v>
      </c>
      <c r="X2" s="4"/>
      <c r="Y2" s="4"/>
      <c r="Z2" s="4"/>
    </row>
    <row r="3" customFormat="false" ht="15" hidden="false" customHeight="false" outlineLevel="0" collapsed="false">
      <c r="A3" s="55" t="n">
        <v>1763</v>
      </c>
      <c r="B3" s="55"/>
      <c r="C3" s="55" t="s">
        <v>1203</v>
      </c>
      <c r="D3" s="55" t="s">
        <v>1204</v>
      </c>
      <c r="E3" s="55" t="s">
        <v>1204</v>
      </c>
      <c r="F3" s="55" t="s">
        <v>1194</v>
      </c>
      <c r="G3" s="55" t="s">
        <v>1195</v>
      </c>
      <c r="H3" s="55" t="s">
        <v>1196</v>
      </c>
      <c r="I3" s="55" t="s">
        <v>883</v>
      </c>
      <c r="J3" s="55" t="s">
        <v>1205</v>
      </c>
      <c r="K3" s="55" t="s">
        <v>1198</v>
      </c>
      <c r="L3" s="55"/>
      <c r="M3" s="55"/>
      <c r="N3" s="55" t="s">
        <v>1199</v>
      </c>
      <c r="O3" s="55" t="s">
        <v>1200</v>
      </c>
      <c r="P3" s="55"/>
      <c r="Q3" s="55"/>
      <c r="R3" s="55" t="n">
        <v>69</v>
      </c>
      <c r="S3" s="55" t="n">
        <v>370</v>
      </c>
      <c r="T3" s="55"/>
      <c r="U3" s="55" t="s">
        <v>1203</v>
      </c>
      <c r="V3" s="55" t="s">
        <v>1201</v>
      </c>
      <c r="W3" s="55" t="s">
        <v>1202</v>
      </c>
      <c r="X3" s="4"/>
      <c r="Y3" s="4"/>
      <c r="Z3" s="4"/>
    </row>
    <row r="4" customFormat="false" ht="15" hidden="false" customHeight="false" outlineLevel="0" collapsed="false">
      <c r="A4" s="55" t="n">
        <v>1777</v>
      </c>
      <c r="B4" s="55"/>
      <c r="C4" s="55" t="s">
        <v>1206</v>
      </c>
      <c r="D4" s="55" t="s">
        <v>1207</v>
      </c>
      <c r="E4" s="55" t="s">
        <v>1207</v>
      </c>
      <c r="F4" s="55" t="s">
        <v>1194</v>
      </c>
      <c r="G4" s="55" t="s">
        <v>1195</v>
      </c>
      <c r="H4" s="55" t="s">
        <v>1196</v>
      </c>
      <c r="I4" s="55" t="s">
        <v>883</v>
      </c>
      <c r="J4" s="55" t="s">
        <v>1208</v>
      </c>
      <c r="K4" s="55" t="s">
        <v>1198</v>
      </c>
      <c r="L4" s="55"/>
      <c r="M4" s="55"/>
      <c r="N4" s="55" t="s">
        <v>1199</v>
      </c>
      <c r="O4" s="55" t="s">
        <v>1200</v>
      </c>
      <c r="P4" s="55"/>
      <c r="Q4" s="55"/>
      <c r="R4" s="55" t="n">
        <v>8</v>
      </c>
      <c r="S4" s="55" t="n">
        <v>248</v>
      </c>
      <c r="T4" s="55"/>
      <c r="U4" s="55" t="s">
        <v>1206</v>
      </c>
      <c r="V4" s="55" t="s">
        <v>1201</v>
      </c>
      <c r="W4" s="55" t="s">
        <v>1202</v>
      </c>
      <c r="X4" s="4"/>
      <c r="Y4" s="4"/>
      <c r="Z4" s="4"/>
    </row>
    <row r="5" customFormat="false" ht="15" hidden="false" customHeight="false" outlineLevel="0" collapsed="false">
      <c r="A5" s="55" t="n">
        <v>1772</v>
      </c>
      <c r="B5" s="55"/>
      <c r="C5" s="55" t="s">
        <v>1209</v>
      </c>
      <c r="D5" s="55" t="s">
        <v>1210</v>
      </c>
      <c r="E5" s="55" t="s">
        <v>1210</v>
      </c>
      <c r="F5" s="55" t="s">
        <v>1194</v>
      </c>
      <c r="G5" s="55" t="s">
        <v>1195</v>
      </c>
      <c r="H5" s="55" t="s">
        <v>1196</v>
      </c>
      <c r="I5" s="55" t="s">
        <v>883</v>
      </c>
      <c r="J5" s="55" t="s">
        <v>1211</v>
      </c>
      <c r="K5" s="55" t="s">
        <v>1198</v>
      </c>
      <c r="L5" s="55"/>
      <c r="M5" s="55"/>
      <c r="N5" s="55" t="s">
        <v>1199</v>
      </c>
      <c r="O5" s="55" t="s">
        <v>1200</v>
      </c>
      <c r="P5" s="55"/>
      <c r="Q5" s="55"/>
      <c r="R5" s="55" t="n">
        <v>70</v>
      </c>
      <c r="S5" s="55" t="n">
        <v>154</v>
      </c>
      <c r="T5" s="55"/>
      <c r="U5" s="55" t="s">
        <v>1209</v>
      </c>
      <c r="V5" s="55" t="s">
        <v>1201</v>
      </c>
      <c r="W5" s="55" t="s">
        <v>1202</v>
      </c>
      <c r="X5" s="4"/>
      <c r="Y5" s="4"/>
      <c r="Z5" s="4"/>
    </row>
    <row r="6" customFormat="false" ht="15" hidden="false" customHeight="false" outlineLevel="0" collapsed="false">
      <c r="A6" s="55" t="n">
        <v>1771</v>
      </c>
      <c r="B6" s="55"/>
      <c r="C6" s="55" t="s">
        <v>1212</v>
      </c>
      <c r="D6" s="55" t="s">
        <v>1213</v>
      </c>
      <c r="E6" s="55" t="s">
        <v>1213</v>
      </c>
      <c r="F6" s="55" t="s">
        <v>1194</v>
      </c>
      <c r="G6" s="55" t="s">
        <v>1195</v>
      </c>
      <c r="H6" s="55" t="s">
        <v>1196</v>
      </c>
      <c r="I6" s="55" t="s">
        <v>883</v>
      </c>
      <c r="J6" s="55" t="s">
        <v>1214</v>
      </c>
      <c r="K6" s="55" t="s">
        <v>1198</v>
      </c>
      <c r="L6" s="55"/>
      <c r="M6" s="55"/>
      <c r="N6" s="55" t="s">
        <v>1199</v>
      </c>
      <c r="O6" s="55" t="s">
        <v>1200</v>
      </c>
      <c r="P6" s="55"/>
      <c r="Q6" s="55"/>
      <c r="R6" s="55" t="n">
        <v>70</v>
      </c>
      <c r="S6" s="55" t="n">
        <v>108</v>
      </c>
      <c r="T6" s="55"/>
      <c r="U6" s="55" t="s">
        <v>1212</v>
      </c>
      <c r="V6" s="55" t="s">
        <v>1201</v>
      </c>
      <c r="W6" s="55" t="s">
        <v>1202</v>
      </c>
      <c r="X6" s="4"/>
      <c r="Y6" s="4"/>
      <c r="Z6" s="4"/>
    </row>
    <row r="7" customFormat="false" ht="15" hidden="false" customHeight="false" outlineLevel="0" collapsed="false">
      <c r="A7" s="55" t="n">
        <v>1766</v>
      </c>
      <c r="B7" s="55"/>
      <c r="C7" s="55" t="s">
        <v>1215</v>
      </c>
      <c r="D7" s="55" t="s">
        <v>1216</v>
      </c>
      <c r="E7" s="55" t="s">
        <v>1216</v>
      </c>
      <c r="F7" s="55" t="s">
        <v>1194</v>
      </c>
      <c r="G7" s="55" t="s">
        <v>1195</v>
      </c>
      <c r="H7" s="55" t="s">
        <v>1196</v>
      </c>
      <c r="I7" s="55" t="s">
        <v>883</v>
      </c>
      <c r="J7" s="55" t="s">
        <v>1217</v>
      </c>
      <c r="K7" s="55" t="s">
        <v>1198</v>
      </c>
      <c r="L7" s="55"/>
      <c r="M7" s="55"/>
      <c r="N7" s="55" t="s">
        <v>1199</v>
      </c>
      <c r="O7" s="55" t="s">
        <v>1200</v>
      </c>
      <c r="P7" s="55"/>
      <c r="Q7" s="55"/>
      <c r="R7" s="55" t="n">
        <v>72</v>
      </c>
      <c r="S7" s="55" t="n">
        <v>212</v>
      </c>
      <c r="T7" s="55"/>
      <c r="U7" s="55" t="s">
        <v>1218</v>
      </c>
      <c r="V7" s="55" t="s">
        <v>1219</v>
      </c>
      <c r="W7" s="55" t="s">
        <v>1202</v>
      </c>
      <c r="X7" s="4"/>
      <c r="Y7" s="4"/>
      <c r="Z7" s="4"/>
    </row>
    <row r="8" customFormat="false" ht="15" hidden="false" customHeight="false" outlineLevel="0" collapsed="false">
      <c r="A8" s="55" t="n">
        <v>1767</v>
      </c>
      <c r="B8" s="55"/>
      <c r="C8" s="55" t="s">
        <v>1220</v>
      </c>
      <c r="D8" s="55" t="s">
        <v>1221</v>
      </c>
      <c r="E8" s="55" t="s">
        <v>1221</v>
      </c>
      <c r="F8" s="55" t="s">
        <v>1194</v>
      </c>
      <c r="G8" s="55" t="s">
        <v>1195</v>
      </c>
      <c r="H8" s="55" t="s">
        <v>1196</v>
      </c>
      <c r="I8" s="55" t="s">
        <v>883</v>
      </c>
      <c r="J8" s="55" t="s">
        <v>1222</v>
      </c>
      <c r="K8" s="55" t="s">
        <v>1198</v>
      </c>
      <c r="L8" s="55"/>
      <c r="M8" s="55"/>
      <c r="N8" s="55" t="s">
        <v>1199</v>
      </c>
      <c r="O8" s="55" t="s">
        <v>1200</v>
      </c>
      <c r="P8" s="55"/>
      <c r="Q8" s="55"/>
      <c r="R8" s="55" t="n">
        <v>69</v>
      </c>
      <c r="S8" s="55" t="n">
        <v>464</v>
      </c>
      <c r="T8" s="55"/>
      <c r="U8" s="55" t="s">
        <v>1220</v>
      </c>
      <c r="V8" s="55" t="s">
        <v>1201</v>
      </c>
      <c r="W8" s="55" t="s">
        <v>1202</v>
      </c>
      <c r="X8" s="4"/>
      <c r="Y8" s="4"/>
      <c r="Z8" s="4"/>
    </row>
    <row r="9" customFormat="false" ht="15" hidden="false" customHeight="false" outlineLevel="0" collapsed="false">
      <c r="A9" s="55" t="n">
        <v>1761</v>
      </c>
      <c r="B9" s="55"/>
      <c r="C9" s="55" t="s">
        <v>1223</v>
      </c>
      <c r="D9" s="55" t="s">
        <v>1224</v>
      </c>
      <c r="E9" s="55" t="s">
        <v>1224</v>
      </c>
      <c r="F9" s="55" t="s">
        <v>1194</v>
      </c>
      <c r="G9" s="55" t="s">
        <v>1195</v>
      </c>
      <c r="H9" s="55" t="s">
        <v>1196</v>
      </c>
      <c r="I9" s="55" t="s">
        <v>883</v>
      </c>
      <c r="J9" s="55" t="s">
        <v>1225</v>
      </c>
      <c r="K9" s="55" t="s">
        <v>1198</v>
      </c>
      <c r="L9" s="55"/>
      <c r="M9" s="55"/>
      <c r="N9" s="55" t="s">
        <v>1199</v>
      </c>
      <c r="O9" s="55" t="s">
        <v>1200</v>
      </c>
      <c r="P9" s="55"/>
      <c r="Q9" s="55"/>
      <c r="R9" s="55" t="n">
        <v>83</v>
      </c>
      <c r="S9" s="55" t="n">
        <v>341</v>
      </c>
      <c r="T9" s="55"/>
      <c r="U9" s="55" t="s">
        <v>1223</v>
      </c>
      <c r="V9" s="55" t="s">
        <v>1201</v>
      </c>
      <c r="W9" s="55" t="s">
        <v>1202</v>
      </c>
      <c r="X9" s="4"/>
      <c r="Y9" s="4"/>
      <c r="Z9" s="4"/>
    </row>
    <row r="10" customFormat="false" ht="15" hidden="false" customHeight="false" outlineLevel="0" collapsed="false">
      <c r="A10" s="55" t="n">
        <v>1768</v>
      </c>
      <c r="B10" s="55"/>
      <c r="C10" s="55" t="s">
        <v>1226</v>
      </c>
      <c r="D10" s="55" t="s">
        <v>1227</v>
      </c>
      <c r="E10" s="55" t="s">
        <v>1227</v>
      </c>
      <c r="F10" s="55" t="s">
        <v>1194</v>
      </c>
      <c r="G10" s="55" t="s">
        <v>1195</v>
      </c>
      <c r="H10" s="55" t="s">
        <v>1196</v>
      </c>
      <c r="I10" s="55" t="s">
        <v>883</v>
      </c>
      <c r="J10" s="55" t="s">
        <v>1228</v>
      </c>
      <c r="K10" s="55" t="s">
        <v>1198</v>
      </c>
      <c r="L10" s="55"/>
      <c r="M10" s="55"/>
      <c r="N10" s="55" t="s">
        <v>1199</v>
      </c>
      <c r="O10" s="55" t="s">
        <v>1200</v>
      </c>
      <c r="P10" s="55"/>
      <c r="Q10" s="55"/>
      <c r="R10" s="55" t="n">
        <v>69</v>
      </c>
      <c r="S10" s="55" t="n">
        <v>390</v>
      </c>
      <c r="T10" s="55"/>
      <c r="U10" s="55" t="s">
        <v>1226</v>
      </c>
      <c r="V10" s="55" t="s">
        <v>1201</v>
      </c>
      <c r="W10" s="55" t="s">
        <v>1202</v>
      </c>
      <c r="X10" s="4"/>
      <c r="Y10" s="4"/>
      <c r="Z10" s="4"/>
    </row>
    <row r="11" customFormat="false" ht="15" hidden="false" customHeight="false" outlineLevel="0" collapsed="false">
      <c r="A11" s="55" t="n">
        <v>1769</v>
      </c>
      <c r="B11" s="55"/>
      <c r="C11" s="55" t="s">
        <v>1229</v>
      </c>
      <c r="D11" s="55" t="s">
        <v>1230</v>
      </c>
      <c r="E11" s="55"/>
      <c r="F11" s="55" t="s">
        <v>1194</v>
      </c>
      <c r="G11" s="55" t="s">
        <v>1194</v>
      </c>
      <c r="H11" s="55" t="s">
        <v>1196</v>
      </c>
      <c r="I11" s="55" t="s">
        <v>883</v>
      </c>
      <c r="J11" s="55" t="s">
        <v>1231</v>
      </c>
      <c r="K11" s="55" t="s">
        <v>1198</v>
      </c>
      <c r="L11" s="55"/>
      <c r="M11" s="55"/>
      <c r="N11" s="55" t="s">
        <v>1199</v>
      </c>
      <c r="O11" s="55" t="s">
        <v>1200</v>
      </c>
      <c r="P11" s="55"/>
      <c r="Q11" s="55"/>
      <c r="R11" s="55" t="n">
        <v>70</v>
      </c>
      <c r="S11" s="55" t="n">
        <v>143</v>
      </c>
      <c r="T11" s="55"/>
      <c r="U11" s="55"/>
      <c r="V11" s="55"/>
      <c r="W11" s="55" t="s">
        <v>1232</v>
      </c>
      <c r="X11" s="4"/>
      <c r="Y11" s="4"/>
      <c r="Z11" s="4"/>
    </row>
    <row r="12" customFormat="false" ht="15" hidden="false" customHeight="false" outlineLevel="0" collapsed="false">
      <c r="A12" s="55" t="n">
        <v>1983</v>
      </c>
      <c r="B12" s="55"/>
      <c r="C12" s="55" t="s">
        <v>1233</v>
      </c>
      <c r="D12" s="55" t="s">
        <v>1234</v>
      </c>
      <c r="E12" s="55"/>
      <c r="F12" s="55" t="s">
        <v>1194</v>
      </c>
      <c r="G12" s="55" t="s">
        <v>1194</v>
      </c>
      <c r="H12" s="55" t="s">
        <v>1235</v>
      </c>
      <c r="I12" s="55"/>
      <c r="J12" s="55" t="s">
        <v>1236</v>
      </c>
      <c r="K12" s="55" t="s">
        <v>1237</v>
      </c>
      <c r="L12" s="55" t="n">
        <v>0.5</v>
      </c>
      <c r="M12" s="55" t="n">
        <v>44</v>
      </c>
      <c r="N12" s="55" t="s">
        <v>129</v>
      </c>
      <c r="O12" s="55" t="s">
        <v>129</v>
      </c>
      <c r="P12" s="55"/>
      <c r="Q12" s="55"/>
      <c r="R12" s="55" t="n">
        <v>11</v>
      </c>
      <c r="S12" s="55" t="n">
        <v>309</v>
      </c>
      <c r="T12" s="55"/>
      <c r="U12" s="55"/>
      <c r="V12" s="55"/>
      <c r="W12" s="55" t="s">
        <v>1232</v>
      </c>
      <c r="X12" s="4"/>
      <c r="Y12" s="4"/>
      <c r="Z12" s="4"/>
    </row>
    <row r="13" customFormat="false" ht="15" hidden="false" customHeight="false" outlineLevel="0" collapsed="false">
      <c r="A13" s="55" t="n">
        <v>1764</v>
      </c>
      <c r="B13" s="55"/>
      <c r="C13" s="55" t="s">
        <v>1238</v>
      </c>
      <c r="D13" s="55" t="s">
        <v>1239</v>
      </c>
      <c r="E13" s="55"/>
      <c r="F13" s="55" t="s">
        <v>1194</v>
      </c>
      <c r="G13" s="55" t="s">
        <v>1194</v>
      </c>
      <c r="H13" s="55" t="s">
        <v>1196</v>
      </c>
      <c r="I13" s="55" t="s">
        <v>883</v>
      </c>
      <c r="J13" s="55" t="s">
        <v>1240</v>
      </c>
      <c r="K13" s="55" t="s">
        <v>1198</v>
      </c>
      <c r="L13" s="55"/>
      <c r="M13" s="55"/>
      <c r="N13" s="55" t="s">
        <v>1199</v>
      </c>
      <c r="O13" s="55" t="s">
        <v>1200</v>
      </c>
      <c r="P13" s="55"/>
      <c r="Q13" s="55"/>
      <c r="R13" s="55" t="n">
        <v>70</v>
      </c>
      <c r="S13" s="55" t="n">
        <v>208</v>
      </c>
      <c r="T13" s="55"/>
      <c r="U13" s="55"/>
      <c r="V13" s="55"/>
      <c r="W13" s="55" t="s">
        <v>1232</v>
      </c>
      <c r="X13" s="4"/>
      <c r="Y13" s="4"/>
      <c r="Z13" s="4"/>
    </row>
    <row r="14" customFormat="false" ht="15" hidden="false" customHeight="false" outlineLevel="0" collapsed="false">
      <c r="A14" s="55" t="n">
        <v>1982</v>
      </c>
      <c r="B14" s="55"/>
      <c r="C14" s="55" t="s">
        <v>1241</v>
      </c>
      <c r="D14" s="55" t="s">
        <v>1242</v>
      </c>
      <c r="E14" s="55"/>
      <c r="F14" s="55" t="s">
        <v>1194</v>
      </c>
      <c r="G14" s="55" t="s">
        <v>1194</v>
      </c>
      <c r="H14" s="55" t="s">
        <v>1235</v>
      </c>
      <c r="I14" s="55"/>
      <c r="J14" s="55" t="s">
        <v>1243</v>
      </c>
      <c r="K14" s="55" t="s">
        <v>1244</v>
      </c>
      <c r="L14" s="55" t="n">
        <v>0.5</v>
      </c>
      <c r="M14" s="55" t="n">
        <v>44</v>
      </c>
      <c r="N14" s="55" t="s">
        <v>129</v>
      </c>
      <c r="O14" s="55" t="s">
        <v>129</v>
      </c>
      <c r="P14" s="55"/>
      <c r="Q14" s="55"/>
      <c r="R14" s="55" t="n">
        <v>8</v>
      </c>
      <c r="S14" s="55" t="n">
        <v>188</v>
      </c>
      <c r="T14" s="55"/>
      <c r="U14" s="55"/>
      <c r="V14" s="55"/>
      <c r="W14" s="55" t="s">
        <v>1232</v>
      </c>
      <c r="X14" s="4"/>
      <c r="Y14" s="4"/>
      <c r="Z14" s="4"/>
    </row>
    <row r="15" customFormat="false" ht="15" hidden="false" customHeight="false" outlineLevel="0" collapsed="false">
      <c r="A15" s="55" t="n">
        <v>1966</v>
      </c>
      <c r="B15" s="55" t="s">
        <v>1245</v>
      </c>
      <c r="C15" s="55" t="s">
        <v>1246</v>
      </c>
      <c r="D15" s="55" t="s">
        <v>1247</v>
      </c>
      <c r="E15" s="55" t="s">
        <v>1247</v>
      </c>
      <c r="F15" s="55" t="s">
        <v>1194</v>
      </c>
      <c r="G15" s="55" t="s">
        <v>1195</v>
      </c>
      <c r="H15" s="55" t="s">
        <v>1248</v>
      </c>
      <c r="I15" s="55" t="s">
        <v>168</v>
      </c>
      <c r="J15" s="55" t="s">
        <v>1249</v>
      </c>
      <c r="K15" s="55" t="s">
        <v>582</v>
      </c>
      <c r="L15" s="55" t="n">
        <v>0.75</v>
      </c>
      <c r="M15" s="55" t="n">
        <v>0.75</v>
      </c>
      <c r="N15" s="55" t="s">
        <v>1250</v>
      </c>
      <c r="O15" s="55" t="s">
        <v>116</v>
      </c>
      <c r="P15" s="55"/>
      <c r="Q15" s="55"/>
      <c r="R15" s="55" t="n">
        <v>0</v>
      </c>
      <c r="S15" s="55" t="n">
        <v>53</v>
      </c>
      <c r="T15" s="55"/>
      <c r="U15" s="55" t="s">
        <v>1246</v>
      </c>
      <c r="V15" s="55" t="s">
        <v>1251</v>
      </c>
      <c r="W15" s="55" t="s">
        <v>1252</v>
      </c>
      <c r="X15" s="4"/>
      <c r="Y15" s="4"/>
      <c r="Z15" s="4"/>
    </row>
    <row r="16" customFormat="false" ht="15" hidden="false" customHeight="false" outlineLevel="0" collapsed="false">
      <c r="A16" s="55" t="n">
        <v>1965</v>
      </c>
      <c r="B16" s="55" t="s">
        <v>1245</v>
      </c>
      <c r="C16" s="55" t="s">
        <v>1253</v>
      </c>
      <c r="D16" s="55" t="s">
        <v>1254</v>
      </c>
      <c r="E16" s="55" t="s">
        <v>1254</v>
      </c>
      <c r="F16" s="55" t="s">
        <v>1194</v>
      </c>
      <c r="G16" s="55" t="s">
        <v>1195</v>
      </c>
      <c r="H16" s="55" t="s">
        <v>1248</v>
      </c>
      <c r="I16" s="55" t="s">
        <v>145</v>
      </c>
      <c r="J16" s="55" t="s">
        <v>1255</v>
      </c>
      <c r="K16" s="55" t="s">
        <v>370</v>
      </c>
      <c r="L16" s="55" t="n">
        <v>0.75</v>
      </c>
      <c r="M16" s="55" t="n">
        <v>0.75</v>
      </c>
      <c r="N16" s="55" t="s">
        <v>1256</v>
      </c>
      <c r="O16" s="55" t="s">
        <v>116</v>
      </c>
      <c r="P16" s="55"/>
      <c r="Q16" s="55"/>
      <c r="R16" s="55" t="n">
        <v>0</v>
      </c>
      <c r="S16" s="55" t="n">
        <v>83</v>
      </c>
      <c r="T16" s="55"/>
      <c r="U16" s="55" t="s">
        <v>1253</v>
      </c>
      <c r="V16" s="55" t="s">
        <v>1257</v>
      </c>
      <c r="W16" s="55" t="s">
        <v>1252</v>
      </c>
      <c r="X16" s="4"/>
      <c r="Y16" s="4"/>
      <c r="Z16" s="4"/>
    </row>
    <row r="17" customFormat="false" ht="15" hidden="false" customHeight="false" outlineLevel="0" collapsed="false">
      <c r="A17" s="55" t="n">
        <v>2092</v>
      </c>
      <c r="B17" s="55" t="s">
        <v>1258</v>
      </c>
      <c r="C17" s="55" t="s">
        <v>1259</v>
      </c>
      <c r="D17" s="55" t="s">
        <v>1260</v>
      </c>
      <c r="E17" s="55" t="s">
        <v>1260</v>
      </c>
      <c r="F17" s="55" t="s">
        <v>1194</v>
      </c>
      <c r="G17" s="55" t="s">
        <v>1195</v>
      </c>
      <c r="H17" s="55" t="s">
        <v>1248</v>
      </c>
      <c r="I17" s="55" t="s">
        <v>505</v>
      </c>
      <c r="J17" s="55" t="s">
        <v>1261</v>
      </c>
      <c r="K17" s="55" t="s">
        <v>509</v>
      </c>
      <c r="L17" s="55" t="n">
        <v>0.3125</v>
      </c>
      <c r="M17" s="55" t="n">
        <v>1.25</v>
      </c>
      <c r="N17" s="55" t="s">
        <v>118</v>
      </c>
      <c r="O17" s="55" t="s">
        <v>116</v>
      </c>
      <c r="P17" s="55"/>
      <c r="Q17" s="55" t="s">
        <v>1262</v>
      </c>
      <c r="R17" s="55" t="n">
        <v>0</v>
      </c>
      <c r="S17" s="55" t="n">
        <v>23</v>
      </c>
      <c r="T17" s="55"/>
      <c r="U17" s="55" t="s">
        <v>1259</v>
      </c>
      <c r="V17" s="55" t="s">
        <v>1263</v>
      </c>
      <c r="W17" s="55" t="s">
        <v>1252</v>
      </c>
      <c r="X17" s="4"/>
      <c r="Y17" s="4"/>
      <c r="Z17" s="4"/>
    </row>
    <row r="18" customFormat="false" ht="15" hidden="false" customHeight="false" outlineLevel="0" collapsed="false">
      <c r="A18" s="55" t="n">
        <v>2088</v>
      </c>
      <c r="B18" s="55" t="s">
        <v>1264</v>
      </c>
      <c r="C18" s="55" t="s">
        <v>1265</v>
      </c>
      <c r="D18" s="55" t="s">
        <v>1266</v>
      </c>
      <c r="E18" s="55" t="s">
        <v>1266</v>
      </c>
      <c r="F18" s="55" t="s">
        <v>1194</v>
      </c>
      <c r="G18" s="55" t="s">
        <v>1195</v>
      </c>
      <c r="H18" s="55" t="s">
        <v>1248</v>
      </c>
      <c r="I18" s="55" t="s">
        <v>172</v>
      </c>
      <c r="J18" s="55" t="s">
        <v>1267</v>
      </c>
      <c r="K18" s="55" t="s">
        <v>1268</v>
      </c>
      <c r="L18" s="55" t="n">
        <v>0.75</v>
      </c>
      <c r="M18" s="55" t="n">
        <v>9.25</v>
      </c>
      <c r="N18" s="55" t="s">
        <v>1269</v>
      </c>
      <c r="O18" s="55" t="s">
        <v>1270</v>
      </c>
      <c r="P18" s="55"/>
      <c r="Q18" s="55" t="s">
        <v>1262</v>
      </c>
      <c r="R18" s="55" t="n">
        <v>0</v>
      </c>
      <c r="S18" s="55" t="n">
        <v>38</v>
      </c>
      <c r="T18" s="55"/>
      <c r="U18" s="55" t="s">
        <v>1265</v>
      </c>
      <c r="V18" s="55" t="s">
        <v>1271</v>
      </c>
      <c r="W18" s="55" t="s">
        <v>1252</v>
      </c>
      <c r="X18" s="4"/>
      <c r="Y18" s="4"/>
      <c r="Z18" s="4"/>
    </row>
    <row r="19" customFormat="false" ht="15" hidden="false" customHeight="false" outlineLevel="0" collapsed="false">
      <c r="A19" s="55" t="n">
        <v>2090</v>
      </c>
      <c r="B19" s="55" t="s">
        <v>1272</v>
      </c>
      <c r="C19" s="55" t="s">
        <v>1273</v>
      </c>
      <c r="D19" s="55" t="s">
        <v>1274</v>
      </c>
      <c r="E19" s="55" t="s">
        <v>1274</v>
      </c>
      <c r="F19" s="55" t="s">
        <v>1194</v>
      </c>
      <c r="G19" s="55" t="s">
        <v>1195</v>
      </c>
      <c r="H19" s="55" t="s">
        <v>1248</v>
      </c>
      <c r="I19" s="55" t="s">
        <v>599</v>
      </c>
      <c r="J19" s="55" t="s">
        <v>1275</v>
      </c>
      <c r="K19" s="55" t="s">
        <v>1276</v>
      </c>
      <c r="L19" s="55" t="n">
        <v>1.75</v>
      </c>
      <c r="M19" s="55" t="n">
        <v>2.5</v>
      </c>
      <c r="N19" s="55" t="s">
        <v>1277</v>
      </c>
      <c r="O19" s="55" t="s">
        <v>1278</v>
      </c>
      <c r="P19" s="55"/>
      <c r="Q19" s="55"/>
      <c r="R19" s="55" t="n">
        <v>0</v>
      </c>
      <c r="S19" s="55" t="n">
        <v>27</v>
      </c>
      <c r="T19" s="55"/>
      <c r="U19" s="55" t="s">
        <v>1273</v>
      </c>
      <c r="V19" s="55" t="s">
        <v>1279</v>
      </c>
      <c r="W19" s="55" t="s">
        <v>1252</v>
      </c>
      <c r="X19" s="4"/>
      <c r="Y19" s="4"/>
      <c r="Z19" s="4"/>
    </row>
    <row r="20" customFormat="false" ht="15" hidden="false" customHeight="false" outlineLevel="0" collapsed="false">
      <c r="A20" s="55" t="n">
        <v>2091</v>
      </c>
      <c r="B20" s="55" t="s">
        <v>1280</v>
      </c>
      <c r="C20" s="55" t="s">
        <v>1281</v>
      </c>
      <c r="D20" s="55" t="s">
        <v>1282</v>
      </c>
      <c r="E20" s="55" t="s">
        <v>1282</v>
      </c>
      <c r="F20" s="55" t="s">
        <v>1194</v>
      </c>
      <c r="G20" s="55" t="s">
        <v>1195</v>
      </c>
      <c r="H20" s="55" t="s">
        <v>1248</v>
      </c>
      <c r="I20" s="55" t="s">
        <v>145</v>
      </c>
      <c r="J20" s="55" t="s">
        <v>1283</v>
      </c>
      <c r="K20" s="55" t="s">
        <v>1284</v>
      </c>
      <c r="L20" s="55" t="n">
        <v>0.8125</v>
      </c>
      <c r="M20" s="55" t="n">
        <v>1.25</v>
      </c>
      <c r="N20" s="55" t="s">
        <v>116</v>
      </c>
      <c r="O20" s="55" t="s">
        <v>116</v>
      </c>
      <c r="P20" s="55"/>
      <c r="Q20" s="55"/>
      <c r="R20" s="55" t="n">
        <v>0</v>
      </c>
      <c r="S20" s="55" t="n">
        <v>16</v>
      </c>
      <c r="T20" s="55"/>
      <c r="U20" s="55" t="s">
        <v>1281</v>
      </c>
      <c r="V20" s="55" t="s">
        <v>1285</v>
      </c>
      <c r="W20" s="55" t="s">
        <v>1252</v>
      </c>
      <c r="X20" s="4"/>
      <c r="Y20" s="4"/>
      <c r="Z20" s="4"/>
    </row>
    <row r="21" customFormat="false" ht="15.75" hidden="false" customHeight="true" outlineLevel="0" collapsed="false">
      <c r="A21" s="55" t="n">
        <v>1959</v>
      </c>
      <c r="B21" s="55"/>
      <c r="C21" s="55" t="s">
        <v>1286</v>
      </c>
      <c r="D21" s="55" t="s">
        <v>1287</v>
      </c>
      <c r="E21" s="55" t="s">
        <v>1287</v>
      </c>
      <c r="F21" s="55" t="s">
        <v>1194</v>
      </c>
      <c r="G21" s="55" t="s">
        <v>1195</v>
      </c>
      <c r="H21" s="55" t="s">
        <v>1196</v>
      </c>
      <c r="I21" s="55" t="s">
        <v>883</v>
      </c>
      <c r="J21" s="55" t="s">
        <v>1288</v>
      </c>
      <c r="K21" s="55" t="s">
        <v>879</v>
      </c>
      <c r="L21" s="55"/>
      <c r="M21" s="55"/>
      <c r="N21" s="55" t="s">
        <v>1199</v>
      </c>
      <c r="O21" s="55" t="s">
        <v>1200</v>
      </c>
      <c r="P21" s="55"/>
      <c r="Q21" s="55"/>
      <c r="R21" s="55" t="n">
        <v>0</v>
      </c>
      <c r="S21" s="55" t="n">
        <v>130</v>
      </c>
      <c r="T21" s="55"/>
      <c r="U21" s="55" t="s">
        <v>1286</v>
      </c>
      <c r="V21" s="55" t="s">
        <v>1289</v>
      </c>
      <c r="W21" s="55" t="s">
        <v>1290</v>
      </c>
      <c r="X21" s="4"/>
      <c r="Y21" s="4"/>
      <c r="Z21" s="4"/>
    </row>
    <row r="22" customFormat="false" ht="15.75" hidden="false" customHeight="true" outlineLevel="0" collapsed="false">
      <c r="A22" s="55" t="n">
        <v>1945</v>
      </c>
      <c r="B22" s="55" t="s">
        <v>1291</v>
      </c>
      <c r="C22" s="55" t="s">
        <v>1292</v>
      </c>
      <c r="D22" s="55" t="s">
        <v>1293</v>
      </c>
      <c r="E22" s="55" t="s">
        <v>1294</v>
      </c>
      <c r="F22" s="55" t="s">
        <v>1195</v>
      </c>
      <c r="G22" s="55" t="s">
        <v>1195</v>
      </c>
      <c r="H22" s="55" t="s">
        <v>1248</v>
      </c>
      <c r="I22" s="55" t="s">
        <v>172</v>
      </c>
      <c r="J22" s="55" t="s">
        <v>1295</v>
      </c>
      <c r="K22" s="55" t="s">
        <v>1296</v>
      </c>
      <c r="L22" s="55" t="n">
        <v>0.4375</v>
      </c>
      <c r="M22" s="55" t="n">
        <v>5.25</v>
      </c>
      <c r="N22" s="55" t="s">
        <v>1297</v>
      </c>
      <c r="O22" s="55" t="s">
        <v>1298</v>
      </c>
      <c r="P22" s="55"/>
      <c r="Q22" s="55"/>
      <c r="R22" s="55" t="n">
        <v>0</v>
      </c>
      <c r="S22" s="55" t="n">
        <v>251</v>
      </c>
      <c r="T22" s="55"/>
      <c r="U22" s="55" t="s">
        <v>1299</v>
      </c>
      <c r="V22" s="55" t="s">
        <v>1300</v>
      </c>
      <c r="W22" s="55" t="s">
        <v>1301</v>
      </c>
      <c r="X22" s="4"/>
      <c r="Y22" s="4"/>
      <c r="Z22" s="4"/>
    </row>
    <row r="23" customFormat="false" ht="15.75" hidden="false" customHeight="true" outlineLevel="0" collapsed="false">
      <c r="A23" s="55" t="n">
        <v>1569</v>
      </c>
      <c r="B23" s="55" t="s">
        <v>1302</v>
      </c>
      <c r="C23" s="55" t="s">
        <v>1303</v>
      </c>
      <c r="D23" s="55" t="s">
        <v>1304</v>
      </c>
      <c r="E23" s="55"/>
      <c r="F23" s="55" t="s">
        <v>1194</v>
      </c>
      <c r="G23" s="55" t="s">
        <v>1194</v>
      </c>
      <c r="H23" s="55" t="s">
        <v>1248</v>
      </c>
      <c r="I23" s="55" t="s">
        <v>172</v>
      </c>
      <c r="J23" s="55" t="s">
        <v>1305</v>
      </c>
      <c r="K23" s="55" t="s">
        <v>1306</v>
      </c>
      <c r="L23" s="55" t="n">
        <v>0.875</v>
      </c>
      <c r="M23" s="55" t="n">
        <v>7.375</v>
      </c>
      <c r="N23" s="55" t="s">
        <v>1270</v>
      </c>
      <c r="O23" s="55" t="s">
        <v>1270</v>
      </c>
      <c r="P23" s="55"/>
      <c r="Q23" s="55"/>
      <c r="R23" s="55" t="n">
        <v>90</v>
      </c>
      <c r="S23" s="55" t="n">
        <v>187</v>
      </c>
      <c r="T23" s="55"/>
      <c r="U23" s="55"/>
      <c r="V23" s="55"/>
      <c r="W23" s="55" t="s">
        <v>1307</v>
      </c>
      <c r="X23" s="4"/>
      <c r="Y23" s="4"/>
      <c r="Z23" s="4"/>
    </row>
    <row r="24" customFormat="false" ht="15.75" hidden="false" customHeight="true" outlineLevel="0" collapsed="false">
      <c r="A24" s="55" t="n">
        <v>1560</v>
      </c>
      <c r="B24" s="55" t="s">
        <v>1308</v>
      </c>
      <c r="C24" s="55" t="s">
        <v>1309</v>
      </c>
      <c r="D24" s="55" t="s">
        <v>1310</v>
      </c>
      <c r="E24" s="55"/>
      <c r="F24" s="55" t="s">
        <v>1194</v>
      </c>
      <c r="G24" s="55" t="s">
        <v>1194</v>
      </c>
      <c r="H24" s="55" t="s">
        <v>1248</v>
      </c>
      <c r="I24" s="55" t="s">
        <v>172</v>
      </c>
      <c r="J24" s="55" t="s">
        <v>1311</v>
      </c>
      <c r="K24" s="55" t="s">
        <v>1312</v>
      </c>
      <c r="L24" s="55" t="n">
        <v>0.375</v>
      </c>
      <c r="M24" s="55" t="n">
        <v>4.125</v>
      </c>
      <c r="N24" s="55" t="s">
        <v>1313</v>
      </c>
      <c r="O24" s="55" t="s">
        <v>1298</v>
      </c>
      <c r="P24" s="55"/>
      <c r="Q24" s="55"/>
      <c r="R24" s="55" t="n">
        <v>65</v>
      </c>
      <c r="S24" s="55" t="n">
        <v>251</v>
      </c>
      <c r="T24" s="55"/>
      <c r="U24" s="55"/>
      <c r="V24" s="55"/>
      <c r="W24" s="55" t="s">
        <v>1307</v>
      </c>
      <c r="X24" s="4"/>
      <c r="Y24" s="4"/>
      <c r="Z24" s="4"/>
    </row>
    <row r="25" customFormat="false" ht="15.75" hidden="false" customHeight="true" outlineLevel="0" collapsed="false">
      <c r="A25" s="55" t="n">
        <v>1985</v>
      </c>
      <c r="B25" s="55" t="s">
        <v>1314</v>
      </c>
      <c r="C25" s="55" t="s">
        <v>1315</v>
      </c>
      <c r="D25" s="55" t="s">
        <v>1316</v>
      </c>
      <c r="E25" s="55"/>
      <c r="F25" s="55" t="s">
        <v>1194</v>
      </c>
      <c r="G25" s="55" t="s">
        <v>1194</v>
      </c>
      <c r="H25" s="55" t="s">
        <v>1248</v>
      </c>
      <c r="I25" s="55" t="s">
        <v>139</v>
      </c>
      <c r="J25" s="55" t="s">
        <v>1317</v>
      </c>
      <c r="K25" s="55" t="s">
        <v>1318</v>
      </c>
      <c r="L25" s="55" t="n">
        <v>2</v>
      </c>
      <c r="M25" s="55" t="n">
        <v>5.875</v>
      </c>
      <c r="N25" s="55" t="s">
        <v>1319</v>
      </c>
      <c r="O25" s="55" t="s">
        <v>1270</v>
      </c>
      <c r="P25" s="55"/>
      <c r="Q25" s="55" t="s">
        <v>1262</v>
      </c>
      <c r="R25" s="55" t="n">
        <v>32</v>
      </c>
      <c r="S25" s="55" t="n">
        <v>124</v>
      </c>
      <c r="T25" s="55"/>
      <c r="U25" s="55"/>
      <c r="V25" s="55"/>
      <c r="W25" s="55" t="s">
        <v>1307</v>
      </c>
      <c r="X25" s="4"/>
      <c r="Y25" s="4"/>
      <c r="Z25" s="4"/>
    </row>
    <row r="26" customFormat="false" ht="15.75" hidden="false" customHeight="true" outlineLevel="0" collapsed="false">
      <c r="A26" s="55" t="n">
        <v>1988</v>
      </c>
      <c r="B26" s="55" t="s">
        <v>1320</v>
      </c>
      <c r="C26" s="55" t="s">
        <v>1321</v>
      </c>
      <c r="D26" s="55" t="s">
        <v>1322</v>
      </c>
      <c r="E26" s="55"/>
      <c r="F26" s="55" t="s">
        <v>1194</v>
      </c>
      <c r="G26" s="55" t="s">
        <v>1194</v>
      </c>
      <c r="H26" s="55" t="s">
        <v>1235</v>
      </c>
      <c r="I26" s="55"/>
      <c r="J26" s="55" t="s">
        <v>1323</v>
      </c>
      <c r="K26" s="55" t="s">
        <v>1324</v>
      </c>
      <c r="L26" s="55" t="n">
        <v>3.5</v>
      </c>
      <c r="M26" s="55" t="n">
        <v>42</v>
      </c>
      <c r="N26" s="55" t="s">
        <v>1325</v>
      </c>
      <c r="O26" s="55" t="s">
        <v>1278</v>
      </c>
      <c r="P26" s="55"/>
      <c r="Q26" s="55"/>
      <c r="R26" s="55" t="n">
        <v>13</v>
      </c>
      <c r="S26" s="55" t="n">
        <v>225</v>
      </c>
      <c r="T26" s="55"/>
      <c r="U26" s="55"/>
      <c r="V26" s="55"/>
      <c r="W26" s="55" t="s">
        <v>1307</v>
      </c>
      <c r="X26" s="4"/>
      <c r="Y26" s="4"/>
      <c r="Z26" s="4"/>
    </row>
    <row r="27" customFormat="false" ht="15.75" hidden="false" customHeight="true" outlineLevel="0" collapsed="false">
      <c r="A27" s="55" t="n">
        <v>1980</v>
      </c>
      <c r="B27" s="55" t="s">
        <v>1326</v>
      </c>
      <c r="C27" s="55" t="s">
        <v>1327</v>
      </c>
      <c r="D27" s="55" t="s">
        <v>1328</v>
      </c>
      <c r="E27" s="55"/>
      <c r="F27" s="55" t="s">
        <v>1194</v>
      </c>
      <c r="G27" s="55" t="s">
        <v>1194</v>
      </c>
      <c r="H27" s="55" t="s">
        <v>1235</v>
      </c>
      <c r="I27" s="55"/>
      <c r="J27" s="55" t="s">
        <v>1329</v>
      </c>
      <c r="K27" s="55" t="s">
        <v>1330</v>
      </c>
      <c r="L27" s="55" t="n">
        <v>10.5</v>
      </c>
      <c r="M27" s="55" t="n">
        <v>42</v>
      </c>
      <c r="N27" s="55" t="s">
        <v>122</v>
      </c>
      <c r="O27" s="55" t="s">
        <v>122</v>
      </c>
      <c r="P27" s="55"/>
      <c r="Q27" s="55"/>
      <c r="R27" s="55" t="n">
        <v>29</v>
      </c>
      <c r="S27" s="55" t="n">
        <v>165</v>
      </c>
      <c r="T27" s="55"/>
      <c r="U27" s="55"/>
      <c r="V27" s="55"/>
      <c r="W27" s="55" t="s">
        <v>1307</v>
      </c>
      <c r="X27" s="4"/>
      <c r="Y27" s="4"/>
      <c r="Z27" s="4"/>
    </row>
    <row r="28" customFormat="false" ht="15.75" hidden="false" customHeight="true" outlineLevel="0" collapsed="false">
      <c r="A28" s="55" t="n">
        <v>1636</v>
      </c>
      <c r="B28" s="55" t="s">
        <v>1331</v>
      </c>
      <c r="C28" s="55" t="s">
        <v>1332</v>
      </c>
      <c r="D28" s="55" t="s">
        <v>1333</v>
      </c>
      <c r="E28" s="55"/>
      <c r="F28" s="55" t="s">
        <v>1194</v>
      </c>
      <c r="G28" s="55" t="s">
        <v>1194</v>
      </c>
      <c r="H28" s="55" t="s">
        <v>1248</v>
      </c>
      <c r="I28" s="55" t="s">
        <v>379</v>
      </c>
      <c r="J28" s="55" t="s">
        <v>1334</v>
      </c>
      <c r="K28" s="55" t="s">
        <v>1335</v>
      </c>
      <c r="L28" s="55" t="n">
        <v>1.625</v>
      </c>
      <c r="M28" s="55" t="n">
        <v>6</v>
      </c>
      <c r="N28" s="55" t="s">
        <v>1336</v>
      </c>
      <c r="O28" s="55" t="s">
        <v>1270</v>
      </c>
      <c r="P28" s="55"/>
      <c r="Q28" s="55"/>
      <c r="R28" s="55" t="n">
        <v>59</v>
      </c>
      <c r="S28" s="55" t="n">
        <v>215</v>
      </c>
      <c r="T28" s="55"/>
      <c r="U28" s="55"/>
      <c r="V28" s="55"/>
      <c r="W28" s="55" t="s">
        <v>1307</v>
      </c>
      <c r="X28" s="4"/>
      <c r="Y28" s="4"/>
      <c r="Z28" s="4"/>
    </row>
    <row r="29" customFormat="false" ht="15.75" hidden="false" customHeight="true" outlineLevel="0" collapsed="false">
      <c r="A29" s="55" t="n">
        <v>1650</v>
      </c>
      <c r="B29" s="55" t="s">
        <v>1337</v>
      </c>
      <c r="C29" s="55" t="s">
        <v>1338</v>
      </c>
      <c r="D29" s="55" t="s">
        <v>1339</v>
      </c>
      <c r="E29" s="55"/>
      <c r="F29" s="55" t="s">
        <v>1194</v>
      </c>
      <c r="G29" s="55" t="s">
        <v>1194</v>
      </c>
      <c r="H29" s="55" t="s">
        <v>1248</v>
      </c>
      <c r="I29" s="55" t="s">
        <v>379</v>
      </c>
      <c r="J29" s="55" t="s">
        <v>1340</v>
      </c>
      <c r="K29" s="55" t="s">
        <v>1341</v>
      </c>
      <c r="L29" s="55" t="n">
        <v>0.75</v>
      </c>
      <c r="M29" s="55" t="n">
        <v>5.875</v>
      </c>
      <c r="N29" s="55" t="s">
        <v>1270</v>
      </c>
      <c r="O29" s="55" t="s">
        <v>1270</v>
      </c>
      <c r="P29" s="55"/>
      <c r="Q29" s="55"/>
      <c r="R29" s="55" t="n">
        <v>34</v>
      </c>
      <c r="S29" s="55" t="n">
        <v>150</v>
      </c>
      <c r="T29" s="55"/>
      <c r="U29" s="55"/>
      <c r="V29" s="55"/>
      <c r="W29" s="55" t="s">
        <v>1307</v>
      </c>
      <c r="X29" s="4"/>
      <c r="Y29" s="4"/>
      <c r="Z29" s="4"/>
    </row>
    <row r="30" customFormat="false" ht="15.75" hidden="false" customHeight="true" outlineLevel="0" collapsed="false">
      <c r="A30" s="55" t="n">
        <v>1649</v>
      </c>
      <c r="B30" s="55" t="s">
        <v>1342</v>
      </c>
      <c r="C30" s="55" t="s">
        <v>1343</v>
      </c>
      <c r="D30" s="55" t="s">
        <v>1344</v>
      </c>
      <c r="E30" s="55"/>
      <c r="F30" s="55" t="s">
        <v>1194</v>
      </c>
      <c r="G30" s="55" t="s">
        <v>1194</v>
      </c>
      <c r="H30" s="55" t="s">
        <v>1248</v>
      </c>
      <c r="I30" s="55" t="s">
        <v>379</v>
      </c>
      <c r="J30" s="55" t="s">
        <v>1345</v>
      </c>
      <c r="K30" s="55" t="s">
        <v>1346</v>
      </c>
      <c r="L30" s="55" t="n">
        <v>0.625</v>
      </c>
      <c r="M30" s="55" t="n">
        <v>4.5</v>
      </c>
      <c r="N30" s="55" t="s">
        <v>1270</v>
      </c>
      <c r="O30" s="55" t="s">
        <v>1270</v>
      </c>
      <c r="P30" s="55"/>
      <c r="Q30" s="55"/>
      <c r="R30" s="55" t="n">
        <v>34</v>
      </c>
      <c r="S30" s="55" t="n">
        <v>105</v>
      </c>
      <c r="T30" s="55"/>
      <c r="U30" s="55"/>
      <c r="V30" s="55"/>
      <c r="W30" s="55" t="s">
        <v>1307</v>
      </c>
      <c r="X30" s="4"/>
      <c r="Y30" s="4"/>
      <c r="Z30" s="4"/>
    </row>
    <row r="31" customFormat="false" ht="15.75" hidden="false" customHeight="true" outlineLevel="0" collapsed="false">
      <c r="A31" s="55" t="n">
        <v>2084</v>
      </c>
      <c r="B31" s="55" t="s">
        <v>1347</v>
      </c>
      <c r="C31" s="55" t="s">
        <v>1348</v>
      </c>
      <c r="D31" s="55" t="s">
        <v>1349</v>
      </c>
      <c r="E31" s="55"/>
      <c r="F31" s="55" t="s">
        <v>1194</v>
      </c>
      <c r="G31" s="55" t="s">
        <v>1194</v>
      </c>
      <c r="H31" s="55" t="s">
        <v>1248</v>
      </c>
      <c r="I31" s="55" t="s">
        <v>274</v>
      </c>
      <c r="J31" s="55" t="s">
        <v>1350</v>
      </c>
      <c r="K31" s="55" t="s">
        <v>1351</v>
      </c>
      <c r="L31" s="55" t="n">
        <v>1.125</v>
      </c>
      <c r="M31" s="55" t="n">
        <v>3.5</v>
      </c>
      <c r="N31" s="55" t="s">
        <v>1352</v>
      </c>
      <c r="O31" s="55" t="s">
        <v>1298</v>
      </c>
      <c r="P31" s="55"/>
      <c r="Q31" s="55" t="s">
        <v>1262</v>
      </c>
      <c r="R31" s="55" t="n">
        <v>14</v>
      </c>
      <c r="S31" s="55" t="n">
        <v>78</v>
      </c>
      <c r="T31" s="55"/>
      <c r="U31" s="55"/>
      <c r="V31" s="55"/>
      <c r="W31" s="55" t="s">
        <v>1307</v>
      </c>
      <c r="X31" s="4"/>
      <c r="Y31" s="4"/>
      <c r="Z31" s="4"/>
    </row>
    <row r="32" customFormat="false" ht="15.75" hidden="false" customHeight="true" outlineLevel="0" collapsed="false">
      <c r="A32" s="55" t="n">
        <v>2085</v>
      </c>
      <c r="B32" s="55" t="s">
        <v>1353</v>
      </c>
      <c r="C32" s="55" t="s">
        <v>1354</v>
      </c>
      <c r="D32" s="55" t="s">
        <v>1355</v>
      </c>
      <c r="E32" s="55"/>
      <c r="F32" s="55" t="s">
        <v>1194</v>
      </c>
      <c r="G32" s="55" t="s">
        <v>1194</v>
      </c>
      <c r="H32" s="55" t="s">
        <v>1248</v>
      </c>
      <c r="I32" s="55" t="s">
        <v>172</v>
      </c>
      <c r="J32" s="55" t="s">
        <v>1356</v>
      </c>
      <c r="K32" s="55" t="s">
        <v>1357</v>
      </c>
      <c r="L32" s="55" t="n">
        <v>0.625</v>
      </c>
      <c r="M32" s="55" t="n">
        <v>7.25</v>
      </c>
      <c r="N32" s="55" t="s">
        <v>1352</v>
      </c>
      <c r="O32" s="55" t="s">
        <v>1298</v>
      </c>
      <c r="P32" s="55"/>
      <c r="Q32" s="55" t="s">
        <v>1262</v>
      </c>
      <c r="R32" s="55" t="n">
        <v>9</v>
      </c>
      <c r="S32" s="55" t="n">
        <v>62</v>
      </c>
      <c r="T32" s="55"/>
      <c r="U32" s="55"/>
      <c r="V32" s="55"/>
      <c r="W32" s="55" t="s">
        <v>1307</v>
      </c>
      <c r="X32" s="4"/>
      <c r="Y32" s="4"/>
      <c r="Z32" s="4"/>
    </row>
    <row r="33" customFormat="false" ht="15.75" hidden="false" customHeight="true" outlineLevel="0" collapsed="false">
      <c r="A33" s="55" t="n">
        <v>1970</v>
      </c>
      <c r="B33" s="55" t="s">
        <v>1358</v>
      </c>
      <c r="C33" s="55" t="s">
        <v>1359</v>
      </c>
      <c r="D33" s="55" t="s">
        <v>1360</v>
      </c>
      <c r="E33" s="55"/>
      <c r="F33" s="55" t="s">
        <v>1194</v>
      </c>
      <c r="G33" s="55" t="s">
        <v>1194</v>
      </c>
      <c r="H33" s="55" t="s">
        <v>1235</v>
      </c>
      <c r="I33" s="55"/>
      <c r="J33" s="55" t="s">
        <v>1361</v>
      </c>
      <c r="K33" s="55" t="s">
        <v>1362</v>
      </c>
      <c r="L33" s="55" t="n">
        <v>3.5</v>
      </c>
      <c r="M33" s="55" t="n">
        <v>48</v>
      </c>
      <c r="N33" s="55" t="s">
        <v>122</v>
      </c>
      <c r="O33" s="55" t="s">
        <v>122</v>
      </c>
      <c r="P33" s="55"/>
      <c r="Q33" s="55"/>
      <c r="R33" s="55" t="n">
        <v>5</v>
      </c>
      <c r="S33" s="55" t="n">
        <v>367</v>
      </c>
      <c r="T33" s="55"/>
      <c r="U33" s="55"/>
      <c r="V33" s="55"/>
      <c r="W33" s="55" t="s">
        <v>1307</v>
      </c>
      <c r="X33" s="4"/>
      <c r="Y33" s="4"/>
      <c r="Z33" s="4"/>
    </row>
    <row r="34" customFormat="false" ht="15.75" hidden="false" customHeight="true" outlineLevel="0" collapsed="false">
      <c r="A34" s="55" t="n">
        <v>1979</v>
      </c>
      <c r="B34" s="55" t="s">
        <v>1363</v>
      </c>
      <c r="C34" s="55" t="s">
        <v>1364</v>
      </c>
      <c r="D34" s="55" t="s">
        <v>1365</v>
      </c>
      <c r="E34" s="55"/>
      <c r="F34" s="55" t="s">
        <v>1194</v>
      </c>
      <c r="G34" s="55" t="s">
        <v>1194</v>
      </c>
      <c r="H34" s="55" t="s">
        <v>1235</v>
      </c>
      <c r="I34" s="55"/>
      <c r="J34" s="55" t="s">
        <v>1366</v>
      </c>
      <c r="K34" s="55" t="s">
        <v>1330</v>
      </c>
      <c r="L34" s="55" t="n">
        <v>10.5</v>
      </c>
      <c r="M34" s="55" t="n">
        <v>42</v>
      </c>
      <c r="N34" s="55" t="s">
        <v>122</v>
      </c>
      <c r="O34" s="55" t="s">
        <v>122</v>
      </c>
      <c r="P34" s="55"/>
      <c r="Q34" s="55"/>
      <c r="R34" s="55" t="n">
        <v>20</v>
      </c>
      <c r="S34" s="55" t="n">
        <v>212</v>
      </c>
      <c r="T34" s="55"/>
      <c r="U34" s="55"/>
      <c r="V34" s="55"/>
      <c r="W34" s="55" t="s">
        <v>1307</v>
      </c>
      <c r="X34" s="4"/>
      <c r="Y34" s="4"/>
      <c r="Z34" s="4"/>
    </row>
    <row r="35" customFormat="false" ht="15.75" hidden="false" customHeight="true" outlineLevel="0" collapsed="false">
      <c r="A35" s="55" t="n">
        <v>1648</v>
      </c>
      <c r="B35" s="55" t="s">
        <v>1367</v>
      </c>
      <c r="C35" s="55" t="s">
        <v>1368</v>
      </c>
      <c r="D35" s="55" t="s">
        <v>1369</v>
      </c>
      <c r="E35" s="55" t="s">
        <v>1369</v>
      </c>
      <c r="F35" s="55" t="s">
        <v>1194</v>
      </c>
      <c r="G35" s="55" t="s">
        <v>1195</v>
      </c>
      <c r="H35" s="55" t="s">
        <v>1248</v>
      </c>
      <c r="I35" s="55" t="s">
        <v>379</v>
      </c>
      <c r="J35" s="55" t="s">
        <v>1370</v>
      </c>
      <c r="K35" s="55" t="s">
        <v>1371</v>
      </c>
      <c r="L35" s="55"/>
      <c r="M35" s="55"/>
      <c r="N35" s="55" t="s">
        <v>1372</v>
      </c>
      <c r="O35" s="55" t="s">
        <v>1270</v>
      </c>
      <c r="P35" s="55"/>
      <c r="Q35" s="55"/>
      <c r="R35" s="55" t="n">
        <v>66</v>
      </c>
      <c r="S35" s="55" t="n">
        <v>413</v>
      </c>
      <c r="T35" s="55"/>
      <c r="U35" s="55" t="s">
        <v>1368</v>
      </c>
      <c r="V35" s="55" t="s">
        <v>1373</v>
      </c>
      <c r="W35" s="55" t="s">
        <v>1374</v>
      </c>
      <c r="X35" s="4"/>
      <c r="Y35" s="4"/>
      <c r="Z35" s="4"/>
    </row>
    <row r="36" customFormat="false" ht="15.75" hidden="false" customHeight="true" outlineLevel="0" collapsed="false">
      <c r="A36" s="55" t="n">
        <v>1752</v>
      </c>
      <c r="B36" s="55" t="s">
        <v>1375</v>
      </c>
      <c r="C36" s="55" t="s">
        <v>1376</v>
      </c>
      <c r="D36" s="55" t="s">
        <v>1377</v>
      </c>
      <c r="E36" s="55" t="s">
        <v>1377</v>
      </c>
      <c r="F36" s="55" t="s">
        <v>1194</v>
      </c>
      <c r="G36" s="55" t="s">
        <v>1195</v>
      </c>
      <c r="H36" s="55" t="s">
        <v>1248</v>
      </c>
      <c r="I36" s="55" t="s">
        <v>654</v>
      </c>
      <c r="J36" s="55" t="s">
        <v>1378</v>
      </c>
      <c r="K36" s="55" t="s">
        <v>1379</v>
      </c>
      <c r="L36" s="55"/>
      <c r="M36" s="55"/>
      <c r="N36" s="55" t="s">
        <v>1270</v>
      </c>
      <c r="O36" s="55" t="s">
        <v>1270</v>
      </c>
      <c r="P36" s="55"/>
      <c r="Q36" s="55"/>
      <c r="R36" s="55" t="n">
        <v>148</v>
      </c>
      <c r="S36" s="55" t="n">
        <v>1207</v>
      </c>
      <c r="T36" s="55"/>
      <c r="U36" s="55" t="s">
        <v>1380</v>
      </c>
      <c r="V36" s="55" t="s">
        <v>1381</v>
      </c>
      <c r="W36" s="55" t="s">
        <v>1374</v>
      </c>
      <c r="X36" s="4"/>
      <c r="Y36" s="4"/>
      <c r="Z36" s="4"/>
    </row>
    <row r="37" customFormat="false" ht="15.75" hidden="false" customHeight="true" outlineLevel="0" collapsed="false">
      <c r="A37" s="55" t="n">
        <v>2004</v>
      </c>
      <c r="B37" s="55" t="s">
        <v>1382</v>
      </c>
      <c r="C37" s="55" t="s">
        <v>1383</v>
      </c>
      <c r="D37" s="55" t="s">
        <v>1384</v>
      </c>
      <c r="E37" s="55" t="s">
        <v>1384</v>
      </c>
      <c r="F37" s="55" t="s">
        <v>1194</v>
      </c>
      <c r="G37" s="55" t="s">
        <v>1195</v>
      </c>
      <c r="H37" s="55" t="s">
        <v>1235</v>
      </c>
      <c r="I37" s="55"/>
      <c r="J37" s="55" t="s">
        <v>1385</v>
      </c>
      <c r="K37" s="55" t="s">
        <v>1386</v>
      </c>
      <c r="L37" s="55"/>
      <c r="M37" s="55"/>
      <c r="N37" s="55" t="s">
        <v>1387</v>
      </c>
      <c r="O37" s="55" t="s">
        <v>1388</v>
      </c>
      <c r="P37" s="55"/>
      <c r="Q37" s="55"/>
      <c r="R37" s="55" t="n">
        <v>8</v>
      </c>
      <c r="S37" s="55" t="n">
        <v>63</v>
      </c>
      <c r="T37" s="55"/>
      <c r="U37" s="55" t="s">
        <v>1383</v>
      </c>
      <c r="V37" s="55" t="s">
        <v>1389</v>
      </c>
      <c r="W37" s="55" t="s">
        <v>1374</v>
      </c>
      <c r="X37" s="4"/>
      <c r="Y37" s="4"/>
      <c r="Z37" s="4"/>
    </row>
    <row r="38" customFormat="false" ht="15.75" hidden="false" customHeight="true" outlineLevel="0" collapsed="false">
      <c r="A38" s="55" t="n">
        <v>2005</v>
      </c>
      <c r="B38" s="55" t="s">
        <v>1390</v>
      </c>
      <c r="C38" s="55" t="s">
        <v>1391</v>
      </c>
      <c r="D38" s="55" t="s">
        <v>1392</v>
      </c>
      <c r="E38" s="55" t="s">
        <v>1392</v>
      </c>
      <c r="F38" s="55" t="s">
        <v>1194</v>
      </c>
      <c r="G38" s="55" t="s">
        <v>1195</v>
      </c>
      <c r="H38" s="55" t="s">
        <v>1235</v>
      </c>
      <c r="I38" s="55"/>
      <c r="J38" s="55" t="s">
        <v>1393</v>
      </c>
      <c r="K38" s="55" t="s">
        <v>1394</v>
      </c>
      <c r="L38" s="55"/>
      <c r="M38" s="55"/>
      <c r="N38" s="55" t="s">
        <v>1395</v>
      </c>
      <c r="O38" s="55" t="s">
        <v>1388</v>
      </c>
      <c r="P38" s="55"/>
      <c r="Q38" s="55"/>
      <c r="R38" s="55" t="n">
        <v>13</v>
      </c>
      <c r="S38" s="55" t="n">
        <v>61</v>
      </c>
      <c r="T38" s="55"/>
      <c r="U38" s="55" t="s">
        <v>1391</v>
      </c>
      <c r="V38" s="55" t="s">
        <v>1396</v>
      </c>
      <c r="W38" s="55" t="s">
        <v>1374</v>
      </c>
      <c r="X38" s="4"/>
      <c r="Y38" s="4"/>
      <c r="Z38" s="4"/>
    </row>
    <row r="39" customFormat="false" ht="15.75" hidden="false" customHeight="true" outlineLevel="0" collapsed="false">
      <c r="A39" s="55" t="n">
        <v>1976</v>
      </c>
      <c r="B39" s="55" t="s">
        <v>1397</v>
      </c>
      <c r="C39" s="55" t="s">
        <v>1398</v>
      </c>
      <c r="D39" s="55" t="s">
        <v>1399</v>
      </c>
      <c r="E39" s="55"/>
      <c r="F39" s="55" t="s">
        <v>1194</v>
      </c>
      <c r="G39" s="55" t="s">
        <v>1194</v>
      </c>
      <c r="H39" s="55" t="s">
        <v>1235</v>
      </c>
      <c r="I39" s="55"/>
      <c r="J39" s="55" t="s">
        <v>1400</v>
      </c>
      <c r="K39" s="55" t="s">
        <v>1401</v>
      </c>
      <c r="L39" s="55"/>
      <c r="M39" s="55"/>
      <c r="N39" s="55" t="s">
        <v>1325</v>
      </c>
      <c r="O39" s="55" t="s">
        <v>1278</v>
      </c>
      <c r="P39" s="55"/>
      <c r="Q39" s="55"/>
      <c r="R39" s="55" t="n">
        <v>7</v>
      </c>
      <c r="S39" s="55" t="n">
        <v>286</v>
      </c>
      <c r="T39" s="55"/>
      <c r="U39" s="55"/>
      <c r="V39" s="55"/>
      <c r="W39" s="55" t="s">
        <v>1402</v>
      </c>
      <c r="X39" s="4"/>
      <c r="Y39" s="4"/>
      <c r="Z39" s="4"/>
    </row>
    <row r="40" customFormat="false" ht="15.75" hidden="false" customHeight="true" outlineLevel="0" collapsed="false">
      <c r="A40" s="55" t="n">
        <v>1967</v>
      </c>
      <c r="B40" s="55" t="s">
        <v>1403</v>
      </c>
      <c r="C40" s="55" t="s">
        <v>1404</v>
      </c>
      <c r="D40" s="55" t="s">
        <v>1405</v>
      </c>
      <c r="E40" s="55"/>
      <c r="F40" s="55" t="s">
        <v>1194</v>
      </c>
      <c r="G40" s="55" t="s">
        <v>1194</v>
      </c>
      <c r="H40" s="55" t="s">
        <v>1235</v>
      </c>
      <c r="I40" s="55"/>
      <c r="J40" s="55" t="s">
        <v>1406</v>
      </c>
      <c r="K40" s="55" t="s">
        <v>1407</v>
      </c>
      <c r="L40" s="55"/>
      <c r="M40" s="55"/>
      <c r="N40" s="55" t="s">
        <v>1325</v>
      </c>
      <c r="O40" s="55" t="s">
        <v>1278</v>
      </c>
      <c r="P40" s="55"/>
      <c r="Q40" s="55"/>
      <c r="R40" s="55" t="n">
        <v>13</v>
      </c>
      <c r="S40" s="55" t="n">
        <v>732</v>
      </c>
      <c r="T40" s="55"/>
      <c r="U40" s="55"/>
      <c r="V40" s="55"/>
      <c r="W40" s="55" t="s">
        <v>1402</v>
      </c>
      <c r="X40" s="4"/>
      <c r="Y40" s="4"/>
      <c r="Z40" s="4"/>
    </row>
    <row r="41" customFormat="false" ht="15.75" hidden="false" customHeight="true" outlineLevel="0" collapsed="false">
      <c r="A41" s="55" t="n">
        <v>1968</v>
      </c>
      <c r="B41" s="55" t="s">
        <v>1408</v>
      </c>
      <c r="C41" s="55" t="s">
        <v>1409</v>
      </c>
      <c r="D41" s="55" t="s">
        <v>1410</v>
      </c>
      <c r="E41" s="55"/>
      <c r="F41" s="55" t="s">
        <v>1194</v>
      </c>
      <c r="G41" s="55" t="s">
        <v>1194</v>
      </c>
      <c r="H41" s="55" t="s">
        <v>1235</v>
      </c>
      <c r="I41" s="55"/>
      <c r="J41" s="55" t="s">
        <v>1411</v>
      </c>
      <c r="K41" s="55" t="s">
        <v>1412</v>
      </c>
      <c r="L41" s="55"/>
      <c r="M41" s="55"/>
      <c r="N41" s="55" t="s">
        <v>1325</v>
      </c>
      <c r="O41" s="55" t="s">
        <v>1278</v>
      </c>
      <c r="P41" s="55"/>
      <c r="Q41" s="55"/>
      <c r="R41" s="55" t="n">
        <v>11</v>
      </c>
      <c r="S41" s="55" t="n">
        <v>279</v>
      </c>
      <c r="T41" s="55"/>
      <c r="U41" s="55"/>
      <c r="V41" s="55"/>
      <c r="W41" s="55" t="s">
        <v>1402</v>
      </c>
      <c r="X41" s="4"/>
      <c r="Y41" s="4"/>
      <c r="Z41" s="4"/>
    </row>
    <row r="42" customFormat="false" ht="15.75" hidden="false" customHeight="true" outlineLevel="0" collapsed="false">
      <c r="A42" s="55" t="n">
        <v>1969</v>
      </c>
      <c r="B42" s="55" t="s">
        <v>1413</v>
      </c>
      <c r="C42" s="55" t="s">
        <v>1414</v>
      </c>
      <c r="D42" s="55" t="s">
        <v>1415</v>
      </c>
      <c r="E42" s="55"/>
      <c r="F42" s="55" t="s">
        <v>1194</v>
      </c>
      <c r="G42" s="55" t="s">
        <v>1194</v>
      </c>
      <c r="H42" s="55" t="s">
        <v>1235</v>
      </c>
      <c r="I42" s="55"/>
      <c r="J42" s="55" t="s">
        <v>1416</v>
      </c>
      <c r="K42" s="55" t="s">
        <v>1417</v>
      </c>
      <c r="L42" s="55"/>
      <c r="M42" s="55"/>
      <c r="N42" s="55" t="s">
        <v>1418</v>
      </c>
      <c r="O42" s="55" t="s">
        <v>1419</v>
      </c>
      <c r="P42" s="55"/>
      <c r="Q42" s="55"/>
      <c r="R42" s="55" t="n">
        <v>6</v>
      </c>
      <c r="S42" s="55" t="n">
        <v>230</v>
      </c>
      <c r="T42" s="55"/>
      <c r="U42" s="55"/>
      <c r="V42" s="55"/>
      <c r="W42" s="55" t="s">
        <v>1402</v>
      </c>
      <c r="X42" s="4"/>
      <c r="Y42" s="4"/>
      <c r="Z42" s="4"/>
    </row>
    <row r="43" customFormat="false" ht="15.75" hidden="false" customHeight="true" outlineLevel="0" collapsed="false">
      <c r="A43" s="55" t="n">
        <v>1971</v>
      </c>
      <c r="B43" s="55" t="s">
        <v>1420</v>
      </c>
      <c r="C43" s="55" t="s">
        <v>1421</v>
      </c>
      <c r="D43" s="55" t="s">
        <v>1422</v>
      </c>
      <c r="E43" s="55"/>
      <c r="F43" s="55" t="s">
        <v>1194</v>
      </c>
      <c r="G43" s="55" t="s">
        <v>1194</v>
      </c>
      <c r="H43" s="55" t="s">
        <v>1235</v>
      </c>
      <c r="I43" s="55"/>
      <c r="J43" s="55" t="s">
        <v>1423</v>
      </c>
      <c r="K43" s="55" t="s">
        <v>1424</v>
      </c>
      <c r="L43" s="55"/>
      <c r="M43" s="55"/>
      <c r="N43" s="55" t="s">
        <v>1425</v>
      </c>
      <c r="O43" s="55" t="s">
        <v>1426</v>
      </c>
      <c r="P43" s="55"/>
      <c r="Q43" s="55"/>
      <c r="R43" s="55" t="n">
        <v>7</v>
      </c>
      <c r="S43" s="55" t="n">
        <v>820</v>
      </c>
      <c r="T43" s="55"/>
      <c r="U43" s="55"/>
      <c r="V43" s="55"/>
      <c r="W43" s="55" t="s">
        <v>1402</v>
      </c>
      <c r="X43" s="4"/>
      <c r="Y43" s="4"/>
      <c r="Z43" s="4"/>
    </row>
    <row r="44" customFormat="false" ht="15.75" hidden="false" customHeight="true" outlineLevel="0" collapsed="false">
      <c r="A44" s="55" t="n">
        <v>1974</v>
      </c>
      <c r="B44" s="55" t="s">
        <v>1427</v>
      </c>
      <c r="C44" s="55" t="s">
        <v>1428</v>
      </c>
      <c r="D44" s="55" t="s">
        <v>1429</v>
      </c>
      <c r="E44" s="55"/>
      <c r="F44" s="55" t="s">
        <v>1194</v>
      </c>
      <c r="G44" s="55" t="s">
        <v>1194</v>
      </c>
      <c r="H44" s="55" t="s">
        <v>1235</v>
      </c>
      <c r="I44" s="55"/>
      <c r="J44" s="55" t="s">
        <v>1430</v>
      </c>
      <c r="K44" s="55" t="s">
        <v>1431</v>
      </c>
      <c r="L44" s="55"/>
      <c r="M44" s="55"/>
      <c r="N44" s="55" t="s">
        <v>1325</v>
      </c>
      <c r="O44" s="55" t="s">
        <v>1278</v>
      </c>
      <c r="P44" s="55"/>
      <c r="Q44" s="55"/>
      <c r="R44" s="55" t="n">
        <v>6</v>
      </c>
      <c r="S44" s="55" t="n">
        <v>681</v>
      </c>
      <c r="T44" s="55"/>
      <c r="U44" s="55"/>
      <c r="V44" s="55"/>
      <c r="W44" s="55" t="s">
        <v>1402</v>
      </c>
      <c r="X44" s="4"/>
      <c r="Y44" s="4"/>
      <c r="Z44" s="4"/>
    </row>
    <row r="45" customFormat="false" ht="15.75" hidden="false" customHeight="true" outlineLevel="0" collapsed="false">
      <c r="A45" s="55" t="n">
        <v>1973</v>
      </c>
      <c r="B45" s="55" t="s">
        <v>1432</v>
      </c>
      <c r="C45" s="55" t="s">
        <v>1433</v>
      </c>
      <c r="D45" s="55" t="s">
        <v>1434</v>
      </c>
      <c r="E45" s="55"/>
      <c r="F45" s="55" t="s">
        <v>1194</v>
      </c>
      <c r="G45" s="55" t="s">
        <v>1194</v>
      </c>
      <c r="H45" s="55" t="s">
        <v>1235</v>
      </c>
      <c r="I45" s="55"/>
      <c r="J45" s="55" t="s">
        <v>1435</v>
      </c>
      <c r="K45" s="55" t="s">
        <v>1436</v>
      </c>
      <c r="L45" s="55"/>
      <c r="M45" s="55"/>
      <c r="N45" s="55" t="s">
        <v>1325</v>
      </c>
      <c r="O45" s="55" t="s">
        <v>1278</v>
      </c>
      <c r="P45" s="55"/>
      <c r="Q45" s="55"/>
      <c r="R45" s="55" t="n">
        <v>16</v>
      </c>
      <c r="S45" s="55" t="n">
        <v>868</v>
      </c>
      <c r="T45" s="55"/>
      <c r="U45" s="55"/>
      <c r="V45" s="55"/>
      <c r="W45" s="55" t="s">
        <v>1402</v>
      </c>
      <c r="X45" s="4"/>
      <c r="Y45" s="4"/>
      <c r="Z45" s="4"/>
    </row>
    <row r="46" customFormat="false" ht="15.75" hidden="false" customHeight="true" outlineLevel="0" collapsed="false">
      <c r="A46" s="55" t="n">
        <v>1972</v>
      </c>
      <c r="B46" s="55" t="s">
        <v>1437</v>
      </c>
      <c r="C46" s="55" t="s">
        <v>1438</v>
      </c>
      <c r="D46" s="55" t="s">
        <v>1439</v>
      </c>
      <c r="E46" s="55"/>
      <c r="F46" s="55" t="s">
        <v>1194</v>
      </c>
      <c r="G46" s="55" t="s">
        <v>1194</v>
      </c>
      <c r="H46" s="55" t="s">
        <v>1235</v>
      </c>
      <c r="I46" s="55"/>
      <c r="J46" s="55" t="s">
        <v>1440</v>
      </c>
      <c r="K46" s="55" t="s">
        <v>1441</v>
      </c>
      <c r="L46" s="55"/>
      <c r="M46" s="55"/>
      <c r="N46" s="55" t="s">
        <v>1442</v>
      </c>
      <c r="O46" s="55" t="s">
        <v>1443</v>
      </c>
      <c r="P46" s="55"/>
      <c r="Q46" s="55" t="s">
        <v>1444</v>
      </c>
      <c r="R46" s="55" t="n">
        <v>21</v>
      </c>
      <c r="S46" s="55" t="n">
        <v>350</v>
      </c>
      <c r="T46" s="55"/>
      <c r="U46" s="55"/>
      <c r="V46" s="55"/>
      <c r="W46" s="55" t="s">
        <v>1402</v>
      </c>
      <c r="X46" s="4"/>
      <c r="Y46" s="4"/>
      <c r="Z46" s="4"/>
    </row>
    <row r="47" customFormat="false" ht="15.75" hidden="false" customHeight="true" outlineLevel="0" collapsed="false">
      <c r="A47" s="55" t="n">
        <v>2065</v>
      </c>
      <c r="B47" s="55" t="s">
        <v>1445</v>
      </c>
      <c r="C47" s="55" t="s">
        <v>1446</v>
      </c>
      <c r="D47" s="55" t="s">
        <v>1447</v>
      </c>
      <c r="E47" s="55" t="s">
        <v>1447</v>
      </c>
      <c r="F47" s="55" t="s">
        <v>1194</v>
      </c>
      <c r="G47" s="55" t="s">
        <v>1195</v>
      </c>
      <c r="H47" s="55" t="s">
        <v>1448</v>
      </c>
      <c r="I47" s="55" t="s">
        <v>1091</v>
      </c>
      <c r="J47" s="55" t="s">
        <v>1449</v>
      </c>
      <c r="K47" s="55"/>
      <c r="L47" s="55"/>
      <c r="M47" s="55"/>
      <c r="N47" s="55" t="s">
        <v>1450</v>
      </c>
      <c r="O47" s="55" t="s">
        <v>130</v>
      </c>
      <c r="P47" s="55"/>
      <c r="Q47" s="55"/>
      <c r="R47" s="55" t="n">
        <v>2</v>
      </c>
      <c r="S47" s="55" t="n">
        <v>5</v>
      </c>
      <c r="T47" s="55"/>
      <c r="U47" s="55" t="s">
        <v>1446</v>
      </c>
      <c r="V47" s="55" t="s">
        <v>1451</v>
      </c>
      <c r="W47" s="55" t="s">
        <v>1452</v>
      </c>
      <c r="X47" s="4"/>
      <c r="Y47" s="4"/>
      <c r="Z47" s="4"/>
    </row>
    <row r="48" customFormat="false" ht="15.75" hidden="false" customHeight="true" outlineLevel="0" collapsed="false">
      <c r="A48" s="55" t="n">
        <v>2080</v>
      </c>
      <c r="B48" s="55"/>
      <c r="C48" s="55" t="s">
        <v>1453</v>
      </c>
      <c r="D48" s="55" t="s">
        <v>1454</v>
      </c>
      <c r="E48" s="55"/>
      <c r="F48" s="55" t="s">
        <v>1194</v>
      </c>
      <c r="G48" s="55" t="s">
        <v>1194</v>
      </c>
      <c r="H48" s="55" t="s">
        <v>1235</v>
      </c>
      <c r="I48" s="55"/>
      <c r="J48" s="55" t="s">
        <v>1455</v>
      </c>
      <c r="K48" s="55"/>
      <c r="L48" s="55"/>
      <c r="M48" s="55"/>
      <c r="N48" s="55" t="s">
        <v>1325</v>
      </c>
      <c r="O48" s="55" t="s">
        <v>1278</v>
      </c>
      <c r="P48" s="55"/>
      <c r="Q48" s="55"/>
      <c r="R48" s="55" t="n">
        <v>5</v>
      </c>
      <c r="S48" s="55" t="n">
        <v>79</v>
      </c>
      <c r="T48" s="55"/>
      <c r="U48" s="55"/>
      <c r="V48" s="55"/>
      <c r="W48" s="55" t="s">
        <v>1456</v>
      </c>
      <c r="X48" s="4"/>
      <c r="Y48" s="4"/>
      <c r="Z48" s="4"/>
    </row>
    <row r="49" customFormat="false" ht="15.75" hidden="false" customHeight="true" outlineLevel="0" collapsed="false">
      <c r="A49" s="55" t="n">
        <v>1977</v>
      </c>
      <c r="B49" s="55"/>
      <c r="C49" s="55" t="s">
        <v>1457</v>
      </c>
      <c r="D49" s="55" t="s">
        <v>1458</v>
      </c>
      <c r="E49" s="55"/>
      <c r="F49" s="55" t="s">
        <v>1194</v>
      </c>
      <c r="G49" s="55" t="s">
        <v>1194</v>
      </c>
      <c r="H49" s="55" t="s">
        <v>1235</v>
      </c>
      <c r="I49" s="55"/>
      <c r="J49" s="55" t="s">
        <v>1459</v>
      </c>
      <c r="K49" s="55"/>
      <c r="L49" s="55"/>
      <c r="M49" s="55"/>
      <c r="N49" s="55" t="s">
        <v>1460</v>
      </c>
      <c r="O49" s="55" t="s">
        <v>1461</v>
      </c>
      <c r="P49" s="55"/>
      <c r="Q49" s="55"/>
      <c r="R49" s="55" t="n">
        <v>63</v>
      </c>
      <c r="S49" s="55" t="n">
        <v>847</v>
      </c>
      <c r="T49" s="55"/>
      <c r="U49" s="55"/>
      <c r="V49" s="55"/>
      <c r="W49" s="55" t="s">
        <v>1456</v>
      </c>
      <c r="X49" s="4"/>
      <c r="Y49" s="4"/>
      <c r="Z49" s="4"/>
    </row>
    <row r="50" customFormat="false" ht="15.75" hidden="false" customHeight="true" outlineLevel="0" collapsed="false">
      <c r="A50" s="55" t="n">
        <v>1981</v>
      </c>
      <c r="B50" s="55"/>
      <c r="C50" s="55" t="s">
        <v>1462</v>
      </c>
      <c r="D50" s="55" t="s">
        <v>1463</v>
      </c>
      <c r="E50" s="55"/>
      <c r="F50" s="55" t="s">
        <v>1194</v>
      </c>
      <c r="G50" s="55" t="s">
        <v>1194</v>
      </c>
      <c r="H50" s="55" t="s">
        <v>1235</v>
      </c>
      <c r="I50" s="55"/>
      <c r="J50" s="55" t="s">
        <v>1464</v>
      </c>
      <c r="K50" s="55"/>
      <c r="L50" s="55"/>
      <c r="M50" s="55"/>
      <c r="N50" s="55" t="s">
        <v>1465</v>
      </c>
      <c r="O50" s="55" t="s">
        <v>1466</v>
      </c>
      <c r="P50" s="55"/>
      <c r="Q50" s="55"/>
      <c r="R50" s="55" t="n">
        <v>16</v>
      </c>
      <c r="S50" s="55" t="n">
        <v>174</v>
      </c>
      <c r="T50" s="55"/>
      <c r="U50" s="55"/>
      <c r="V50" s="55"/>
      <c r="W50" s="55" t="s">
        <v>1456</v>
      </c>
      <c r="X50" s="4"/>
      <c r="Y50" s="4"/>
      <c r="Z50" s="4"/>
    </row>
    <row r="51" customFormat="false" ht="15.75" hidden="false" customHeight="true" outlineLevel="0" collapsed="false">
      <c r="A51" s="55" t="n">
        <v>1975</v>
      </c>
      <c r="B51" s="55"/>
      <c r="C51" s="55" t="s">
        <v>1467</v>
      </c>
      <c r="D51" s="55" t="s">
        <v>1468</v>
      </c>
      <c r="E51" s="55"/>
      <c r="F51" s="55" t="s">
        <v>1194</v>
      </c>
      <c r="G51" s="55" t="s">
        <v>1194</v>
      </c>
      <c r="H51" s="55" t="s">
        <v>1235</v>
      </c>
      <c r="I51" s="55"/>
      <c r="J51" s="55" t="s">
        <v>1469</v>
      </c>
      <c r="K51" s="55"/>
      <c r="L51" s="55"/>
      <c r="M51" s="55"/>
      <c r="N51" s="55" t="s">
        <v>1325</v>
      </c>
      <c r="O51" s="55" t="s">
        <v>1278</v>
      </c>
      <c r="P51" s="55"/>
      <c r="Q51" s="55"/>
      <c r="R51" s="55" t="n">
        <v>9</v>
      </c>
      <c r="S51" s="55" t="n">
        <v>525</v>
      </c>
      <c r="T51" s="55"/>
      <c r="U51" s="55"/>
      <c r="V51" s="55"/>
      <c r="W51" s="55" t="s">
        <v>1456</v>
      </c>
      <c r="X51" s="4"/>
      <c r="Y51" s="4"/>
      <c r="Z51" s="4"/>
    </row>
    <row r="52" customFormat="false" ht="15.75" hidden="false" customHeight="true" outlineLevel="0" collapsed="false">
      <c r="A52" s="55" t="n">
        <v>2006</v>
      </c>
      <c r="B52" s="55" t="s">
        <v>1470</v>
      </c>
      <c r="C52" s="55" t="s">
        <v>1471</v>
      </c>
      <c r="D52" s="55" t="s">
        <v>1472</v>
      </c>
      <c r="E52" s="55"/>
      <c r="F52" s="55" t="s">
        <v>1194</v>
      </c>
      <c r="G52" s="55" t="s">
        <v>1194</v>
      </c>
      <c r="H52" s="55" t="s">
        <v>1235</v>
      </c>
      <c r="I52" s="55"/>
      <c r="J52" s="55" t="s">
        <v>1473</v>
      </c>
      <c r="K52" s="55"/>
      <c r="L52" s="55"/>
      <c r="M52" s="55"/>
      <c r="N52" s="55" t="s">
        <v>1474</v>
      </c>
      <c r="O52" s="55" t="s">
        <v>129</v>
      </c>
      <c r="P52" s="55"/>
      <c r="Q52" s="55" t="s">
        <v>1475</v>
      </c>
      <c r="R52" s="55" t="n">
        <v>7</v>
      </c>
      <c r="S52" s="55" t="n">
        <v>50</v>
      </c>
      <c r="T52" s="55"/>
      <c r="U52" s="55"/>
      <c r="V52" s="55"/>
      <c r="W52" s="55" t="s">
        <v>1476</v>
      </c>
      <c r="X52" s="4"/>
      <c r="Y52" s="4"/>
      <c r="Z52" s="4"/>
    </row>
    <row r="53" customFormat="false" ht="15.75" hidden="false" customHeight="true" outlineLevel="0" collapsed="false">
      <c r="A53" s="55" t="n">
        <v>2010</v>
      </c>
      <c r="B53" s="55" t="s">
        <v>1477</v>
      </c>
      <c r="C53" s="55" t="s">
        <v>1478</v>
      </c>
      <c r="D53" s="55" t="s">
        <v>1479</v>
      </c>
      <c r="E53" s="55"/>
      <c r="F53" s="55" t="s">
        <v>1194</v>
      </c>
      <c r="G53" s="55" t="s">
        <v>1194</v>
      </c>
      <c r="H53" s="55" t="s">
        <v>1235</v>
      </c>
      <c r="I53" s="55"/>
      <c r="J53" s="55" t="s">
        <v>1480</v>
      </c>
      <c r="K53" s="55"/>
      <c r="L53" s="55"/>
      <c r="M53" s="55"/>
      <c r="N53" s="55" t="s">
        <v>1474</v>
      </c>
      <c r="O53" s="55" t="s">
        <v>129</v>
      </c>
      <c r="P53" s="55"/>
      <c r="Q53" s="55" t="s">
        <v>1475</v>
      </c>
      <c r="R53" s="55" t="n">
        <v>7</v>
      </c>
      <c r="S53" s="55" t="n">
        <v>46</v>
      </c>
      <c r="T53" s="55"/>
      <c r="U53" s="55"/>
      <c r="V53" s="55"/>
      <c r="W53" s="55" t="s">
        <v>1476</v>
      </c>
      <c r="X53" s="4"/>
      <c r="Y53" s="4"/>
      <c r="Z53" s="4"/>
    </row>
    <row r="54" customFormat="false" ht="15.75" hidden="false" customHeight="true" outlineLevel="0" collapsed="false">
      <c r="A54" s="55" t="n">
        <v>2081</v>
      </c>
      <c r="B54" s="55" t="s">
        <v>1481</v>
      </c>
      <c r="C54" s="55" t="s">
        <v>1482</v>
      </c>
      <c r="D54" s="55" t="s">
        <v>1483</v>
      </c>
      <c r="E54" s="55"/>
      <c r="F54" s="55" t="s">
        <v>1194</v>
      </c>
      <c r="G54" s="55" t="s">
        <v>1194</v>
      </c>
      <c r="H54" s="55" t="s">
        <v>1235</v>
      </c>
      <c r="I54" s="55"/>
      <c r="J54" s="55" t="s">
        <v>1484</v>
      </c>
      <c r="K54" s="55"/>
      <c r="L54" s="55"/>
      <c r="M54" s="55"/>
      <c r="N54" s="55" t="s">
        <v>1387</v>
      </c>
      <c r="O54" s="55" t="s">
        <v>1388</v>
      </c>
      <c r="P54" s="55"/>
      <c r="Q54" s="55"/>
      <c r="R54" s="55" t="n">
        <v>5</v>
      </c>
      <c r="S54" s="55" t="n">
        <v>189</v>
      </c>
      <c r="T54" s="55"/>
      <c r="U54" s="55"/>
      <c r="V54" s="55"/>
      <c r="W54" s="55" t="s">
        <v>1476</v>
      </c>
      <c r="X54" s="4"/>
      <c r="Y54" s="4"/>
      <c r="Z54" s="4"/>
    </row>
    <row r="55" customFormat="false" ht="15.75" hidden="false" customHeight="true" outlineLevel="0" collapsed="false">
      <c r="A55" s="55" t="n">
        <v>2027</v>
      </c>
      <c r="B55" s="55" t="s">
        <v>1485</v>
      </c>
      <c r="C55" s="55" t="s">
        <v>1486</v>
      </c>
      <c r="D55" s="55" t="s">
        <v>1487</v>
      </c>
      <c r="E55" s="55"/>
      <c r="F55" s="55" t="s">
        <v>1194</v>
      </c>
      <c r="G55" s="55" t="s">
        <v>1194</v>
      </c>
      <c r="H55" s="55" t="s">
        <v>1235</v>
      </c>
      <c r="I55" s="55"/>
      <c r="J55" s="55" t="s">
        <v>1488</v>
      </c>
      <c r="K55" s="55"/>
      <c r="L55" s="55"/>
      <c r="M55" s="55"/>
      <c r="N55" s="55" t="s">
        <v>1387</v>
      </c>
      <c r="O55" s="55" t="s">
        <v>1388</v>
      </c>
      <c r="P55" s="55"/>
      <c r="Q55" s="55"/>
      <c r="R55" s="55" t="n">
        <v>31</v>
      </c>
      <c r="S55" s="55" t="n">
        <v>62</v>
      </c>
      <c r="T55" s="55"/>
      <c r="U55" s="55"/>
      <c r="V55" s="55"/>
      <c r="W55" s="55" t="s">
        <v>1476</v>
      </c>
      <c r="X55" s="4"/>
      <c r="Y55" s="4"/>
      <c r="Z55" s="4"/>
    </row>
    <row r="56" customFormat="false" ht="15.75" hidden="false" customHeight="true" outlineLevel="0" collapsed="false">
      <c r="A56" s="55" t="n">
        <v>2011</v>
      </c>
      <c r="B56" s="55" t="s">
        <v>1489</v>
      </c>
      <c r="C56" s="55" t="s">
        <v>1490</v>
      </c>
      <c r="D56" s="55" t="s">
        <v>1491</v>
      </c>
      <c r="E56" s="55"/>
      <c r="F56" s="55" t="s">
        <v>1194</v>
      </c>
      <c r="G56" s="55" t="s">
        <v>1194</v>
      </c>
      <c r="H56" s="55" t="s">
        <v>1235</v>
      </c>
      <c r="I56" s="55"/>
      <c r="J56" s="55" t="s">
        <v>1492</v>
      </c>
      <c r="K56" s="55"/>
      <c r="L56" s="55"/>
      <c r="M56" s="55"/>
      <c r="N56" s="55" t="s">
        <v>1474</v>
      </c>
      <c r="O56" s="55" t="s">
        <v>129</v>
      </c>
      <c r="P56" s="55"/>
      <c r="Q56" s="55" t="s">
        <v>1475</v>
      </c>
      <c r="R56" s="55" t="n">
        <v>20</v>
      </c>
      <c r="S56" s="55" t="n">
        <v>99</v>
      </c>
      <c r="T56" s="55"/>
      <c r="U56" s="55"/>
      <c r="V56" s="55"/>
      <c r="W56" s="55" t="s">
        <v>1476</v>
      </c>
      <c r="X56" s="4"/>
      <c r="Y56" s="4"/>
      <c r="Z56" s="4"/>
    </row>
    <row r="57" customFormat="false" ht="15.75" hidden="false" customHeight="true" outlineLevel="0" collapsed="false">
      <c r="A57" s="55" t="n">
        <v>2008</v>
      </c>
      <c r="B57" s="55" t="s">
        <v>1493</v>
      </c>
      <c r="C57" s="55" t="s">
        <v>1494</v>
      </c>
      <c r="D57" s="55" t="s">
        <v>1495</v>
      </c>
      <c r="E57" s="55"/>
      <c r="F57" s="55" t="s">
        <v>1194</v>
      </c>
      <c r="G57" s="55" t="s">
        <v>1194</v>
      </c>
      <c r="H57" s="55" t="s">
        <v>1235</v>
      </c>
      <c r="I57" s="55"/>
      <c r="J57" s="55" t="s">
        <v>1496</v>
      </c>
      <c r="K57" s="55"/>
      <c r="L57" s="55"/>
      <c r="M57" s="55"/>
      <c r="N57" s="55" t="s">
        <v>1474</v>
      </c>
      <c r="O57" s="55" t="s">
        <v>129</v>
      </c>
      <c r="P57" s="55"/>
      <c r="Q57" s="55" t="s">
        <v>1475</v>
      </c>
      <c r="R57" s="55" t="n">
        <v>6</v>
      </c>
      <c r="S57" s="55" t="n">
        <v>59</v>
      </c>
      <c r="T57" s="55"/>
      <c r="U57" s="55"/>
      <c r="V57" s="55"/>
      <c r="W57" s="55" t="s">
        <v>1476</v>
      </c>
      <c r="X57" s="4"/>
      <c r="Y57" s="4"/>
      <c r="Z57" s="4"/>
    </row>
    <row r="58" customFormat="false" ht="15.75" hidden="false" customHeight="true" outlineLevel="0" collapsed="false">
      <c r="A58" s="55" t="n">
        <v>1693</v>
      </c>
      <c r="B58" s="55" t="s">
        <v>570</v>
      </c>
      <c r="C58" s="55" t="s">
        <v>571</v>
      </c>
      <c r="D58" s="55" t="s">
        <v>1497</v>
      </c>
      <c r="E58" s="55" t="s">
        <v>1497</v>
      </c>
      <c r="F58" s="55" t="s">
        <v>1194</v>
      </c>
      <c r="G58" s="55" t="s">
        <v>1195</v>
      </c>
      <c r="H58" s="55" t="s">
        <v>1248</v>
      </c>
      <c r="I58" s="55" t="s">
        <v>563</v>
      </c>
      <c r="J58" s="55" t="s">
        <v>1498</v>
      </c>
      <c r="K58" s="55" t="s">
        <v>572</v>
      </c>
      <c r="L58" s="55" t="n">
        <v>0.875</v>
      </c>
      <c r="M58" s="55" t="n">
        <v>1</v>
      </c>
      <c r="N58" s="55" t="s">
        <v>141</v>
      </c>
      <c r="O58" s="55"/>
      <c r="P58" s="55"/>
      <c r="Q58" s="55"/>
      <c r="R58" s="55" t="n">
        <v>116</v>
      </c>
      <c r="S58" s="55" t="n">
        <v>140</v>
      </c>
      <c r="T58" s="55"/>
      <c r="U58" s="55" t="s">
        <v>571</v>
      </c>
      <c r="V58" s="55" t="s">
        <v>1499</v>
      </c>
      <c r="W58" s="55" t="s">
        <v>1500</v>
      </c>
      <c r="X58" s="4"/>
      <c r="Y58" s="4"/>
      <c r="Z58" s="4"/>
    </row>
    <row r="59" customFormat="false" ht="15.75" hidden="false" customHeight="true" outlineLevel="0" collapsed="false">
      <c r="A59" s="55" t="n">
        <v>1757</v>
      </c>
      <c r="B59" s="55" t="s">
        <v>699</v>
      </c>
      <c r="C59" s="55" t="s">
        <v>700</v>
      </c>
      <c r="D59" s="55" t="s">
        <v>1501</v>
      </c>
      <c r="E59" s="55" t="s">
        <v>1501</v>
      </c>
      <c r="F59" s="55" t="s">
        <v>1194</v>
      </c>
      <c r="G59" s="55" t="s">
        <v>1195</v>
      </c>
      <c r="H59" s="55" t="s">
        <v>1248</v>
      </c>
      <c r="I59" s="55" t="s">
        <v>681</v>
      </c>
      <c r="J59" s="55" t="s">
        <v>1502</v>
      </c>
      <c r="K59" s="55" t="s">
        <v>701</v>
      </c>
      <c r="L59" s="55" t="n">
        <v>0.75</v>
      </c>
      <c r="M59" s="55" t="n">
        <v>5.5</v>
      </c>
      <c r="N59" s="55" t="s">
        <v>141</v>
      </c>
      <c r="O59" s="55"/>
      <c r="P59" s="55"/>
      <c r="Q59" s="55"/>
      <c r="R59" s="55" t="n">
        <v>19</v>
      </c>
      <c r="S59" s="55" t="n">
        <v>55</v>
      </c>
      <c r="T59" s="55"/>
      <c r="U59" s="55" t="s">
        <v>700</v>
      </c>
      <c r="V59" s="55" t="s">
        <v>1503</v>
      </c>
      <c r="W59" s="55" t="s">
        <v>1500</v>
      </c>
      <c r="X59" s="4"/>
      <c r="Y59" s="4"/>
      <c r="Z59" s="4"/>
    </row>
    <row r="60" customFormat="false" ht="15.75" hidden="false" customHeight="true" outlineLevel="0" collapsed="false">
      <c r="A60" s="55" t="n">
        <v>1690</v>
      </c>
      <c r="B60" s="55" t="s">
        <v>561</v>
      </c>
      <c r="C60" s="55" t="s">
        <v>562</v>
      </c>
      <c r="D60" s="55" t="s">
        <v>1504</v>
      </c>
      <c r="E60" s="55" t="s">
        <v>1504</v>
      </c>
      <c r="F60" s="55" t="s">
        <v>1194</v>
      </c>
      <c r="G60" s="55" t="s">
        <v>1195</v>
      </c>
      <c r="H60" s="55" t="s">
        <v>1248</v>
      </c>
      <c r="I60" s="55" t="s">
        <v>563</v>
      </c>
      <c r="J60" s="55" t="s">
        <v>1505</v>
      </c>
      <c r="K60" s="55" t="s">
        <v>564</v>
      </c>
      <c r="L60" s="55" t="n">
        <v>0.5</v>
      </c>
      <c r="M60" s="55" t="n">
        <v>0.875</v>
      </c>
      <c r="N60" s="55" t="s">
        <v>141</v>
      </c>
      <c r="O60" s="55"/>
      <c r="P60" s="55"/>
      <c r="Q60" s="55"/>
      <c r="R60" s="55" t="n">
        <v>116</v>
      </c>
      <c r="S60" s="55" t="n">
        <v>187</v>
      </c>
      <c r="T60" s="55"/>
      <c r="U60" s="55" t="s">
        <v>562</v>
      </c>
      <c r="V60" s="55" t="s">
        <v>1506</v>
      </c>
      <c r="W60" s="55" t="s">
        <v>1500</v>
      </c>
      <c r="X60" s="4"/>
      <c r="Y60" s="4"/>
      <c r="Z60" s="4"/>
    </row>
    <row r="61" customFormat="false" ht="15.75" hidden="false" customHeight="true" outlineLevel="0" collapsed="false">
      <c r="A61" s="55" t="n">
        <v>1755</v>
      </c>
      <c r="B61" s="55" t="s">
        <v>673</v>
      </c>
      <c r="C61" s="55" t="s">
        <v>674</v>
      </c>
      <c r="D61" s="55" t="s">
        <v>1507</v>
      </c>
      <c r="E61" s="55" t="s">
        <v>1507</v>
      </c>
      <c r="F61" s="55" t="s">
        <v>1194</v>
      </c>
      <c r="G61" s="55" t="s">
        <v>1195</v>
      </c>
      <c r="H61" s="55" t="s">
        <v>1248</v>
      </c>
      <c r="I61" s="55" t="s">
        <v>654</v>
      </c>
      <c r="J61" s="55" t="s">
        <v>1508</v>
      </c>
      <c r="K61" s="55" t="s">
        <v>675</v>
      </c>
      <c r="L61" s="55" t="n">
        <v>0.25</v>
      </c>
      <c r="M61" s="55" t="n">
        <v>3.75</v>
      </c>
      <c r="N61" s="55" t="s">
        <v>141</v>
      </c>
      <c r="O61" s="55"/>
      <c r="P61" s="55"/>
      <c r="Q61" s="55"/>
      <c r="R61" s="55" t="n">
        <v>35</v>
      </c>
      <c r="S61" s="55" t="n">
        <v>81</v>
      </c>
      <c r="T61" s="55"/>
      <c r="U61" s="55" t="s">
        <v>674</v>
      </c>
      <c r="V61" s="55" t="s">
        <v>1509</v>
      </c>
      <c r="W61" s="55" t="s">
        <v>1500</v>
      </c>
      <c r="X61" s="4"/>
      <c r="Y61" s="4"/>
      <c r="Z61" s="4"/>
    </row>
    <row r="62" customFormat="false" ht="15.75" hidden="false" customHeight="true" outlineLevel="0" collapsed="false">
      <c r="A62" s="55" t="n">
        <v>1961</v>
      </c>
      <c r="B62" s="55" t="s">
        <v>524</v>
      </c>
      <c r="C62" s="55" t="s">
        <v>525</v>
      </c>
      <c r="D62" s="55" t="s">
        <v>1510</v>
      </c>
      <c r="E62" s="55" t="s">
        <v>1510</v>
      </c>
      <c r="F62" s="55" t="s">
        <v>1194</v>
      </c>
      <c r="G62" s="55" t="s">
        <v>1195</v>
      </c>
      <c r="H62" s="55" t="s">
        <v>1248</v>
      </c>
      <c r="I62" s="55" t="s">
        <v>505</v>
      </c>
      <c r="J62" s="55" t="s">
        <v>1511</v>
      </c>
      <c r="K62" s="55" t="s">
        <v>526</v>
      </c>
      <c r="L62" s="55" t="n">
        <v>0.375</v>
      </c>
      <c r="M62" s="55" t="n">
        <v>1</v>
      </c>
      <c r="N62" s="55" t="s">
        <v>162</v>
      </c>
      <c r="O62" s="55"/>
      <c r="P62" s="55"/>
      <c r="Q62" s="55" t="s">
        <v>1262</v>
      </c>
      <c r="R62" s="55" t="n">
        <v>16</v>
      </c>
      <c r="S62" s="55" t="n">
        <v>180</v>
      </c>
      <c r="T62" s="55"/>
      <c r="U62" s="55" t="s">
        <v>525</v>
      </c>
      <c r="V62" s="55" t="s">
        <v>1512</v>
      </c>
      <c r="W62" s="55" t="s">
        <v>1500</v>
      </c>
      <c r="X62" s="4"/>
      <c r="Y62" s="4"/>
      <c r="Z62" s="4"/>
    </row>
    <row r="63" customFormat="false" ht="15.75" hidden="false" customHeight="true" outlineLevel="0" collapsed="false">
      <c r="A63" s="55" t="n">
        <v>1689</v>
      </c>
      <c r="B63" s="55" t="s">
        <v>558</v>
      </c>
      <c r="C63" s="55" t="s">
        <v>559</v>
      </c>
      <c r="D63" s="55" t="s">
        <v>1513</v>
      </c>
      <c r="E63" s="55" t="s">
        <v>1513</v>
      </c>
      <c r="F63" s="55" t="s">
        <v>1194</v>
      </c>
      <c r="G63" s="55" t="s">
        <v>1195</v>
      </c>
      <c r="H63" s="55" t="s">
        <v>1248</v>
      </c>
      <c r="I63" s="55" t="s">
        <v>549</v>
      </c>
      <c r="J63" s="55" t="s">
        <v>1514</v>
      </c>
      <c r="K63" s="55" t="s">
        <v>560</v>
      </c>
      <c r="L63" s="55" t="n">
        <v>1.5</v>
      </c>
      <c r="M63" s="55" t="n">
        <v>1.5</v>
      </c>
      <c r="N63" s="55" t="s">
        <v>141</v>
      </c>
      <c r="O63" s="55"/>
      <c r="P63" s="55"/>
      <c r="Q63" s="55"/>
      <c r="R63" s="55" t="n">
        <v>30</v>
      </c>
      <c r="S63" s="55" t="n">
        <v>239</v>
      </c>
      <c r="T63" s="55"/>
      <c r="U63" s="55" t="s">
        <v>559</v>
      </c>
      <c r="V63" s="55" t="s">
        <v>1503</v>
      </c>
      <c r="W63" s="55" t="s">
        <v>1500</v>
      </c>
      <c r="X63" s="4"/>
      <c r="Y63" s="4"/>
      <c r="Z63" s="4"/>
    </row>
    <row r="64" customFormat="false" ht="15.75" hidden="false" customHeight="true" outlineLevel="0" collapsed="false">
      <c r="A64" s="55" t="n">
        <v>1751</v>
      </c>
      <c r="B64" s="55" t="s">
        <v>671</v>
      </c>
      <c r="C64" s="55" t="s">
        <v>672</v>
      </c>
      <c r="D64" s="55" t="s">
        <v>1515</v>
      </c>
      <c r="E64" s="55" t="s">
        <v>1515</v>
      </c>
      <c r="F64" s="55" t="s">
        <v>1194</v>
      </c>
      <c r="G64" s="55" t="s">
        <v>1195</v>
      </c>
      <c r="H64" s="55" t="s">
        <v>1248</v>
      </c>
      <c r="I64" s="55" t="s">
        <v>654</v>
      </c>
      <c r="J64" s="55" t="s">
        <v>1516</v>
      </c>
      <c r="K64" s="55" t="s">
        <v>670</v>
      </c>
      <c r="L64" s="55" t="n">
        <v>0.625</v>
      </c>
      <c r="M64" s="55" t="n">
        <v>5</v>
      </c>
      <c r="N64" s="55" t="s">
        <v>141</v>
      </c>
      <c r="O64" s="55"/>
      <c r="P64" s="55"/>
      <c r="Q64" s="55"/>
      <c r="R64" s="55" t="n">
        <v>33</v>
      </c>
      <c r="S64" s="55" t="n">
        <v>100</v>
      </c>
      <c r="T64" s="55"/>
      <c r="U64" s="55" t="s">
        <v>1517</v>
      </c>
      <c r="V64" s="55" t="s">
        <v>1518</v>
      </c>
      <c r="W64" s="55" t="s">
        <v>1500</v>
      </c>
      <c r="X64" s="4"/>
      <c r="Y64" s="4"/>
      <c r="Z64" s="4"/>
    </row>
    <row r="65" customFormat="false" ht="15.75" hidden="false" customHeight="true" outlineLevel="0" collapsed="false">
      <c r="A65" s="55" t="n">
        <v>1688</v>
      </c>
      <c r="B65" s="55" t="s">
        <v>555</v>
      </c>
      <c r="C65" s="55" t="s">
        <v>556</v>
      </c>
      <c r="D65" s="55" t="s">
        <v>1519</v>
      </c>
      <c r="E65" s="55" t="s">
        <v>1519</v>
      </c>
      <c r="F65" s="55" t="s">
        <v>1194</v>
      </c>
      <c r="G65" s="55" t="s">
        <v>1195</v>
      </c>
      <c r="H65" s="55" t="s">
        <v>1248</v>
      </c>
      <c r="I65" s="55" t="s">
        <v>549</v>
      </c>
      <c r="J65" s="55" t="s">
        <v>1520</v>
      </c>
      <c r="K65" s="55" t="s">
        <v>557</v>
      </c>
      <c r="L65" s="55" t="n">
        <v>1.25</v>
      </c>
      <c r="M65" s="55" t="n">
        <v>1.25</v>
      </c>
      <c r="N65" s="55" t="s">
        <v>141</v>
      </c>
      <c r="O65" s="55"/>
      <c r="P65" s="55"/>
      <c r="Q65" s="55"/>
      <c r="R65" s="55" t="n">
        <v>30</v>
      </c>
      <c r="S65" s="55" t="n">
        <v>103</v>
      </c>
      <c r="T65" s="55"/>
      <c r="U65" s="55" t="s">
        <v>556</v>
      </c>
      <c r="V65" s="55" t="s">
        <v>1503</v>
      </c>
      <c r="W65" s="55" t="s">
        <v>1500</v>
      </c>
      <c r="X65" s="4"/>
      <c r="Y65" s="4"/>
      <c r="Z65" s="4"/>
    </row>
    <row r="66" customFormat="false" ht="15.75" hidden="false" customHeight="true" outlineLevel="0" collapsed="false">
      <c r="A66" s="55" t="n">
        <v>1687</v>
      </c>
      <c r="B66" s="55" t="s">
        <v>553</v>
      </c>
      <c r="C66" s="55" t="s">
        <v>554</v>
      </c>
      <c r="D66" s="55" t="s">
        <v>1521</v>
      </c>
      <c r="E66" s="55" t="s">
        <v>1521</v>
      </c>
      <c r="F66" s="55" t="s">
        <v>1194</v>
      </c>
      <c r="G66" s="55" t="s">
        <v>1195</v>
      </c>
      <c r="H66" s="55" t="s">
        <v>1248</v>
      </c>
      <c r="I66" s="55" t="s">
        <v>549</v>
      </c>
      <c r="J66" s="55" t="s">
        <v>1522</v>
      </c>
      <c r="K66" s="55" t="s">
        <v>552</v>
      </c>
      <c r="L66" s="55" t="n">
        <v>1</v>
      </c>
      <c r="M66" s="55" t="n">
        <v>1</v>
      </c>
      <c r="N66" s="55" t="s">
        <v>141</v>
      </c>
      <c r="O66" s="55"/>
      <c r="P66" s="55"/>
      <c r="Q66" s="55"/>
      <c r="R66" s="55" t="n">
        <v>37</v>
      </c>
      <c r="S66" s="55" t="n">
        <v>96</v>
      </c>
      <c r="T66" s="55"/>
      <c r="U66" s="55" t="s">
        <v>554</v>
      </c>
      <c r="V66" s="55" t="s">
        <v>1503</v>
      </c>
      <c r="W66" s="55" t="s">
        <v>1500</v>
      </c>
      <c r="X66" s="4"/>
      <c r="Y66" s="4"/>
      <c r="Z66" s="4"/>
    </row>
    <row r="67" customFormat="false" ht="15.75" hidden="false" customHeight="true" outlineLevel="0" collapsed="false">
      <c r="A67" s="55" t="n">
        <v>1692</v>
      </c>
      <c r="B67" s="55" t="s">
        <v>567</v>
      </c>
      <c r="C67" s="55" t="s">
        <v>568</v>
      </c>
      <c r="D67" s="55" t="s">
        <v>1523</v>
      </c>
      <c r="E67" s="55" t="s">
        <v>1523</v>
      </c>
      <c r="F67" s="55" t="s">
        <v>1194</v>
      </c>
      <c r="G67" s="55" t="s">
        <v>1195</v>
      </c>
      <c r="H67" s="55" t="s">
        <v>1248</v>
      </c>
      <c r="I67" s="55" t="s">
        <v>563</v>
      </c>
      <c r="J67" s="55" t="s">
        <v>1524</v>
      </c>
      <c r="K67" s="55" t="s">
        <v>569</v>
      </c>
      <c r="L67" s="55" t="n">
        <v>0.75</v>
      </c>
      <c r="M67" s="55" t="n">
        <v>1.875</v>
      </c>
      <c r="N67" s="55" t="s">
        <v>141</v>
      </c>
      <c r="O67" s="55"/>
      <c r="P67" s="55"/>
      <c r="Q67" s="55"/>
      <c r="R67" s="55" t="n">
        <v>116</v>
      </c>
      <c r="S67" s="55" t="n">
        <v>183</v>
      </c>
      <c r="T67" s="55"/>
      <c r="U67" s="55" t="s">
        <v>568</v>
      </c>
      <c r="V67" s="55" t="s">
        <v>1525</v>
      </c>
      <c r="W67" s="55" t="s">
        <v>1500</v>
      </c>
      <c r="X67" s="4"/>
      <c r="Y67" s="4"/>
      <c r="Z67" s="4"/>
    </row>
    <row r="68" customFormat="false" ht="15.75" hidden="false" customHeight="true" outlineLevel="0" collapsed="false">
      <c r="A68" s="55" t="n">
        <v>1691</v>
      </c>
      <c r="B68" s="55" t="s">
        <v>565</v>
      </c>
      <c r="C68" s="55" t="s">
        <v>566</v>
      </c>
      <c r="D68" s="55" t="s">
        <v>1526</v>
      </c>
      <c r="E68" s="55" t="s">
        <v>1526</v>
      </c>
      <c r="F68" s="55" t="s">
        <v>1194</v>
      </c>
      <c r="G68" s="55" t="s">
        <v>1195</v>
      </c>
      <c r="H68" s="55" t="s">
        <v>1248</v>
      </c>
      <c r="I68" s="55" t="s">
        <v>563</v>
      </c>
      <c r="J68" s="55" t="s">
        <v>1527</v>
      </c>
      <c r="K68" s="55" t="s">
        <v>158</v>
      </c>
      <c r="L68" s="55" t="n">
        <v>0.8125</v>
      </c>
      <c r="M68" s="55" t="n">
        <v>1.375</v>
      </c>
      <c r="N68" s="55" t="s">
        <v>141</v>
      </c>
      <c r="O68" s="55"/>
      <c r="P68" s="55"/>
      <c r="Q68" s="55"/>
      <c r="R68" s="55" t="n">
        <v>132</v>
      </c>
      <c r="S68" s="55" t="n">
        <v>192</v>
      </c>
      <c r="T68" s="55"/>
      <c r="U68" s="55" t="s">
        <v>1528</v>
      </c>
      <c r="V68" s="55" t="s">
        <v>1529</v>
      </c>
      <c r="W68" s="55" t="s">
        <v>1500</v>
      </c>
      <c r="X68" s="4"/>
      <c r="Y68" s="4"/>
      <c r="Z68" s="4"/>
    </row>
    <row r="69" customFormat="false" ht="15.75" hidden="false" customHeight="true" outlineLevel="0" collapsed="false">
      <c r="A69" s="55" t="n">
        <v>1737</v>
      </c>
      <c r="B69" s="55" t="s">
        <v>513</v>
      </c>
      <c r="C69" s="55" t="s">
        <v>514</v>
      </c>
      <c r="D69" s="55" t="s">
        <v>1530</v>
      </c>
      <c r="E69" s="55" t="s">
        <v>1530</v>
      </c>
      <c r="F69" s="55" t="s">
        <v>1194</v>
      </c>
      <c r="G69" s="55" t="s">
        <v>1195</v>
      </c>
      <c r="H69" s="55" t="s">
        <v>1248</v>
      </c>
      <c r="I69" s="55" t="s">
        <v>505</v>
      </c>
      <c r="J69" s="55" t="s">
        <v>1531</v>
      </c>
      <c r="K69" s="55" t="s">
        <v>515</v>
      </c>
      <c r="L69" s="55" t="n">
        <v>0.5</v>
      </c>
      <c r="M69" s="55" t="n">
        <v>1.5</v>
      </c>
      <c r="N69" s="55" t="s">
        <v>141</v>
      </c>
      <c r="O69" s="55"/>
      <c r="P69" s="55"/>
      <c r="Q69" s="55"/>
      <c r="R69" s="55" t="n">
        <v>33</v>
      </c>
      <c r="S69" s="55" t="n">
        <v>165</v>
      </c>
      <c r="T69" s="55"/>
      <c r="U69" s="55" t="s">
        <v>514</v>
      </c>
      <c r="V69" s="55" t="s">
        <v>1532</v>
      </c>
      <c r="W69" s="55" t="s">
        <v>1500</v>
      </c>
      <c r="X69" s="4"/>
      <c r="Y69" s="4"/>
      <c r="Z69" s="4"/>
    </row>
    <row r="70" customFormat="false" ht="15.75" hidden="false" customHeight="true" outlineLevel="0" collapsed="false">
      <c r="A70" s="55" t="n">
        <v>1686</v>
      </c>
      <c r="B70" s="55" t="s">
        <v>550</v>
      </c>
      <c r="C70" s="55" t="s">
        <v>551</v>
      </c>
      <c r="D70" s="55" t="s">
        <v>1533</v>
      </c>
      <c r="E70" s="55" t="s">
        <v>1533</v>
      </c>
      <c r="F70" s="55" t="s">
        <v>1194</v>
      </c>
      <c r="G70" s="55" t="s">
        <v>1195</v>
      </c>
      <c r="H70" s="55" t="s">
        <v>1248</v>
      </c>
      <c r="I70" s="55" t="s">
        <v>549</v>
      </c>
      <c r="J70" s="55" t="s">
        <v>1534</v>
      </c>
      <c r="K70" s="55" t="s">
        <v>552</v>
      </c>
      <c r="L70" s="55" t="n">
        <v>1</v>
      </c>
      <c r="M70" s="55" t="n">
        <v>1</v>
      </c>
      <c r="N70" s="55" t="s">
        <v>141</v>
      </c>
      <c r="O70" s="55"/>
      <c r="P70" s="55"/>
      <c r="Q70" s="55"/>
      <c r="R70" s="55" t="n">
        <v>30</v>
      </c>
      <c r="S70" s="55" t="n">
        <v>115</v>
      </c>
      <c r="T70" s="55"/>
      <c r="U70" s="55" t="s">
        <v>551</v>
      </c>
      <c r="V70" s="55" t="s">
        <v>1503</v>
      </c>
      <c r="W70" s="55" t="s">
        <v>1500</v>
      </c>
      <c r="X70" s="4"/>
      <c r="Y70" s="4"/>
      <c r="Z70" s="4"/>
    </row>
    <row r="71" customFormat="false" ht="15.75" hidden="false" customHeight="true" outlineLevel="0" collapsed="false">
      <c r="A71" s="55" t="n">
        <v>1673</v>
      </c>
      <c r="B71" s="55" t="s">
        <v>616</v>
      </c>
      <c r="C71" s="55" t="s">
        <v>617</v>
      </c>
      <c r="D71" s="55" t="s">
        <v>1535</v>
      </c>
      <c r="E71" s="55" t="s">
        <v>1535</v>
      </c>
      <c r="F71" s="55" t="s">
        <v>1194</v>
      </c>
      <c r="G71" s="55" t="s">
        <v>1195</v>
      </c>
      <c r="H71" s="55" t="s">
        <v>1248</v>
      </c>
      <c r="I71" s="55" t="s">
        <v>599</v>
      </c>
      <c r="J71" s="55" t="s">
        <v>1536</v>
      </c>
      <c r="K71" s="55" t="s">
        <v>618</v>
      </c>
      <c r="L71" s="55" t="n">
        <v>1.75</v>
      </c>
      <c r="M71" s="55" t="n">
        <v>2.75</v>
      </c>
      <c r="N71" s="55" t="s">
        <v>141</v>
      </c>
      <c r="O71" s="55"/>
      <c r="P71" s="55"/>
      <c r="Q71" s="55"/>
      <c r="R71" s="55" t="n">
        <v>31</v>
      </c>
      <c r="S71" s="55" t="n">
        <v>164</v>
      </c>
      <c r="T71" s="55"/>
      <c r="U71" s="55" t="s">
        <v>617</v>
      </c>
      <c r="V71" s="55" t="s">
        <v>1503</v>
      </c>
      <c r="W71" s="55" t="s">
        <v>1500</v>
      </c>
      <c r="X71" s="4"/>
      <c r="Y71" s="4"/>
      <c r="Z71" s="4"/>
    </row>
    <row r="72" customFormat="false" ht="15.75" hidden="false" customHeight="true" outlineLevel="0" collapsed="false">
      <c r="A72" s="55" t="n">
        <v>1783</v>
      </c>
      <c r="B72" s="55" t="s">
        <v>906</v>
      </c>
      <c r="C72" s="55" t="s">
        <v>907</v>
      </c>
      <c r="D72" s="55" t="s">
        <v>1537</v>
      </c>
      <c r="E72" s="55" t="s">
        <v>1537</v>
      </c>
      <c r="F72" s="55" t="s">
        <v>1194</v>
      </c>
      <c r="G72" s="55" t="s">
        <v>1195</v>
      </c>
      <c r="H72" s="55" t="s">
        <v>1196</v>
      </c>
      <c r="I72" s="55" t="s">
        <v>886</v>
      </c>
      <c r="J72" s="55" t="s">
        <v>1538</v>
      </c>
      <c r="K72" s="55" t="s">
        <v>889</v>
      </c>
      <c r="L72" s="55"/>
      <c r="M72" s="55"/>
      <c r="N72" s="55" t="s">
        <v>732</v>
      </c>
      <c r="O72" s="55"/>
      <c r="P72" s="55" t="s">
        <v>1539</v>
      </c>
      <c r="Q72" s="55"/>
      <c r="R72" s="55" t="n">
        <v>98</v>
      </c>
      <c r="S72" s="55" t="n">
        <v>231</v>
      </c>
      <c r="T72" s="55"/>
      <c r="U72" s="55" t="s">
        <v>1540</v>
      </c>
      <c r="V72" s="55" t="s">
        <v>1541</v>
      </c>
      <c r="W72" s="55" t="s">
        <v>1500</v>
      </c>
      <c r="X72" s="4"/>
      <c r="Y72" s="4"/>
      <c r="Z72" s="4"/>
    </row>
    <row r="73" customFormat="false" ht="15.75" hidden="false" customHeight="true" outlineLevel="0" collapsed="false">
      <c r="A73" s="55" t="n">
        <v>1782</v>
      </c>
      <c r="B73" s="55" t="s">
        <v>922</v>
      </c>
      <c r="C73" s="55" t="s">
        <v>923</v>
      </c>
      <c r="D73" s="55" t="s">
        <v>1542</v>
      </c>
      <c r="E73" s="55" t="s">
        <v>1542</v>
      </c>
      <c r="F73" s="55" t="s">
        <v>1194</v>
      </c>
      <c r="G73" s="55" t="s">
        <v>1195</v>
      </c>
      <c r="H73" s="55" t="s">
        <v>1196</v>
      </c>
      <c r="I73" s="55" t="s">
        <v>886</v>
      </c>
      <c r="J73" s="55" t="s">
        <v>1543</v>
      </c>
      <c r="K73" s="55" t="s">
        <v>889</v>
      </c>
      <c r="L73" s="55"/>
      <c r="M73" s="55"/>
      <c r="N73" s="55" t="s">
        <v>732</v>
      </c>
      <c r="O73" s="55"/>
      <c r="P73" s="55" t="s">
        <v>1539</v>
      </c>
      <c r="Q73" s="55"/>
      <c r="R73" s="55" t="n">
        <v>184</v>
      </c>
      <c r="S73" s="55" t="n">
        <v>383</v>
      </c>
      <c r="T73" s="55"/>
      <c r="U73" s="55" t="s">
        <v>1544</v>
      </c>
      <c r="V73" s="55" t="s">
        <v>1545</v>
      </c>
      <c r="W73" s="55" t="s">
        <v>1500</v>
      </c>
      <c r="X73" s="4"/>
      <c r="Y73" s="4"/>
      <c r="Z73" s="4"/>
    </row>
    <row r="74" customFormat="false" ht="15.75" hidden="false" customHeight="true" outlineLevel="0" collapsed="false">
      <c r="A74" s="55" t="n">
        <v>1674</v>
      </c>
      <c r="B74" s="55" t="s">
        <v>619</v>
      </c>
      <c r="C74" s="55" t="s">
        <v>620</v>
      </c>
      <c r="D74" s="55" t="s">
        <v>1546</v>
      </c>
      <c r="E74" s="55" t="s">
        <v>1546</v>
      </c>
      <c r="F74" s="55" t="s">
        <v>1194</v>
      </c>
      <c r="G74" s="55" t="s">
        <v>1195</v>
      </c>
      <c r="H74" s="55" t="s">
        <v>1248</v>
      </c>
      <c r="I74" s="55" t="s">
        <v>599</v>
      </c>
      <c r="J74" s="55" t="s">
        <v>1547</v>
      </c>
      <c r="K74" s="55" t="s">
        <v>618</v>
      </c>
      <c r="L74" s="55" t="n">
        <v>1.75</v>
      </c>
      <c r="M74" s="55" t="n">
        <v>2.75</v>
      </c>
      <c r="N74" s="55" t="s">
        <v>141</v>
      </c>
      <c r="O74" s="55"/>
      <c r="P74" s="55"/>
      <c r="Q74" s="55"/>
      <c r="R74" s="55" t="n">
        <v>31</v>
      </c>
      <c r="S74" s="55" t="n">
        <v>153</v>
      </c>
      <c r="T74" s="55"/>
      <c r="U74" s="55" t="s">
        <v>620</v>
      </c>
      <c r="V74" s="55" t="s">
        <v>1503</v>
      </c>
      <c r="W74" s="55" t="s">
        <v>1500</v>
      </c>
      <c r="X74" s="4"/>
      <c r="Y74" s="4"/>
      <c r="Z74" s="4"/>
    </row>
    <row r="75" customFormat="false" ht="15.75" hidden="false" customHeight="true" outlineLevel="0" collapsed="false">
      <c r="A75" s="55" t="n">
        <v>1675</v>
      </c>
      <c r="B75" s="55" t="s">
        <v>621</v>
      </c>
      <c r="C75" s="55" t="s">
        <v>622</v>
      </c>
      <c r="D75" s="55" t="s">
        <v>1548</v>
      </c>
      <c r="E75" s="55" t="s">
        <v>1548</v>
      </c>
      <c r="F75" s="55" t="s">
        <v>1194</v>
      </c>
      <c r="G75" s="55" t="s">
        <v>1195</v>
      </c>
      <c r="H75" s="55" t="s">
        <v>1248</v>
      </c>
      <c r="I75" s="55" t="s">
        <v>599</v>
      </c>
      <c r="J75" s="55" t="s">
        <v>1549</v>
      </c>
      <c r="K75" s="55" t="s">
        <v>618</v>
      </c>
      <c r="L75" s="55" t="n">
        <v>1.75</v>
      </c>
      <c r="M75" s="55" t="n">
        <v>2.75</v>
      </c>
      <c r="N75" s="55" t="s">
        <v>141</v>
      </c>
      <c r="O75" s="55"/>
      <c r="P75" s="55"/>
      <c r="Q75" s="55"/>
      <c r="R75" s="55" t="n">
        <v>31</v>
      </c>
      <c r="S75" s="55" t="n">
        <v>82</v>
      </c>
      <c r="T75" s="55"/>
      <c r="U75" s="55" t="s">
        <v>622</v>
      </c>
      <c r="V75" s="55" t="s">
        <v>1503</v>
      </c>
      <c r="W75" s="55" t="s">
        <v>1500</v>
      </c>
      <c r="X75" s="4"/>
      <c r="Y75" s="4"/>
      <c r="Z75" s="4"/>
    </row>
    <row r="76" customFormat="false" ht="15.75" hidden="false" customHeight="true" outlineLevel="0" collapsed="false">
      <c r="A76" s="55" t="n">
        <v>1781</v>
      </c>
      <c r="B76" s="55" t="s">
        <v>914</v>
      </c>
      <c r="C76" s="55" t="s">
        <v>915</v>
      </c>
      <c r="D76" s="55" t="s">
        <v>1550</v>
      </c>
      <c r="E76" s="55" t="s">
        <v>1550</v>
      </c>
      <c r="F76" s="55" t="s">
        <v>1194</v>
      </c>
      <c r="G76" s="55" t="s">
        <v>1195</v>
      </c>
      <c r="H76" s="55" t="s">
        <v>1196</v>
      </c>
      <c r="I76" s="55" t="s">
        <v>886</v>
      </c>
      <c r="J76" s="55" t="s">
        <v>1551</v>
      </c>
      <c r="K76" s="55" t="s">
        <v>889</v>
      </c>
      <c r="L76" s="55"/>
      <c r="M76" s="55"/>
      <c r="N76" s="55" t="s">
        <v>732</v>
      </c>
      <c r="O76" s="55"/>
      <c r="P76" s="55" t="s">
        <v>1539</v>
      </c>
      <c r="Q76" s="55"/>
      <c r="R76" s="55" t="n">
        <v>264</v>
      </c>
      <c r="S76" s="55" t="n">
        <v>1718</v>
      </c>
      <c r="T76" s="55" t="s">
        <v>1552</v>
      </c>
      <c r="U76" s="55" t="s">
        <v>1553</v>
      </c>
      <c r="V76" s="55" t="s">
        <v>1554</v>
      </c>
      <c r="W76" s="55" t="s">
        <v>1500</v>
      </c>
      <c r="X76" s="4"/>
      <c r="Y76" s="4"/>
      <c r="Z76" s="4"/>
    </row>
    <row r="77" customFormat="false" ht="15.75" hidden="false" customHeight="true" outlineLevel="0" collapsed="false">
      <c r="A77" s="55" t="n">
        <v>1698</v>
      </c>
      <c r="B77" s="55" t="s">
        <v>466</v>
      </c>
      <c r="C77" s="55" t="s">
        <v>467</v>
      </c>
      <c r="D77" s="55" t="s">
        <v>1555</v>
      </c>
      <c r="E77" s="55" t="s">
        <v>1555</v>
      </c>
      <c r="F77" s="55" t="s">
        <v>1194</v>
      </c>
      <c r="G77" s="55" t="s">
        <v>1195</v>
      </c>
      <c r="H77" s="55" t="s">
        <v>1248</v>
      </c>
      <c r="I77" s="55" t="s">
        <v>420</v>
      </c>
      <c r="J77" s="55" t="s">
        <v>1556</v>
      </c>
      <c r="K77" s="55" t="s">
        <v>468</v>
      </c>
      <c r="L77" s="55" t="n">
        <v>0.4375</v>
      </c>
      <c r="M77" s="55" t="n">
        <v>1.25</v>
      </c>
      <c r="N77" s="55" t="s">
        <v>141</v>
      </c>
      <c r="O77" s="55"/>
      <c r="P77" s="55"/>
      <c r="Q77" s="55"/>
      <c r="R77" s="55" t="n">
        <v>15</v>
      </c>
      <c r="S77" s="55" t="n">
        <v>149</v>
      </c>
      <c r="T77" s="55"/>
      <c r="U77" s="55" t="s">
        <v>467</v>
      </c>
      <c r="V77" s="55" t="s">
        <v>1503</v>
      </c>
      <c r="W77" s="55" t="s">
        <v>1500</v>
      </c>
      <c r="X77" s="4"/>
      <c r="Y77" s="4"/>
      <c r="Z77" s="4"/>
    </row>
    <row r="78" customFormat="false" ht="15.75" hidden="false" customHeight="true" outlineLevel="0" collapsed="false">
      <c r="A78" s="55" t="n">
        <v>1677</v>
      </c>
      <c r="B78" s="55" t="s">
        <v>626</v>
      </c>
      <c r="C78" s="55" t="s">
        <v>627</v>
      </c>
      <c r="D78" s="55" t="s">
        <v>1557</v>
      </c>
      <c r="E78" s="55" t="s">
        <v>1557</v>
      </c>
      <c r="F78" s="55" t="s">
        <v>1194</v>
      </c>
      <c r="G78" s="55" t="s">
        <v>1195</v>
      </c>
      <c r="H78" s="55" t="s">
        <v>1248</v>
      </c>
      <c r="I78" s="55" t="s">
        <v>599</v>
      </c>
      <c r="J78" s="55" t="s">
        <v>1558</v>
      </c>
      <c r="K78" s="55" t="s">
        <v>628</v>
      </c>
      <c r="L78" s="55" t="n">
        <v>1.75</v>
      </c>
      <c r="M78" s="55" t="n">
        <v>3</v>
      </c>
      <c r="N78" s="55" t="s">
        <v>141</v>
      </c>
      <c r="O78" s="55"/>
      <c r="P78" s="55"/>
      <c r="Q78" s="55"/>
      <c r="R78" s="55" t="n">
        <v>29</v>
      </c>
      <c r="S78" s="55" t="n">
        <v>134</v>
      </c>
      <c r="T78" s="55"/>
      <c r="U78" s="55" t="s">
        <v>627</v>
      </c>
      <c r="V78" s="55" t="s">
        <v>1503</v>
      </c>
      <c r="W78" s="55" t="s">
        <v>1500</v>
      </c>
      <c r="X78" s="4"/>
      <c r="Y78" s="4"/>
      <c r="Z78" s="4"/>
    </row>
    <row r="79" customFormat="false" ht="15.75" hidden="false" customHeight="true" outlineLevel="0" collapsed="false">
      <c r="A79" s="55" t="n">
        <v>1778</v>
      </c>
      <c r="B79" s="55" t="s">
        <v>887</v>
      </c>
      <c r="C79" s="55" t="s">
        <v>888</v>
      </c>
      <c r="D79" s="55" t="s">
        <v>1559</v>
      </c>
      <c r="E79" s="55" t="s">
        <v>1559</v>
      </c>
      <c r="F79" s="55" t="s">
        <v>1194</v>
      </c>
      <c r="G79" s="55" t="s">
        <v>1195</v>
      </c>
      <c r="H79" s="55" t="s">
        <v>1196</v>
      </c>
      <c r="I79" s="55" t="s">
        <v>886</v>
      </c>
      <c r="J79" s="55" t="s">
        <v>1560</v>
      </c>
      <c r="K79" s="55" t="s">
        <v>889</v>
      </c>
      <c r="L79" s="55"/>
      <c r="M79" s="55"/>
      <c r="N79" s="55" t="s">
        <v>732</v>
      </c>
      <c r="O79" s="55"/>
      <c r="P79" s="55" t="s">
        <v>1539</v>
      </c>
      <c r="Q79" s="55"/>
      <c r="R79" s="55" t="n">
        <v>134</v>
      </c>
      <c r="S79" s="55" t="n">
        <v>2350</v>
      </c>
      <c r="T79" s="55"/>
      <c r="U79" s="55" t="s">
        <v>1561</v>
      </c>
      <c r="V79" s="55" t="s">
        <v>1562</v>
      </c>
      <c r="W79" s="55" t="s">
        <v>1500</v>
      </c>
      <c r="X79" s="4"/>
      <c r="Y79" s="4"/>
      <c r="Z79" s="4"/>
    </row>
    <row r="80" customFormat="false" ht="15.75" hidden="false" customHeight="true" outlineLevel="0" collapsed="false">
      <c r="A80" s="55" t="n">
        <v>1681</v>
      </c>
      <c r="B80" s="55" t="s">
        <v>639</v>
      </c>
      <c r="C80" s="55" t="s">
        <v>640</v>
      </c>
      <c r="D80" s="55" t="s">
        <v>1563</v>
      </c>
      <c r="E80" s="55" t="s">
        <v>1563</v>
      </c>
      <c r="F80" s="55" t="s">
        <v>1194</v>
      </c>
      <c r="G80" s="55" t="s">
        <v>1195</v>
      </c>
      <c r="H80" s="55" t="s">
        <v>1248</v>
      </c>
      <c r="I80" s="55" t="s">
        <v>638</v>
      </c>
      <c r="J80" s="55" t="s">
        <v>1564</v>
      </c>
      <c r="K80" s="55" t="s">
        <v>357</v>
      </c>
      <c r="L80" s="55" t="n">
        <v>1.0625</v>
      </c>
      <c r="M80" s="55" t="n">
        <v>3.5</v>
      </c>
      <c r="N80" s="55" t="s">
        <v>141</v>
      </c>
      <c r="O80" s="55"/>
      <c r="P80" s="55"/>
      <c r="Q80" s="55"/>
      <c r="R80" s="55" t="n">
        <v>50</v>
      </c>
      <c r="S80" s="55" t="n">
        <v>158</v>
      </c>
      <c r="T80" s="55"/>
      <c r="U80" s="55" t="s">
        <v>1565</v>
      </c>
      <c r="V80" s="55" t="s">
        <v>1503</v>
      </c>
      <c r="W80" s="55" t="s">
        <v>1500</v>
      </c>
      <c r="X80" s="4"/>
      <c r="Y80" s="4"/>
      <c r="Z80" s="4"/>
    </row>
    <row r="81" customFormat="false" ht="15.75" hidden="false" customHeight="true" outlineLevel="0" collapsed="false">
      <c r="A81" s="55" t="n">
        <v>1682</v>
      </c>
      <c r="B81" s="55" t="s">
        <v>641</v>
      </c>
      <c r="C81" s="55" t="s">
        <v>642</v>
      </c>
      <c r="D81" s="55" t="s">
        <v>1566</v>
      </c>
      <c r="E81" s="55" t="s">
        <v>1566</v>
      </c>
      <c r="F81" s="55" t="s">
        <v>1194</v>
      </c>
      <c r="G81" s="55" t="s">
        <v>1195</v>
      </c>
      <c r="H81" s="55" t="s">
        <v>1248</v>
      </c>
      <c r="I81" s="55" t="s">
        <v>638</v>
      </c>
      <c r="J81" s="55" t="s">
        <v>1567</v>
      </c>
      <c r="K81" s="55" t="s">
        <v>643</v>
      </c>
      <c r="L81" s="55" t="n">
        <v>1.0625</v>
      </c>
      <c r="M81" s="55" t="n">
        <v>4.25</v>
      </c>
      <c r="N81" s="55" t="s">
        <v>141</v>
      </c>
      <c r="O81" s="55"/>
      <c r="P81" s="55"/>
      <c r="Q81" s="55"/>
      <c r="R81" s="55" t="n">
        <v>50</v>
      </c>
      <c r="S81" s="55" t="n">
        <v>124</v>
      </c>
      <c r="T81" s="55"/>
      <c r="U81" s="55" t="s">
        <v>1568</v>
      </c>
      <c r="V81" s="55" t="s">
        <v>1503</v>
      </c>
      <c r="W81" s="55" t="s">
        <v>1500</v>
      </c>
      <c r="X81" s="4"/>
      <c r="Y81" s="4"/>
      <c r="Z81" s="4"/>
    </row>
    <row r="82" customFormat="false" ht="15.75" hidden="false" customHeight="true" outlineLevel="0" collapsed="false">
      <c r="A82" s="55" t="n">
        <v>1683</v>
      </c>
      <c r="B82" s="55" t="s">
        <v>644</v>
      </c>
      <c r="C82" s="55" t="s">
        <v>645</v>
      </c>
      <c r="D82" s="55" t="s">
        <v>1569</v>
      </c>
      <c r="E82" s="55" t="s">
        <v>1569</v>
      </c>
      <c r="F82" s="55" t="s">
        <v>1194</v>
      </c>
      <c r="G82" s="55" t="s">
        <v>1195</v>
      </c>
      <c r="H82" s="55" t="s">
        <v>1248</v>
      </c>
      <c r="I82" s="55" t="s">
        <v>638</v>
      </c>
      <c r="J82" s="55" t="s">
        <v>1570</v>
      </c>
      <c r="K82" s="55" t="s">
        <v>643</v>
      </c>
      <c r="L82" s="55" t="n">
        <v>1.0625</v>
      </c>
      <c r="M82" s="55" t="n">
        <v>4.25</v>
      </c>
      <c r="N82" s="55" t="s">
        <v>141</v>
      </c>
      <c r="O82" s="55"/>
      <c r="P82" s="55"/>
      <c r="Q82" s="55"/>
      <c r="R82" s="55" t="n">
        <v>50</v>
      </c>
      <c r="S82" s="55" t="n">
        <v>101</v>
      </c>
      <c r="T82" s="55"/>
      <c r="U82" s="55" t="s">
        <v>1571</v>
      </c>
      <c r="V82" s="55" t="s">
        <v>1503</v>
      </c>
      <c r="W82" s="55" t="s">
        <v>1500</v>
      </c>
      <c r="X82" s="4"/>
      <c r="Y82" s="4"/>
      <c r="Z82" s="4"/>
    </row>
    <row r="83" customFormat="false" ht="15.75" hidden="false" customHeight="true" outlineLevel="0" collapsed="false">
      <c r="A83" s="55" t="n">
        <v>1684</v>
      </c>
      <c r="B83" s="55" t="s">
        <v>649</v>
      </c>
      <c r="C83" s="55" t="s">
        <v>650</v>
      </c>
      <c r="D83" s="55" t="s">
        <v>1572</v>
      </c>
      <c r="E83" s="55" t="s">
        <v>1572</v>
      </c>
      <c r="F83" s="55" t="s">
        <v>1194</v>
      </c>
      <c r="G83" s="55" t="s">
        <v>1195</v>
      </c>
      <c r="H83" s="55" t="s">
        <v>1248</v>
      </c>
      <c r="I83" s="55" t="s">
        <v>638</v>
      </c>
      <c r="J83" s="55" t="s">
        <v>1573</v>
      </c>
      <c r="K83" s="55" t="s">
        <v>651</v>
      </c>
      <c r="L83" s="55" t="n">
        <v>1.0625</v>
      </c>
      <c r="M83" s="55" t="n">
        <v>6.25</v>
      </c>
      <c r="N83" s="55" t="s">
        <v>141</v>
      </c>
      <c r="O83" s="55"/>
      <c r="P83" s="55"/>
      <c r="Q83" s="55"/>
      <c r="R83" s="55" t="n">
        <v>50</v>
      </c>
      <c r="S83" s="55" t="n">
        <v>123</v>
      </c>
      <c r="T83" s="55"/>
      <c r="U83" s="55" t="s">
        <v>1574</v>
      </c>
      <c r="V83" s="55" t="s">
        <v>1503</v>
      </c>
      <c r="W83" s="55" t="s">
        <v>1500</v>
      </c>
      <c r="X83" s="4"/>
      <c r="Y83" s="4"/>
      <c r="Z83" s="4"/>
    </row>
    <row r="84" customFormat="false" ht="15.75" hidden="false" customHeight="true" outlineLevel="0" collapsed="false">
      <c r="A84" s="55" t="n">
        <v>1685</v>
      </c>
      <c r="B84" s="55" t="s">
        <v>547</v>
      </c>
      <c r="C84" s="55" t="s">
        <v>548</v>
      </c>
      <c r="D84" s="55" t="s">
        <v>1575</v>
      </c>
      <c r="E84" s="55" t="s">
        <v>1575</v>
      </c>
      <c r="F84" s="55" t="s">
        <v>1194</v>
      </c>
      <c r="G84" s="55" t="s">
        <v>1195</v>
      </c>
      <c r="H84" s="55" t="s">
        <v>1248</v>
      </c>
      <c r="I84" s="55" t="s">
        <v>549</v>
      </c>
      <c r="J84" s="55" t="s">
        <v>1576</v>
      </c>
      <c r="K84" s="55" t="s">
        <v>370</v>
      </c>
      <c r="L84" s="55" t="n">
        <v>0.75</v>
      </c>
      <c r="M84" s="55" t="n">
        <v>0.75</v>
      </c>
      <c r="N84" s="55" t="s">
        <v>141</v>
      </c>
      <c r="O84" s="55"/>
      <c r="P84" s="55"/>
      <c r="Q84" s="55"/>
      <c r="R84" s="55" t="n">
        <v>30</v>
      </c>
      <c r="S84" s="55" t="n">
        <v>108</v>
      </c>
      <c r="T84" s="55"/>
      <c r="U84" s="55" t="s">
        <v>548</v>
      </c>
      <c r="V84" s="55" t="s">
        <v>1503</v>
      </c>
      <c r="W84" s="55" t="s">
        <v>1500</v>
      </c>
      <c r="X84" s="4"/>
      <c r="Y84" s="4"/>
      <c r="Z84" s="4"/>
    </row>
    <row r="85" customFormat="false" ht="15.75" hidden="false" customHeight="true" outlineLevel="0" collapsed="false">
      <c r="A85" s="55" t="n">
        <v>1779</v>
      </c>
      <c r="B85" s="55" t="s">
        <v>894</v>
      </c>
      <c r="C85" s="55" t="s">
        <v>895</v>
      </c>
      <c r="D85" s="55" t="s">
        <v>1577</v>
      </c>
      <c r="E85" s="55" t="s">
        <v>1577</v>
      </c>
      <c r="F85" s="55" t="s">
        <v>1194</v>
      </c>
      <c r="G85" s="55" t="s">
        <v>1195</v>
      </c>
      <c r="H85" s="55" t="s">
        <v>1196</v>
      </c>
      <c r="I85" s="55" t="s">
        <v>886</v>
      </c>
      <c r="J85" s="55" t="s">
        <v>1578</v>
      </c>
      <c r="K85" s="55" t="s">
        <v>889</v>
      </c>
      <c r="L85" s="55"/>
      <c r="M85" s="55"/>
      <c r="N85" s="55" t="s">
        <v>732</v>
      </c>
      <c r="O85" s="55"/>
      <c r="P85" s="55" t="s">
        <v>1539</v>
      </c>
      <c r="Q85" s="55"/>
      <c r="R85" s="55" t="n">
        <v>118</v>
      </c>
      <c r="S85" s="55" t="n">
        <v>1942</v>
      </c>
      <c r="T85" s="55"/>
      <c r="U85" s="55" t="s">
        <v>1579</v>
      </c>
      <c r="V85" s="55" t="s">
        <v>1580</v>
      </c>
      <c r="W85" s="55" t="s">
        <v>1500</v>
      </c>
      <c r="X85" s="4"/>
      <c r="Y85" s="4"/>
      <c r="Z85" s="4"/>
    </row>
    <row r="86" customFormat="false" ht="15.75" hidden="false" customHeight="true" outlineLevel="0" collapsed="false">
      <c r="A86" s="55" t="n">
        <v>1956</v>
      </c>
      <c r="B86" s="55" t="s">
        <v>410</v>
      </c>
      <c r="C86" s="55" t="s">
        <v>411</v>
      </c>
      <c r="D86" s="55" t="s">
        <v>1581</v>
      </c>
      <c r="E86" s="55" t="s">
        <v>1581</v>
      </c>
      <c r="F86" s="55" t="s">
        <v>1194</v>
      </c>
      <c r="G86" s="55" t="s">
        <v>1195</v>
      </c>
      <c r="H86" s="55" t="s">
        <v>1248</v>
      </c>
      <c r="I86" s="55" t="s">
        <v>379</v>
      </c>
      <c r="J86" s="55" t="s">
        <v>1582</v>
      </c>
      <c r="K86" s="55" t="s">
        <v>412</v>
      </c>
      <c r="L86" s="55" t="n">
        <v>0.875</v>
      </c>
      <c r="M86" s="55" t="n">
        <v>6.5</v>
      </c>
      <c r="N86" s="55" t="s">
        <v>413</v>
      </c>
      <c r="O86" s="55"/>
      <c r="P86" s="55"/>
      <c r="Q86" s="55"/>
      <c r="R86" s="55" t="n">
        <v>17</v>
      </c>
      <c r="S86" s="55" t="n">
        <v>229</v>
      </c>
      <c r="T86" s="55"/>
      <c r="U86" s="55" t="s">
        <v>411</v>
      </c>
      <c r="V86" s="55" t="s">
        <v>1583</v>
      </c>
      <c r="W86" s="55" t="s">
        <v>1500</v>
      </c>
      <c r="X86" s="4"/>
      <c r="Y86" s="4"/>
      <c r="Z86" s="4"/>
    </row>
    <row r="87" customFormat="false" ht="15.75" hidden="false" customHeight="true" outlineLevel="0" collapsed="false">
      <c r="A87" s="55" t="n">
        <v>1701</v>
      </c>
      <c r="B87" s="55" t="s">
        <v>583</v>
      </c>
      <c r="C87" s="55" t="s">
        <v>584</v>
      </c>
      <c r="D87" s="55" t="s">
        <v>1584</v>
      </c>
      <c r="E87" s="55" t="s">
        <v>1584</v>
      </c>
      <c r="F87" s="55" t="s">
        <v>1194</v>
      </c>
      <c r="G87" s="55" t="s">
        <v>1195</v>
      </c>
      <c r="H87" s="55" t="s">
        <v>1248</v>
      </c>
      <c r="I87" s="55" t="s">
        <v>578</v>
      </c>
      <c r="J87" s="55" t="s">
        <v>1585</v>
      </c>
      <c r="K87" s="55" t="s">
        <v>585</v>
      </c>
      <c r="L87" s="55" t="n">
        <v>0.6875</v>
      </c>
      <c r="M87" s="55" t="n">
        <v>0.6875</v>
      </c>
      <c r="N87" s="55" t="s">
        <v>141</v>
      </c>
      <c r="O87" s="55"/>
      <c r="P87" s="55"/>
      <c r="Q87" s="55"/>
      <c r="R87" s="55" t="n">
        <v>23</v>
      </c>
      <c r="S87" s="55" t="n">
        <v>82</v>
      </c>
      <c r="T87" s="55"/>
      <c r="U87" s="55" t="s">
        <v>584</v>
      </c>
      <c r="V87" s="55" t="s">
        <v>1586</v>
      </c>
      <c r="W87" s="55" t="s">
        <v>1500</v>
      </c>
      <c r="X87" s="4"/>
      <c r="Y87" s="4"/>
      <c r="Z87" s="4"/>
    </row>
    <row r="88" customFormat="false" ht="15.75" hidden="false" customHeight="true" outlineLevel="0" collapsed="false">
      <c r="A88" s="55" t="n">
        <v>1739</v>
      </c>
      <c r="B88" s="55" t="s">
        <v>516</v>
      </c>
      <c r="C88" s="55" t="s">
        <v>517</v>
      </c>
      <c r="D88" s="55" t="s">
        <v>1587</v>
      </c>
      <c r="E88" s="55" t="s">
        <v>1587</v>
      </c>
      <c r="F88" s="55" t="s">
        <v>1194</v>
      </c>
      <c r="G88" s="55" t="s">
        <v>1195</v>
      </c>
      <c r="H88" s="55" t="s">
        <v>1248</v>
      </c>
      <c r="I88" s="55" t="s">
        <v>505</v>
      </c>
      <c r="J88" s="55" t="s">
        <v>1588</v>
      </c>
      <c r="K88" s="55" t="s">
        <v>245</v>
      </c>
      <c r="L88" s="55" t="n">
        <v>0.3125</v>
      </c>
      <c r="M88" s="55" t="n">
        <v>1.25</v>
      </c>
      <c r="N88" s="55" t="s">
        <v>141</v>
      </c>
      <c r="O88" s="55"/>
      <c r="P88" s="55"/>
      <c r="Q88" s="55"/>
      <c r="R88" s="55" t="n">
        <v>33</v>
      </c>
      <c r="S88" s="55" t="n">
        <v>73</v>
      </c>
      <c r="T88" s="55"/>
      <c r="U88" s="55" t="s">
        <v>517</v>
      </c>
      <c r="V88" s="55" t="s">
        <v>1503</v>
      </c>
      <c r="W88" s="55" t="s">
        <v>1500</v>
      </c>
      <c r="X88" s="4"/>
      <c r="Y88" s="4"/>
      <c r="Z88" s="4"/>
    </row>
    <row r="89" customFormat="false" ht="15.75" hidden="false" customHeight="true" outlineLevel="0" collapsed="false">
      <c r="A89" s="55" t="n">
        <v>1724</v>
      </c>
      <c r="B89" s="55" t="s">
        <v>702</v>
      </c>
      <c r="C89" s="55" t="s">
        <v>703</v>
      </c>
      <c r="D89" s="55" t="s">
        <v>1589</v>
      </c>
      <c r="E89" s="55" t="s">
        <v>1589</v>
      </c>
      <c r="F89" s="55" t="s">
        <v>1194</v>
      </c>
      <c r="G89" s="55" t="s">
        <v>1195</v>
      </c>
      <c r="H89" s="55" t="s">
        <v>1248</v>
      </c>
      <c r="I89" s="55" t="s">
        <v>704</v>
      </c>
      <c r="J89" s="55" t="s">
        <v>1590</v>
      </c>
      <c r="K89" s="55" t="s">
        <v>705</v>
      </c>
      <c r="L89" s="55" t="n">
        <v>1.25</v>
      </c>
      <c r="M89" s="55" t="n">
        <v>1.75</v>
      </c>
      <c r="N89" s="55" t="s">
        <v>141</v>
      </c>
      <c r="O89" s="55"/>
      <c r="P89" s="55"/>
      <c r="Q89" s="55"/>
      <c r="R89" s="55" t="n">
        <v>52</v>
      </c>
      <c r="S89" s="55" t="n">
        <v>46</v>
      </c>
      <c r="T89" s="55"/>
      <c r="U89" s="55" t="s">
        <v>703</v>
      </c>
      <c r="V89" s="55" t="s">
        <v>1591</v>
      </c>
      <c r="W89" s="55" t="s">
        <v>1500</v>
      </c>
      <c r="X89" s="4"/>
      <c r="Y89" s="4"/>
      <c r="Z89" s="4"/>
    </row>
    <row r="90" customFormat="false" ht="15.75" hidden="false" customHeight="true" outlineLevel="0" collapsed="false">
      <c r="A90" s="55" t="n">
        <v>1725</v>
      </c>
      <c r="B90" s="55" t="s">
        <v>706</v>
      </c>
      <c r="C90" s="55" t="s">
        <v>707</v>
      </c>
      <c r="D90" s="55" t="s">
        <v>1592</v>
      </c>
      <c r="E90" s="55" t="s">
        <v>1592</v>
      </c>
      <c r="F90" s="55" t="s">
        <v>1194</v>
      </c>
      <c r="G90" s="55" t="s">
        <v>1195</v>
      </c>
      <c r="H90" s="55" t="s">
        <v>1248</v>
      </c>
      <c r="I90" s="55" t="s">
        <v>704</v>
      </c>
      <c r="J90" s="55" t="s">
        <v>1593</v>
      </c>
      <c r="K90" s="55" t="s">
        <v>606</v>
      </c>
      <c r="L90" s="55" t="n">
        <v>1.25</v>
      </c>
      <c r="M90" s="55" t="n">
        <v>2.5</v>
      </c>
      <c r="N90" s="55" t="s">
        <v>141</v>
      </c>
      <c r="O90" s="55"/>
      <c r="P90" s="55"/>
      <c r="Q90" s="55"/>
      <c r="R90" s="55" t="n">
        <v>52</v>
      </c>
      <c r="S90" s="55" t="n">
        <v>53</v>
      </c>
      <c r="T90" s="55"/>
      <c r="U90" s="55" t="s">
        <v>707</v>
      </c>
      <c r="V90" s="55" t="s">
        <v>1594</v>
      </c>
      <c r="W90" s="55" t="s">
        <v>1500</v>
      </c>
      <c r="X90" s="4"/>
      <c r="Y90" s="4"/>
      <c r="Z90" s="4"/>
    </row>
    <row r="91" customFormat="false" ht="15.75" hidden="false" customHeight="true" outlineLevel="0" collapsed="false">
      <c r="A91" s="55" t="n">
        <v>1726</v>
      </c>
      <c r="B91" s="55" t="s">
        <v>708</v>
      </c>
      <c r="C91" s="55" t="s">
        <v>709</v>
      </c>
      <c r="D91" s="55" t="s">
        <v>1595</v>
      </c>
      <c r="E91" s="55" t="s">
        <v>1595</v>
      </c>
      <c r="F91" s="55" t="s">
        <v>1194</v>
      </c>
      <c r="G91" s="55" t="s">
        <v>1195</v>
      </c>
      <c r="H91" s="55" t="s">
        <v>1248</v>
      </c>
      <c r="I91" s="55" t="s">
        <v>704</v>
      </c>
      <c r="J91" s="55" t="s">
        <v>1596</v>
      </c>
      <c r="K91" s="55" t="s">
        <v>293</v>
      </c>
      <c r="L91" s="55" t="n">
        <v>0.75</v>
      </c>
      <c r="M91" s="55" t="n">
        <v>2.5</v>
      </c>
      <c r="N91" s="55" t="s">
        <v>141</v>
      </c>
      <c r="O91" s="55"/>
      <c r="P91" s="55"/>
      <c r="Q91" s="55"/>
      <c r="R91" s="55" t="n">
        <v>52</v>
      </c>
      <c r="S91" s="55" t="n">
        <v>36</v>
      </c>
      <c r="T91" s="55"/>
      <c r="U91" s="55" t="s">
        <v>709</v>
      </c>
      <c r="V91" s="55" t="s">
        <v>1597</v>
      </c>
      <c r="W91" s="55" t="s">
        <v>1500</v>
      </c>
      <c r="X91" s="4"/>
      <c r="Y91" s="4"/>
      <c r="Z91" s="4"/>
    </row>
    <row r="92" customFormat="false" ht="15.75" hidden="false" customHeight="true" outlineLevel="0" collapsed="false">
      <c r="A92" s="55" t="n">
        <v>1727</v>
      </c>
      <c r="B92" s="55" t="s">
        <v>710</v>
      </c>
      <c r="C92" s="55" t="s">
        <v>711</v>
      </c>
      <c r="D92" s="55" t="s">
        <v>1598</v>
      </c>
      <c r="E92" s="55" t="s">
        <v>1598</v>
      </c>
      <c r="F92" s="55" t="s">
        <v>1194</v>
      </c>
      <c r="G92" s="55" t="s">
        <v>1195</v>
      </c>
      <c r="H92" s="55" t="s">
        <v>1248</v>
      </c>
      <c r="I92" s="55" t="s">
        <v>704</v>
      </c>
      <c r="J92" s="55" t="s">
        <v>1599</v>
      </c>
      <c r="K92" s="55" t="s">
        <v>606</v>
      </c>
      <c r="L92" s="55" t="n">
        <v>1.25</v>
      </c>
      <c r="M92" s="55" t="n">
        <v>2.5</v>
      </c>
      <c r="N92" s="55" t="s">
        <v>141</v>
      </c>
      <c r="O92" s="55"/>
      <c r="P92" s="55"/>
      <c r="Q92" s="55"/>
      <c r="R92" s="55" t="n">
        <v>52</v>
      </c>
      <c r="S92" s="55" t="n">
        <v>59</v>
      </c>
      <c r="T92" s="55"/>
      <c r="U92" s="55" t="s">
        <v>711</v>
      </c>
      <c r="V92" s="55" t="s">
        <v>1503</v>
      </c>
      <c r="W92" s="55" t="s">
        <v>1500</v>
      </c>
      <c r="X92" s="4"/>
      <c r="Y92" s="4"/>
      <c r="Z92" s="4"/>
    </row>
    <row r="93" customFormat="false" ht="15.75" hidden="false" customHeight="true" outlineLevel="0" collapsed="false">
      <c r="A93" s="55" t="n">
        <v>1745</v>
      </c>
      <c r="B93" s="55" t="s">
        <v>652</v>
      </c>
      <c r="C93" s="55" t="s">
        <v>653</v>
      </c>
      <c r="D93" s="55" t="s">
        <v>1600</v>
      </c>
      <c r="E93" s="55" t="s">
        <v>1600</v>
      </c>
      <c r="F93" s="55" t="s">
        <v>1194</v>
      </c>
      <c r="G93" s="55" t="s">
        <v>1195</v>
      </c>
      <c r="H93" s="55" t="s">
        <v>1248</v>
      </c>
      <c r="I93" s="55" t="s">
        <v>654</v>
      </c>
      <c r="J93" s="55" t="s">
        <v>1601</v>
      </c>
      <c r="K93" s="55" t="s">
        <v>655</v>
      </c>
      <c r="L93" s="55" t="n">
        <v>0.375</v>
      </c>
      <c r="M93" s="55" t="n">
        <v>2.875</v>
      </c>
      <c r="N93" s="55" t="s">
        <v>141</v>
      </c>
      <c r="O93" s="55"/>
      <c r="P93" s="55"/>
      <c r="Q93" s="55"/>
      <c r="R93" s="55" t="n">
        <v>29</v>
      </c>
      <c r="S93" s="55" t="n">
        <v>76</v>
      </c>
      <c r="T93" s="55"/>
      <c r="U93" s="55" t="s">
        <v>1602</v>
      </c>
      <c r="V93" s="55" t="s">
        <v>1603</v>
      </c>
      <c r="W93" s="55" t="s">
        <v>1500</v>
      </c>
      <c r="X93" s="4"/>
      <c r="Y93" s="4"/>
      <c r="Z93" s="4"/>
    </row>
    <row r="94" customFormat="false" ht="15.75" hidden="false" customHeight="true" outlineLevel="0" collapsed="false">
      <c r="A94" s="55" t="n">
        <v>1728</v>
      </c>
      <c r="B94" s="55" t="s">
        <v>712</v>
      </c>
      <c r="C94" s="55" t="s">
        <v>713</v>
      </c>
      <c r="D94" s="55" t="s">
        <v>1604</v>
      </c>
      <c r="E94" s="55" t="s">
        <v>1604</v>
      </c>
      <c r="F94" s="55" t="s">
        <v>1194</v>
      </c>
      <c r="G94" s="55" t="s">
        <v>1195</v>
      </c>
      <c r="H94" s="55" t="s">
        <v>1248</v>
      </c>
      <c r="I94" s="55" t="s">
        <v>704</v>
      </c>
      <c r="J94" s="55" t="s">
        <v>1605</v>
      </c>
      <c r="K94" s="55" t="s">
        <v>268</v>
      </c>
      <c r="L94" s="55" t="n">
        <v>1.25</v>
      </c>
      <c r="M94" s="55" t="n">
        <v>2.25</v>
      </c>
      <c r="N94" s="55" t="s">
        <v>141</v>
      </c>
      <c r="O94" s="55"/>
      <c r="P94" s="55"/>
      <c r="Q94" s="55"/>
      <c r="R94" s="55" t="n">
        <v>60</v>
      </c>
      <c r="S94" s="55" t="n">
        <v>70</v>
      </c>
      <c r="T94" s="55"/>
      <c r="U94" s="55" t="s">
        <v>713</v>
      </c>
      <c r="V94" s="55" t="s">
        <v>1503</v>
      </c>
      <c r="W94" s="55" t="s">
        <v>1500</v>
      </c>
      <c r="X94" s="4"/>
      <c r="Y94" s="4"/>
      <c r="Z94" s="4"/>
    </row>
    <row r="95" customFormat="false" ht="15.75" hidden="false" customHeight="true" outlineLevel="0" collapsed="false">
      <c r="A95" s="55" t="n">
        <v>1730</v>
      </c>
      <c r="B95" s="55" t="s">
        <v>717</v>
      </c>
      <c r="C95" s="55" t="s">
        <v>718</v>
      </c>
      <c r="D95" s="55" t="s">
        <v>1606</v>
      </c>
      <c r="E95" s="55" t="s">
        <v>1606</v>
      </c>
      <c r="F95" s="55" t="s">
        <v>1194</v>
      </c>
      <c r="G95" s="55" t="s">
        <v>1195</v>
      </c>
      <c r="H95" s="55" t="s">
        <v>1248</v>
      </c>
      <c r="I95" s="55" t="s">
        <v>704</v>
      </c>
      <c r="J95" s="55" t="s">
        <v>1607</v>
      </c>
      <c r="K95" s="55" t="s">
        <v>312</v>
      </c>
      <c r="L95" s="55" t="n">
        <v>0.75</v>
      </c>
      <c r="M95" s="55" t="n">
        <v>3.5</v>
      </c>
      <c r="N95" s="55" t="s">
        <v>141</v>
      </c>
      <c r="O95" s="55"/>
      <c r="P95" s="55"/>
      <c r="Q95" s="55"/>
      <c r="R95" s="55" t="n">
        <v>52</v>
      </c>
      <c r="S95" s="55" t="n">
        <v>34</v>
      </c>
      <c r="T95" s="55"/>
      <c r="U95" s="55" t="s">
        <v>718</v>
      </c>
      <c r="V95" s="55" t="s">
        <v>1608</v>
      </c>
      <c r="W95" s="55" t="s">
        <v>1500</v>
      </c>
      <c r="X95" s="4"/>
      <c r="Y95" s="4"/>
      <c r="Z95" s="4"/>
    </row>
    <row r="96" customFormat="false" ht="15.75" hidden="false" customHeight="true" outlineLevel="0" collapsed="false">
      <c r="A96" s="55" t="n">
        <v>1746</v>
      </c>
      <c r="B96" s="55" t="s">
        <v>656</v>
      </c>
      <c r="C96" s="55" t="s">
        <v>657</v>
      </c>
      <c r="D96" s="55" t="s">
        <v>1609</v>
      </c>
      <c r="E96" s="55" t="s">
        <v>1609</v>
      </c>
      <c r="F96" s="55" t="s">
        <v>1194</v>
      </c>
      <c r="G96" s="55" t="s">
        <v>1195</v>
      </c>
      <c r="H96" s="55" t="s">
        <v>1248</v>
      </c>
      <c r="I96" s="55" t="s">
        <v>654</v>
      </c>
      <c r="J96" s="55" t="s">
        <v>1610</v>
      </c>
      <c r="K96" s="55" t="s">
        <v>658</v>
      </c>
      <c r="L96" s="55" t="n">
        <v>0.625</v>
      </c>
      <c r="M96" s="55" t="n">
        <v>3</v>
      </c>
      <c r="N96" s="55" t="s">
        <v>141</v>
      </c>
      <c r="O96" s="55"/>
      <c r="P96" s="55"/>
      <c r="Q96" s="55"/>
      <c r="R96" s="55" t="n">
        <v>27</v>
      </c>
      <c r="S96" s="55" t="n">
        <v>54</v>
      </c>
      <c r="T96" s="55"/>
      <c r="U96" s="55" t="s">
        <v>1611</v>
      </c>
      <c r="V96" s="55" t="s">
        <v>1612</v>
      </c>
      <c r="W96" s="55" t="s">
        <v>1500</v>
      </c>
      <c r="X96" s="4"/>
      <c r="Y96" s="4"/>
      <c r="Z96" s="4"/>
    </row>
    <row r="97" customFormat="false" ht="15.75" hidden="false" customHeight="true" outlineLevel="0" collapsed="false">
      <c r="A97" s="55" t="n">
        <v>1731</v>
      </c>
      <c r="B97" s="55" t="s">
        <v>719</v>
      </c>
      <c r="C97" s="55" t="s">
        <v>720</v>
      </c>
      <c r="D97" s="55" t="s">
        <v>1613</v>
      </c>
      <c r="E97" s="55" t="s">
        <v>1613</v>
      </c>
      <c r="F97" s="55" t="s">
        <v>1194</v>
      </c>
      <c r="G97" s="55" t="s">
        <v>1195</v>
      </c>
      <c r="H97" s="55" t="s">
        <v>1248</v>
      </c>
      <c r="I97" s="55" t="s">
        <v>704</v>
      </c>
      <c r="J97" s="55" t="s">
        <v>1614</v>
      </c>
      <c r="K97" s="55" t="s">
        <v>716</v>
      </c>
      <c r="L97" s="55" t="n">
        <v>1.25</v>
      </c>
      <c r="M97" s="55" t="n">
        <v>3.5</v>
      </c>
      <c r="N97" s="55" t="s">
        <v>141</v>
      </c>
      <c r="O97" s="55"/>
      <c r="P97" s="55"/>
      <c r="Q97" s="55"/>
      <c r="R97" s="55" t="n">
        <v>52</v>
      </c>
      <c r="S97" s="55" t="n">
        <v>28</v>
      </c>
      <c r="T97" s="55"/>
      <c r="U97" s="55" t="s">
        <v>720</v>
      </c>
      <c r="V97" s="55" t="s">
        <v>1615</v>
      </c>
      <c r="W97" s="55" t="s">
        <v>1500</v>
      </c>
      <c r="X97" s="4"/>
      <c r="Y97" s="4"/>
      <c r="Z97" s="4"/>
    </row>
    <row r="98" customFormat="false" ht="15.75" hidden="false" customHeight="true" outlineLevel="0" collapsed="false">
      <c r="A98" s="55" t="n">
        <v>1732</v>
      </c>
      <c r="B98" s="55" t="s">
        <v>721</v>
      </c>
      <c r="C98" s="55" t="s">
        <v>722</v>
      </c>
      <c r="D98" s="55" t="s">
        <v>1616</v>
      </c>
      <c r="E98" s="55" t="s">
        <v>1616</v>
      </c>
      <c r="F98" s="55" t="s">
        <v>1194</v>
      </c>
      <c r="G98" s="55" t="s">
        <v>1195</v>
      </c>
      <c r="H98" s="55" t="s">
        <v>1248</v>
      </c>
      <c r="I98" s="55" t="s">
        <v>704</v>
      </c>
      <c r="J98" s="55" t="s">
        <v>1617</v>
      </c>
      <c r="K98" s="55" t="s">
        <v>723</v>
      </c>
      <c r="L98" s="55" t="n">
        <v>0.75</v>
      </c>
      <c r="M98" s="55" t="n">
        <v>5.5</v>
      </c>
      <c r="N98" s="55" t="s">
        <v>141</v>
      </c>
      <c r="O98" s="55"/>
      <c r="P98" s="55"/>
      <c r="Q98" s="55"/>
      <c r="R98" s="55" t="n">
        <v>52</v>
      </c>
      <c r="S98" s="55" t="n">
        <v>60</v>
      </c>
      <c r="T98" s="55"/>
      <c r="U98" s="55" t="s">
        <v>722</v>
      </c>
      <c r="V98" s="55" t="s">
        <v>1618</v>
      </c>
      <c r="W98" s="55" t="s">
        <v>1500</v>
      </c>
      <c r="X98" s="4"/>
      <c r="Y98" s="4"/>
      <c r="Z98" s="4"/>
    </row>
    <row r="99" customFormat="false" ht="15.75" hidden="false" customHeight="true" outlineLevel="0" collapsed="false">
      <c r="A99" s="55" t="n">
        <v>1733</v>
      </c>
      <c r="B99" s="55" t="s">
        <v>724</v>
      </c>
      <c r="C99" s="55" t="s">
        <v>725</v>
      </c>
      <c r="D99" s="55" t="s">
        <v>1619</v>
      </c>
      <c r="E99" s="55" t="s">
        <v>1619</v>
      </c>
      <c r="F99" s="55" t="s">
        <v>1194</v>
      </c>
      <c r="G99" s="55" t="s">
        <v>1195</v>
      </c>
      <c r="H99" s="55" t="s">
        <v>1248</v>
      </c>
      <c r="I99" s="55" t="s">
        <v>704</v>
      </c>
      <c r="J99" s="55" t="s">
        <v>1620</v>
      </c>
      <c r="K99" s="55" t="s">
        <v>726</v>
      </c>
      <c r="L99" s="55" t="n">
        <v>1.25</v>
      </c>
      <c r="M99" s="55" t="n">
        <v>5.5</v>
      </c>
      <c r="N99" s="55" t="s">
        <v>141</v>
      </c>
      <c r="O99" s="55"/>
      <c r="P99" s="55"/>
      <c r="Q99" s="55"/>
      <c r="R99" s="55" t="n">
        <v>52</v>
      </c>
      <c r="S99" s="55" t="n">
        <v>49</v>
      </c>
      <c r="T99" s="55"/>
      <c r="U99" s="55" t="s">
        <v>725</v>
      </c>
      <c r="V99" s="55" t="s">
        <v>1621</v>
      </c>
      <c r="W99" s="55" t="s">
        <v>1500</v>
      </c>
      <c r="X99" s="4"/>
      <c r="Y99" s="4"/>
      <c r="Z99" s="4"/>
    </row>
    <row r="100" customFormat="false" ht="15.75" hidden="false" customHeight="true" outlineLevel="0" collapsed="false">
      <c r="A100" s="55" t="n">
        <v>1741</v>
      </c>
      <c r="B100" s="55" t="s">
        <v>520</v>
      </c>
      <c r="C100" s="55" t="s">
        <v>521</v>
      </c>
      <c r="D100" s="55" t="s">
        <v>1622</v>
      </c>
      <c r="E100" s="55" t="s">
        <v>1622</v>
      </c>
      <c r="F100" s="55" t="s">
        <v>1194</v>
      </c>
      <c r="G100" s="55" t="s">
        <v>1195</v>
      </c>
      <c r="H100" s="55" t="s">
        <v>1248</v>
      </c>
      <c r="I100" s="55" t="s">
        <v>505</v>
      </c>
      <c r="J100" s="55" t="s">
        <v>1623</v>
      </c>
      <c r="K100" s="55" t="s">
        <v>245</v>
      </c>
      <c r="L100" s="55" t="n">
        <v>0.3125</v>
      </c>
      <c r="M100" s="55" t="n">
        <v>1.25</v>
      </c>
      <c r="N100" s="55" t="s">
        <v>141</v>
      </c>
      <c r="O100" s="55"/>
      <c r="P100" s="55"/>
      <c r="Q100" s="55"/>
      <c r="R100" s="55" t="n">
        <v>33</v>
      </c>
      <c r="S100" s="55" t="n">
        <v>176</v>
      </c>
      <c r="T100" s="55"/>
      <c r="U100" s="55" t="s">
        <v>1624</v>
      </c>
      <c r="V100" s="55" t="s">
        <v>1625</v>
      </c>
      <c r="W100" s="55" t="s">
        <v>1500</v>
      </c>
      <c r="X100" s="4"/>
      <c r="Y100" s="4"/>
      <c r="Z100" s="4"/>
    </row>
    <row r="101" customFormat="false" ht="15.75" hidden="false" customHeight="true" outlineLevel="0" collapsed="false">
      <c r="A101" s="55" t="n">
        <v>1734</v>
      </c>
      <c r="B101" s="55" t="s">
        <v>727</v>
      </c>
      <c r="C101" s="55" t="s">
        <v>728</v>
      </c>
      <c r="D101" s="55" t="s">
        <v>1626</v>
      </c>
      <c r="E101" s="55" t="s">
        <v>1626</v>
      </c>
      <c r="F101" s="55" t="s">
        <v>1194</v>
      </c>
      <c r="G101" s="55" t="s">
        <v>1195</v>
      </c>
      <c r="H101" s="55" t="s">
        <v>1248</v>
      </c>
      <c r="I101" s="55" t="s">
        <v>704</v>
      </c>
      <c r="J101" s="55" t="s">
        <v>1627</v>
      </c>
      <c r="K101" s="55" t="s">
        <v>416</v>
      </c>
      <c r="L101" s="55" t="n">
        <v>0.75</v>
      </c>
      <c r="M101" s="55" t="n">
        <v>7.25</v>
      </c>
      <c r="N101" s="55" t="s">
        <v>141</v>
      </c>
      <c r="O101" s="55"/>
      <c r="P101" s="55"/>
      <c r="Q101" s="55"/>
      <c r="R101" s="55" t="n">
        <v>52</v>
      </c>
      <c r="S101" s="55" t="n">
        <v>60</v>
      </c>
      <c r="T101" s="55"/>
      <c r="U101" s="55" t="s">
        <v>728</v>
      </c>
      <c r="V101" s="55" t="s">
        <v>1628</v>
      </c>
      <c r="W101" s="55" t="s">
        <v>1500</v>
      </c>
      <c r="X101" s="4"/>
      <c r="Y101" s="4"/>
      <c r="Z101" s="4"/>
    </row>
    <row r="102" customFormat="false" ht="15.75" hidden="false" customHeight="true" outlineLevel="0" collapsed="false">
      <c r="A102" s="55" t="n">
        <v>1735</v>
      </c>
      <c r="B102" s="55" t="s">
        <v>507</v>
      </c>
      <c r="C102" s="55" t="s">
        <v>508</v>
      </c>
      <c r="D102" s="55" t="s">
        <v>1629</v>
      </c>
      <c r="E102" s="55" t="s">
        <v>1629</v>
      </c>
      <c r="F102" s="55" t="s">
        <v>1194</v>
      </c>
      <c r="G102" s="55" t="s">
        <v>1195</v>
      </c>
      <c r="H102" s="55" t="s">
        <v>1248</v>
      </c>
      <c r="I102" s="55" t="s">
        <v>505</v>
      </c>
      <c r="J102" s="55" t="s">
        <v>1630</v>
      </c>
      <c r="K102" s="55" t="s">
        <v>509</v>
      </c>
      <c r="L102" s="55" t="n">
        <v>0.3125</v>
      </c>
      <c r="M102" s="55" t="n">
        <v>1.25</v>
      </c>
      <c r="N102" s="55" t="s">
        <v>141</v>
      </c>
      <c r="O102" s="55"/>
      <c r="P102" s="55"/>
      <c r="Q102" s="55"/>
      <c r="R102" s="55" t="n">
        <v>33</v>
      </c>
      <c r="S102" s="55" t="n">
        <v>140</v>
      </c>
      <c r="T102" s="55"/>
      <c r="U102" s="55" t="s">
        <v>508</v>
      </c>
      <c r="V102" s="55" t="s">
        <v>1631</v>
      </c>
      <c r="W102" s="55" t="s">
        <v>1500</v>
      </c>
      <c r="X102" s="4"/>
      <c r="Y102" s="4"/>
      <c r="Z102" s="4"/>
    </row>
    <row r="103" customFormat="false" ht="15.75" hidden="false" customHeight="true" outlineLevel="0" collapsed="false">
      <c r="A103" s="55" t="n">
        <v>1740</v>
      </c>
      <c r="B103" s="55" t="s">
        <v>518</v>
      </c>
      <c r="C103" s="55" t="s">
        <v>519</v>
      </c>
      <c r="D103" s="55" t="s">
        <v>1632</v>
      </c>
      <c r="E103" s="55" t="s">
        <v>1632</v>
      </c>
      <c r="F103" s="55" t="s">
        <v>1194</v>
      </c>
      <c r="G103" s="55" t="s">
        <v>1195</v>
      </c>
      <c r="H103" s="55" t="s">
        <v>1248</v>
      </c>
      <c r="I103" s="55" t="s">
        <v>505</v>
      </c>
      <c r="J103" s="55" t="s">
        <v>1633</v>
      </c>
      <c r="K103" s="55" t="s">
        <v>252</v>
      </c>
      <c r="L103" s="55" t="n">
        <v>0.3125</v>
      </c>
      <c r="M103" s="55" t="n">
        <v>1.625</v>
      </c>
      <c r="N103" s="55" t="s">
        <v>141</v>
      </c>
      <c r="O103" s="55"/>
      <c r="P103" s="55"/>
      <c r="Q103" s="55"/>
      <c r="R103" s="55" t="n">
        <v>33</v>
      </c>
      <c r="S103" s="55" t="n">
        <v>56</v>
      </c>
      <c r="T103" s="55"/>
      <c r="U103" s="55" t="s">
        <v>519</v>
      </c>
      <c r="V103" s="55" t="s">
        <v>1634</v>
      </c>
      <c r="W103" s="55" t="s">
        <v>1500</v>
      </c>
      <c r="X103" s="4"/>
      <c r="Y103" s="4"/>
      <c r="Z103" s="4"/>
    </row>
    <row r="104" customFormat="false" ht="15.75" hidden="false" customHeight="true" outlineLevel="0" collapsed="false">
      <c r="A104" s="55" t="n">
        <v>1736</v>
      </c>
      <c r="B104" s="55" t="s">
        <v>510</v>
      </c>
      <c r="C104" s="55" t="s">
        <v>511</v>
      </c>
      <c r="D104" s="55" t="s">
        <v>1635</v>
      </c>
      <c r="E104" s="55" t="s">
        <v>1635</v>
      </c>
      <c r="F104" s="55" t="s">
        <v>1194</v>
      </c>
      <c r="G104" s="55" t="s">
        <v>1195</v>
      </c>
      <c r="H104" s="55" t="s">
        <v>1248</v>
      </c>
      <c r="I104" s="55" t="s">
        <v>505</v>
      </c>
      <c r="J104" s="55" t="s">
        <v>1636</v>
      </c>
      <c r="K104" s="55" t="s">
        <v>512</v>
      </c>
      <c r="L104" s="55" t="n">
        <v>0.3125</v>
      </c>
      <c r="M104" s="55" t="n">
        <v>1.625</v>
      </c>
      <c r="N104" s="55" t="s">
        <v>141</v>
      </c>
      <c r="O104" s="55"/>
      <c r="P104" s="55"/>
      <c r="Q104" s="55"/>
      <c r="R104" s="55" t="n">
        <v>33</v>
      </c>
      <c r="S104" s="55" t="n">
        <v>83</v>
      </c>
      <c r="T104" s="55"/>
      <c r="U104" s="55" t="s">
        <v>511</v>
      </c>
      <c r="V104" s="55" t="s">
        <v>1637</v>
      </c>
      <c r="W104" s="55" t="s">
        <v>1500</v>
      </c>
      <c r="X104" s="4"/>
      <c r="Y104" s="4"/>
      <c r="Z104" s="4"/>
    </row>
    <row r="105" customFormat="false" ht="15.75" hidden="false" customHeight="true" outlineLevel="0" collapsed="false">
      <c r="A105" s="55" t="n">
        <v>1742</v>
      </c>
      <c r="B105" s="55" t="s">
        <v>522</v>
      </c>
      <c r="C105" s="55" t="s">
        <v>523</v>
      </c>
      <c r="D105" s="55" t="s">
        <v>1638</v>
      </c>
      <c r="E105" s="55" t="s">
        <v>1638</v>
      </c>
      <c r="F105" s="55" t="s">
        <v>1194</v>
      </c>
      <c r="G105" s="55" t="s">
        <v>1195</v>
      </c>
      <c r="H105" s="55" t="s">
        <v>1248</v>
      </c>
      <c r="I105" s="55" t="s">
        <v>505</v>
      </c>
      <c r="J105" s="55" t="s">
        <v>1639</v>
      </c>
      <c r="K105" s="55" t="s">
        <v>241</v>
      </c>
      <c r="L105" s="55" t="n">
        <v>0.5</v>
      </c>
      <c r="M105" s="55" t="n">
        <v>1.5</v>
      </c>
      <c r="N105" s="55" t="s">
        <v>141</v>
      </c>
      <c r="O105" s="55"/>
      <c r="P105" s="55"/>
      <c r="Q105" s="55"/>
      <c r="R105" s="55" t="n">
        <v>44</v>
      </c>
      <c r="S105" s="55" t="n">
        <v>217</v>
      </c>
      <c r="T105" s="55"/>
      <c r="U105" s="55" t="s">
        <v>1640</v>
      </c>
      <c r="V105" s="55" t="s">
        <v>1641</v>
      </c>
      <c r="W105" s="55" t="s">
        <v>1500</v>
      </c>
      <c r="X105" s="4"/>
      <c r="Y105" s="4"/>
      <c r="Z105" s="4"/>
    </row>
    <row r="106" customFormat="false" ht="15.75" hidden="false" customHeight="true" outlineLevel="0" collapsed="false">
      <c r="A106" s="55" t="n">
        <v>1954</v>
      </c>
      <c r="B106" s="55" t="s">
        <v>396</v>
      </c>
      <c r="C106" s="55" t="s">
        <v>397</v>
      </c>
      <c r="D106" s="55" t="s">
        <v>1642</v>
      </c>
      <c r="E106" s="55" t="s">
        <v>1642</v>
      </c>
      <c r="F106" s="55" t="s">
        <v>1194</v>
      </c>
      <c r="G106" s="55" t="s">
        <v>1195</v>
      </c>
      <c r="H106" s="55" t="s">
        <v>1248</v>
      </c>
      <c r="I106" s="55" t="s">
        <v>379</v>
      </c>
      <c r="J106" s="55" t="s">
        <v>1643</v>
      </c>
      <c r="K106" s="55" t="s">
        <v>312</v>
      </c>
      <c r="L106" s="55" t="n">
        <v>0.75</v>
      </c>
      <c r="M106" s="55" t="n">
        <v>3.5</v>
      </c>
      <c r="N106" s="55" t="s">
        <v>141</v>
      </c>
      <c r="O106" s="55"/>
      <c r="P106" s="55"/>
      <c r="Q106" s="55"/>
      <c r="R106" s="55" t="n">
        <v>16</v>
      </c>
      <c r="S106" s="55" t="n">
        <v>247</v>
      </c>
      <c r="T106" s="55"/>
      <c r="U106" s="55" t="s">
        <v>397</v>
      </c>
      <c r="V106" s="55" t="s">
        <v>1644</v>
      </c>
      <c r="W106" s="55" t="s">
        <v>1500</v>
      </c>
      <c r="X106" s="4"/>
      <c r="Y106" s="4"/>
      <c r="Z106" s="4"/>
    </row>
    <row r="107" customFormat="false" ht="15.75" hidden="false" customHeight="true" outlineLevel="0" collapsed="false">
      <c r="A107" s="55" t="n">
        <v>1719</v>
      </c>
      <c r="B107" s="55" t="s">
        <v>487</v>
      </c>
      <c r="C107" s="55" t="s">
        <v>488</v>
      </c>
      <c r="D107" s="55" t="s">
        <v>1645</v>
      </c>
      <c r="E107" s="55" t="s">
        <v>1645</v>
      </c>
      <c r="F107" s="55" t="s">
        <v>1194</v>
      </c>
      <c r="G107" s="55" t="s">
        <v>1195</v>
      </c>
      <c r="H107" s="55" t="s">
        <v>1248</v>
      </c>
      <c r="I107" s="55" t="s">
        <v>420</v>
      </c>
      <c r="J107" s="55" t="s">
        <v>1646</v>
      </c>
      <c r="K107" s="55" t="s">
        <v>489</v>
      </c>
      <c r="L107" s="55" t="n">
        <v>1.3125</v>
      </c>
      <c r="M107" s="55" t="n">
        <v>2.5</v>
      </c>
      <c r="N107" s="55" t="s">
        <v>141</v>
      </c>
      <c r="O107" s="55"/>
      <c r="P107" s="55"/>
      <c r="Q107" s="55"/>
      <c r="R107" s="55" t="n">
        <v>33</v>
      </c>
      <c r="S107" s="55" t="n">
        <v>53</v>
      </c>
      <c r="T107" s="55"/>
      <c r="U107" s="55" t="s">
        <v>488</v>
      </c>
      <c r="V107" s="55" t="s">
        <v>1647</v>
      </c>
      <c r="W107" s="55" t="s">
        <v>1500</v>
      </c>
      <c r="X107" s="4"/>
      <c r="Y107" s="4"/>
      <c r="Z107" s="4"/>
    </row>
    <row r="108" customFormat="false" ht="15.75" hidden="false" customHeight="true" outlineLevel="0" collapsed="false">
      <c r="A108" s="55" t="n">
        <v>1717</v>
      </c>
      <c r="B108" s="55" t="s">
        <v>481</v>
      </c>
      <c r="C108" s="55" t="s">
        <v>482</v>
      </c>
      <c r="D108" s="55" t="s">
        <v>1648</v>
      </c>
      <c r="E108" s="55" t="s">
        <v>1648</v>
      </c>
      <c r="F108" s="55" t="s">
        <v>1194</v>
      </c>
      <c r="G108" s="55" t="s">
        <v>1195</v>
      </c>
      <c r="H108" s="55" t="s">
        <v>1248</v>
      </c>
      <c r="I108" s="55" t="s">
        <v>420</v>
      </c>
      <c r="J108" s="55" t="s">
        <v>1649</v>
      </c>
      <c r="K108" s="55" t="s">
        <v>483</v>
      </c>
      <c r="L108" s="55" t="n">
        <v>1.25</v>
      </c>
      <c r="M108" s="55" t="n">
        <v>2.25</v>
      </c>
      <c r="N108" s="55" t="s">
        <v>141</v>
      </c>
      <c r="O108" s="55"/>
      <c r="P108" s="55"/>
      <c r="Q108" s="55"/>
      <c r="R108" s="55" t="n">
        <v>33</v>
      </c>
      <c r="S108" s="55" t="n">
        <v>79</v>
      </c>
      <c r="T108" s="55"/>
      <c r="U108" s="55" t="s">
        <v>482</v>
      </c>
      <c r="V108" s="55" t="s">
        <v>1503</v>
      </c>
      <c r="W108" s="55" t="s">
        <v>1500</v>
      </c>
      <c r="X108" s="4"/>
      <c r="Y108" s="4"/>
      <c r="Z108" s="4"/>
    </row>
    <row r="109" customFormat="false" ht="15.75" hidden="false" customHeight="true" outlineLevel="0" collapsed="false">
      <c r="A109" s="55" t="n">
        <v>1750</v>
      </c>
      <c r="B109" s="55" t="s">
        <v>668</v>
      </c>
      <c r="C109" s="55" t="s">
        <v>669</v>
      </c>
      <c r="D109" s="55" t="s">
        <v>1650</v>
      </c>
      <c r="E109" s="55" t="s">
        <v>1650</v>
      </c>
      <c r="F109" s="55" t="s">
        <v>1194</v>
      </c>
      <c r="G109" s="55" t="s">
        <v>1195</v>
      </c>
      <c r="H109" s="55" t="s">
        <v>1248</v>
      </c>
      <c r="I109" s="55" t="s">
        <v>654</v>
      </c>
      <c r="J109" s="55" t="s">
        <v>1651</v>
      </c>
      <c r="K109" s="55" t="s">
        <v>670</v>
      </c>
      <c r="L109" s="55" t="n">
        <v>0.625</v>
      </c>
      <c r="M109" s="55" t="n">
        <v>5</v>
      </c>
      <c r="N109" s="55" t="s">
        <v>141</v>
      </c>
      <c r="O109" s="55"/>
      <c r="P109" s="55"/>
      <c r="Q109" s="55"/>
      <c r="R109" s="55" t="n">
        <v>25</v>
      </c>
      <c r="S109" s="55" t="n">
        <v>181</v>
      </c>
      <c r="T109" s="55"/>
      <c r="U109" s="55" t="s">
        <v>669</v>
      </c>
      <c r="V109" s="55" t="s">
        <v>1652</v>
      </c>
      <c r="W109" s="55" t="s">
        <v>1500</v>
      </c>
      <c r="X109" s="4"/>
      <c r="Y109" s="4"/>
      <c r="Z109" s="4"/>
    </row>
    <row r="110" customFormat="false" ht="15.75" hidden="false" customHeight="true" outlineLevel="0" collapsed="false">
      <c r="A110" s="55" t="n">
        <v>1702</v>
      </c>
      <c r="B110" s="55" t="s">
        <v>586</v>
      </c>
      <c r="C110" s="55" t="s">
        <v>587</v>
      </c>
      <c r="D110" s="55" t="s">
        <v>1653</v>
      </c>
      <c r="E110" s="55" t="s">
        <v>1653</v>
      </c>
      <c r="F110" s="55" t="s">
        <v>1194</v>
      </c>
      <c r="G110" s="55" t="s">
        <v>1195</v>
      </c>
      <c r="H110" s="55" t="s">
        <v>1248</v>
      </c>
      <c r="I110" s="55" t="s">
        <v>578</v>
      </c>
      <c r="J110" s="55" t="s">
        <v>1654</v>
      </c>
      <c r="K110" s="55" t="s">
        <v>588</v>
      </c>
      <c r="L110" s="55" t="n">
        <v>0.5</v>
      </c>
      <c r="M110" s="55" t="n">
        <v>0.5</v>
      </c>
      <c r="N110" s="55" t="s">
        <v>141</v>
      </c>
      <c r="O110" s="55"/>
      <c r="P110" s="55"/>
      <c r="Q110" s="55"/>
      <c r="R110" s="55" t="n">
        <v>23</v>
      </c>
      <c r="S110" s="55" t="n">
        <v>95</v>
      </c>
      <c r="T110" s="55"/>
      <c r="U110" s="55" t="s">
        <v>587</v>
      </c>
      <c r="V110" s="55" t="s">
        <v>1655</v>
      </c>
      <c r="W110" s="55" t="s">
        <v>1500</v>
      </c>
      <c r="X110" s="4"/>
      <c r="Y110" s="4"/>
      <c r="Z110" s="4"/>
    </row>
    <row r="111" customFormat="false" ht="15.75" hidden="false" customHeight="true" outlineLevel="0" collapsed="false">
      <c r="A111" s="55" t="n">
        <v>1703</v>
      </c>
      <c r="B111" s="55" t="s">
        <v>589</v>
      </c>
      <c r="C111" s="55" t="s">
        <v>590</v>
      </c>
      <c r="D111" s="55" t="s">
        <v>1656</v>
      </c>
      <c r="E111" s="55" t="s">
        <v>1656</v>
      </c>
      <c r="F111" s="55" t="s">
        <v>1194</v>
      </c>
      <c r="G111" s="55" t="s">
        <v>1195</v>
      </c>
      <c r="H111" s="55" t="s">
        <v>1248</v>
      </c>
      <c r="I111" s="55" t="s">
        <v>578</v>
      </c>
      <c r="J111" s="55" t="s">
        <v>1657</v>
      </c>
      <c r="K111" s="55" t="s">
        <v>582</v>
      </c>
      <c r="L111" s="55" t="n">
        <v>0.75</v>
      </c>
      <c r="M111" s="55" t="n">
        <v>0.75</v>
      </c>
      <c r="N111" s="55" t="s">
        <v>141</v>
      </c>
      <c r="O111" s="55"/>
      <c r="P111" s="55"/>
      <c r="Q111" s="55"/>
      <c r="R111" s="55" t="n">
        <v>23</v>
      </c>
      <c r="S111" s="55" t="n">
        <v>180</v>
      </c>
      <c r="T111" s="55"/>
      <c r="U111" s="55" t="s">
        <v>590</v>
      </c>
      <c r="V111" s="55" t="s">
        <v>1658</v>
      </c>
      <c r="W111" s="55" t="s">
        <v>1500</v>
      </c>
      <c r="X111" s="4"/>
      <c r="Y111" s="4"/>
      <c r="Z111" s="4"/>
    </row>
    <row r="112" customFormat="false" ht="15.75" hidden="false" customHeight="true" outlineLevel="0" collapsed="false">
      <c r="A112" s="55" t="n">
        <v>1704</v>
      </c>
      <c r="B112" s="55" t="s">
        <v>591</v>
      </c>
      <c r="C112" s="55" t="s">
        <v>592</v>
      </c>
      <c r="D112" s="55" t="s">
        <v>1659</v>
      </c>
      <c r="E112" s="55" t="s">
        <v>1659</v>
      </c>
      <c r="F112" s="55" t="s">
        <v>1194</v>
      </c>
      <c r="G112" s="55" t="s">
        <v>1195</v>
      </c>
      <c r="H112" s="55" t="s">
        <v>1248</v>
      </c>
      <c r="I112" s="55" t="s">
        <v>578</v>
      </c>
      <c r="J112" s="55" t="s">
        <v>1660</v>
      </c>
      <c r="K112" s="55" t="s">
        <v>593</v>
      </c>
      <c r="L112" s="55" t="n">
        <v>1</v>
      </c>
      <c r="M112" s="55" t="n">
        <v>1</v>
      </c>
      <c r="N112" s="55" t="s">
        <v>141</v>
      </c>
      <c r="O112" s="55"/>
      <c r="P112" s="55"/>
      <c r="Q112" s="55"/>
      <c r="R112" s="55" t="n">
        <v>23</v>
      </c>
      <c r="S112" s="55" t="n">
        <v>114</v>
      </c>
      <c r="T112" s="55"/>
      <c r="U112" s="55" t="s">
        <v>592</v>
      </c>
      <c r="V112" s="55" t="s">
        <v>1661</v>
      </c>
      <c r="W112" s="55" t="s">
        <v>1500</v>
      </c>
      <c r="X112" s="4"/>
      <c r="Y112" s="4"/>
      <c r="Z112" s="4"/>
    </row>
    <row r="113" customFormat="false" ht="15.75" hidden="false" customHeight="true" outlineLevel="0" collapsed="false">
      <c r="A113" s="55" t="n">
        <v>1705</v>
      </c>
      <c r="B113" s="55" t="s">
        <v>679</v>
      </c>
      <c r="C113" s="55" t="s">
        <v>680</v>
      </c>
      <c r="D113" s="55" t="s">
        <v>1662</v>
      </c>
      <c r="E113" s="55" t="s">
        <v>1662</v>
      </c>
      <c r="F113" s="55" t="s">
        <v>1194</v>
      </c>
      <c r="G113" s="55" t="s">
        <v>1195</v>
      </c>
      <c r="H113" s="55" t="s">
        <v>1248</v>
      </c>
      <c r="I113" s="55" t="s">
        <v>681</v>
      </c>
      <c r="J113" s="55" t="s">
        <v>1663</v>
      </c>
      <c r="K113" s="55" t="s">
        <v>682</v>
      </c>
      <c r="L113" s="55" t="n">
        <v>0.5</v>
      </c>
      <c r="M113" s="55" t="n">
        <v>1.4375</v>
      </c>
      <c r="N113" s="55" t="s">
        <v>141</v>
      </c>
      <c r="O113" s="55"/>
      <c r="P113" s="55"/>
      <c r="Q113" s="55"/>
      <c r="R113" s="55" t="n">
        <v>46</v>
      </c>
      <c r="S113" s="55" t="n">
        <v>71</v>
      </c>
      <c r="T113" s="55"/>
      <c r="U113" s="55" t="s">
        <v>680</v>
      </c>
      <c r="V113" s="55" t="s">
        <v>1503</v>
      </c>
      <c r="W113" s="55" t="s">
        <v>1500</v>
      </c>
      <c r="X113" s="4"/>
      <c r="Y113" s="4"/>
      <c r="Z113" s="4"/>
    </row>
    <row r="114" customFormat="false" ht="15.75" hidden="false" customHeight="true" outlineLevel="0" collapsed="false">
      <c r="A114" s="55" t="n">
        <v>1950</v>
      </c>
      <c r="B114" s="55" t="s">
        <v>646</v>
      </c>
      <c r="C114" s="55" t="s">
        <v>647</v>
      </c>
      <c r="D114" s="55" t="s">
        <v>1664</v>
      </c>
      <c r="E114" s="55" t="s">
        <v>1664</v>
      </c>
      <c r="F114" s="55" t="s">
        <v>1194</v>
      </c>
      <c r="G114" s="55" t="s">
        <v>1195</v>
      </c>
      <c r="H114" s="55" t="s">
        <v>1248</v>
      </c>
      <c r="I114" s="55" t="s">
        <v>638</v>
      </c>
      <c r="J114" s="55" t="s">
        <v>1665</v>
      </c>
      <c r="K114" s="55" t="s">
        <v>648</v>
      </c>
      <c r="L114" s="55" t="n">
        <v>1.0625</v>
      </c>
      <c r="M114" s="55" t="n">
        <v>4.5</v>
      </c>
      <c r="N114" s="55"/>
      <c r="O114" s="55"/>
      <c r="P114" s="55"/>
      <c r="Q114" s="55"/>
      <c r="R114" s="55" t="n">
        <v>7</v>
      </c>
      <c r="S114" s="55" t="n">
        <v>191</v>
      </c>
      <c r="T114" s="55"/>
      <c r="U114" s="55" t="s">
        <v>647</v>
      </c>
      <c r="V114" s="55" t="s">
        <v>1666</v>
      </c>
      <c r="W114" s="55" t="s">
        <v>1500</v>
      </c>
      <c r="X114" s="4"/>
      <c r="Y114" s="4"/>
      <c r="Z114" s="4"/>
    </row>
    <row r="115" customFormat="false" ht="15.75" hidden="false" customHeight="true" outlineLevel="0" collapsed="false">
      <c r="A115" s="55" t="n">
        <v>1707</v>
      </c>
      <c r="B115" s="55" t="s">
        <v>686</v>
      </c>
      <c r="C115" s="55" t="s">
        <v>687</v>
      </c>
      <c r="D115" s="55" t="s">
        <v>1667</v>
      </c>
      <c r="E115" s="55" t="s">
        <v>1667</v>
      </c>
      <c r="F115" s="55" t="s">
        <v>1194</v>
      </c>
      <c r="G115" s="55" t="s">
        <v>1195</v>
      </c>
      <c r="H115" s="55" t="s">
        <v>1248</v>
      </c>
      <c r="I115" s="55" t="s">
        <v>681</v>
      </c>
      <c r="J115" s="55" t="s">
        <v>1668</v>
      </c>
      <c r="K115" s="55" t="s">
        <v>688</v>
      </c>
      <c r="L115" s="55" t="n">
        <v>0.5</v>
      </c>
      <c r="M115" s="55" t="n">
        <v>1.1875</v>
      </c>
      <c r="N115" s="55" t="s">
        <v>141</v>
      </c>
      <c r="O115" s="55"/>
      <c r="P115" s="55"/>
      <c r="Q115" s="55"/>
      <c r="R115" s="55" t="n">
        <v>46</v>
      </c>
      <c r="S115" s="55" t="n">
        <v>145</v>
      </c>
      <c r="T115" s="55"/>
      <c r="U115" s="55" t="s">
        <v>687</v>
      </c>
      <c r="V115" s="55" t="s">
        <v>1503</v>
      </c>
      <c r="W115" s="55" t="s">
        <v>1500</v>
      </c>
      <c r="X115" s="4"/>
      <c r="Y115" s="4"/>
      <c r="Z115" s="4"/>
    </row>
    <row r="116" customFormat="false" ht="15.75" hidden="false" customHeight="true" outlineLevel="0" collapsed="false">
      <c r="A116" s="55" t="n">
        <v>1747</v>
      </c>
      <c r="B116" s="55" t="s">
        <v>659</v>
      </c>
      <c r="C116" s="55" t="s">
        <v>660</v>
      </c>
      <c r="D116" s="55" t="s">
        <v>1669</v>
      </c>
      <c r="E116" s="55" t="s">
        <v>1669</v>
      </c>
      <c r="F116" s="55" t="s">
        <v>1194</v>
      </c>
      <c r="G116" s="55" t="s">
        <v>1195</v>
      </c>
      <c r="H116" s="55" t="s">
        <v>1248</v>
      </c>
      <c r="I116" s="55" t="s">
        <v>654</v>
      </c>
      <c r="J116" s="55" t="s">
        <v>1670</v>
      </c>
      <c r="K116" s="55" t="s">
        <v>661</v>
      </c>
      <c r="L116" s="55" t="n">
        <v>0.625</v>
      </c>
      <c r="M116" s="55" t="n">
        <v>4</v>
      </c>
      <c r="N116" s="55" t="s">
        <v>141</v>
      </c>
      <c r="O116" s="55"/>
      <c r="P116" s="55"/>
      <c r="Q116" s="55"/>
      <c r="R116" s="55" t="n">
        <v>29</v>
      </c>
      <c r="S116" s="55" t="n">
        <v>53</v>
      </c>
      <c r="T116" s="55"/>
      <c r="U116" s="55" t="s">
        <v>1671</v>
      </c>
      <c r="V116" s="55" t="s">
        <v>1672</v>
      </c>
      <c r="W116" s="55" t="s">
        <v>1500</v>
      </c>
      <c r="X116" s="4"/>
      <c r="Y116" s="4"/>
      <c r="Z116" s="4"/>
    </row>
    <row r="117" customFormat="false" ht="15.75" hidden="false" customHeight="true" outlineLevel="0" collapsed="false">
      <c r="A117" s="55" t="n">
        <v>1708</v>
      </c>
      <c r="B117" s="55" t="s">
        <v>689</v>
      </c>
      <c r="C117" s="55" t="s">
        <v>690</v>
      </c>
      <c r="D117" s="55" t="s">
        <v>1673</v>
      </c>
      <c r="E117" s="55" t="s">
        <v>1673</v>
      </c>
      <c r="F117" s="55" t="s">
        <v>1194</v>
      </c>
      <c r="G117" s="55" t="s">
        <v>1195</v>
      </c>
      <c r="H117" s="55" t="s">
        <v>1248</v>
      </c>
      <c r="I117" s="55" t="s">
        <v>681</v>
      </c>
      <c r="J117" s="55" t="s">
        <v>1674</v>
      </c>
      <c r="K117" s="55" t="s">
        <v>691</v>
      </c>
      <c r="L117" s="55" t="n">
        <v>0.6875</v>
      </c>
      <c r="M117" s="55" t="n">
        <v>1.875</v>
      </c>
      <c r="N117" s="55" t="s">
        <v>141</v>
      </c>
      <c r="O117" s="55"/>
      <c r="P117" s="55"/>
      <c r="Q117" s="55"/>
      <c r="R117" s="55" t="n">
        <v>46</v>
      </c>
      <c r="S117" s="55" t="n">
        <v>90</v>
      </c>
      <c r="T117" s="55"/>
      <c r="U117" s="55" t="s">
        <v>690</v>
      </c>
      <c r="V117" s="55" t="s">
        <v>1503</v>
      </c>
      <c r="W117" s="55" t="s">
        <v>1500</v>
      </c>
      <c r="X117" s="4"/>
      <c r="Y117" s="4"/>
      <c r="Z117" s="4"/>
    </row>
    <row r="118" customFormat="false" ht="15.75" hidden="false" customHeight="true" outlineLevel="0" collapsed="false">
      <c r="A118" s="55" t="n">
        <v>1710</v>
      </c>
      <c r="B118" s="55" t="s">
        <v>694</v>
      </c>
      <c r="C118" s="55" t="s">
        <v>695</v>
      </c>
      <c r="D118" s="55" t="s">
        <v>1675</v>
      </c>
      <c r="E118" s="55" t="s">
        <v>1675</v>
      </c>
      <c r="F118" s="55" t="s">
        <v>1194</v>
      </c>
      <c r="G118" s="55" t="s">
        <v>1195</v>
      </c>
      <c r="H118" s="55" t="s">
        <v>1248</v>
      </c>
      <c r="I118" s="55" t="s">
        <v>681</v>
      </c>
      <c r="J118" s="55" t="s">
        <v>1676</v>
      </c>
      <c r="K118" s="55" t="s">
        <v>290</v>
      </c>
      <c r="L118" s="55" t="n">
        <v>0.75</v>
      </c>
      <c r="M118" s="55" t="n">
        <v>2.25</v>
      </c>
      <c r="N118" s="55" t="s">
        <v>141</v>
      </c>
      <c r="O118" s="55"/>
      <c r="P118" s="55"/>
      <c r="Q118" s="55"/>
      <c r="R118" s="55" t="n">
        <v>46</v>
      </c>
      <c r="S118" s="55" t="n">
        <v>67</v>
      </c>
      <c r="T118" s="55"/>
      <c r="U118" s="55" t="s">
        <v>695</v>
      </c>
      <c r="V118" s="55" t="s">
        <v>1503</v>
      </c>
      <c r="W118" s="55" t="s">
        <v>1500</v>
      </c>
      <c r="X118" s="4"/>
      <c r="Y118" s="4"/>
      <c r="Z118" s="4"/>
    </row>
    <row r="119" customFormat="false" ht="15.75" hidden="false" customHeight="true" outlineLevel="0" collapsed="false">
      <c r="A119" s="55" t="n">
        <v>1749</v>
      </c>
      <c r="B119" s="55" t="s">
        <v>666</v>
      </c>
      <c r="C119" s="55" t="s">
        <v>667</v>
      </c>
      <c r="D119" s="55" t="s">
        <v>1677</v>
      </c>
      <c r="E119" s="55" t="s">
        <v>1677</v>
      </c>
      <c r="F119" s="55" t="s">
        <v>1194</v>
      </c>
      <c r="G119" s="55" t="s">
        <v>1195</v>
      </c>
      <c r="H119" s="55" t="s">
        <v>1248</v>
      </c>
      <c r="I119" s="55" t="s">
        <v>654</v>
      </c>
      <c r="J119" s="55" t="s">
        <v>1678</v>
      </c>
      <c r="K119" s="55" t="s">
        <v>664</v>
      </c>
      <c r="L119" s="55" t="n">
        <v>0.5625</v>
      </c>
      <c r="M119" s="55" t="n">
        <v>5.25</v>
      </c>
      <c r="N119" s="55" t="s">
        <v>141</v>
      </c>
      <c r="O119" s="55"/>
      <c r="P119" s="55"/>
      <c r="Q119" s="55"/>
      <c r="R119" s="55" t="n">
        <v>32</v>
      </c>
      <c r="S119" s="55" t="n">
        <v>19</v>
      </c>
      <c r="T119" s="55"/>
      <c r="U119" s="55" t="s">
        <v>667</v>
      </c>
      <c r="V119" s="55" t="s">
        <v>1679</v>
      </c>
      <c r="W119" s="55" t="s">
        <v>1500</v>
      </c>
      <c r="X119" s="4"/>
      <c r="Y119" s="4"/>
      <c r="Z119" s="4"/>
    </row>
    <row r="120" customFormat="false" ht="15.75" hidden="false" customHeight="true" outlineLevel="0" collapsed="false">
      <c r="A120" s="55" t="n">
        <v>1713</v>
      </c>
      <c r="B120" s="55" t="s">
        <v>472</v>
      </c>
      <c r="C120" s="55" t="s">
        <v>473</v>
      </c>
      <c r="D120" s="55" t="s">
        <v>1680</v>
      </c>
      <c r="E120" s="55" t="s">
        <v>1680</v>
      </c>
      <c r="F120" s="55" t="s">
        <v>1194</v>
      </c>
      <c r="G120" s="55" t="s">
        <v>1195</v>
      </c>
      <c r="H120" s="55" t="s">
        <v>1248</v>
      </c>
      <c r="I120" s="55" t="s">
        <v>420</v>
      </c>
      <c r="J120" s="55" t="s">
        <v>1681</v>
      </c>
      <c r="K120" s="55" t="s">
        <v>474</v>
      </c>
      <c r="L120" s="55" t="n">
        <v>0.5</v>
      </c>
      <c r="M120" s="55" t="n">
        <v>0.75</v>
      </c>
      <c r="N120" s="55" t="s">
        <v>141</v>
      </c>
      <c r="O120" s="55"/>
      <c r="P120" s="55"/>
      <c r="Q120" s="55"/>
      <c r="R120" s="55" t="n">
        <v>33</v>
      </c>
      <c r="S120" s="55" t="n">
        <v>122</v>
      </c>
      <c r="T120" s="55"/>
      <c r="U120" s="55" t="s">
        <v>473</v>
      </c>
      <c r="V120" s="55" t="s">
        <v>1682</v>
      </c>
      <c r="W120" s="55" t="s">
        <v>1500</v>
      </c>
      <c r="X120" s="4"/>
      <c r="Y120" s="4"/>
      <c r="Z120" s="4"/>
    </row>
    <row r="121" customFormat="false" ht="15.75" hidden="false" customHeight="true" outlineLevel="0" collapsed="false">
      <c r="A121" s="55" t="n">
        <v>1714</v>
      </c>
      <c r="B121" s="55" t="s">
        <v>475</v>
      </c>
      <c r="C121" s="55" t="s">
        <v>476</v>
      </c>
      <c r="D121" s="55" t="s">
        <v>1683</v>
      </c>
      <c r="E121" s="55" t="s">
        <v>1683</v>
      </c>
      <c r="F121" s="55" t="s">
        <v>1194</v>
      </c>
      <c r="G121" s="55" t="s">
        <v>1195</v>
      </c>
      <c r="H121" s="55" t="s">
        <v>1248</v>
      </c>
      <c r="I121" s="55" t="s">
        <v>420</v>
      </c>
      <c r="J121" s="55" t="s">
        <v>1684</v>
      </c>
      <c r="K121" s="55" t="s">
        <v>262</v>
      </c>
      <c r="L121" s="55" t="n">
        <v>0.75</v>
      </c>
      <c r="M121" s="55" t="n">
        <v>1.625</v>
      </c>
      <c r="N121" s="55" t="s">
        <v>141</v>
      </c>
      <c r="O121" s="55"/>
      <c r="P121" s="55"/>
      <c r="Q121" s="55"/>
      <c r="R121" s="55" t="n">
        <v>33</v>
      </c>
      <c r="S121" s="55" t="n">
        <v>100</v>
      </c>
      <c r="T121" s="55"/>
      <c r="U121" s="55" t="s">
        <v>476</v>
      </c>
      <c r="V121" s="55" t="s">
        <v>1503</v>
      </c>
      <c r="W121" s="55" t="s">
        <v>1500</v>
      </c>
      <c r="X121" s="4"/>
      <c r="Y121" s="4"/>
      <c r="Z121" s="4"/>
    </row>
    <row r="122" customFormat="false" ht="15.75" hidden="false" customHeight="true" outlineLevel="0" collapsed="false">
      <c r="A122" s="55" t="n">
        <v>1715</v>
      </c>
      <c r="B122" s="55" t="s">
        <v>477</v>
      </c>
      <c r="C122" s="55" t="s">
        <v>478</v>
      </c>
      <c r="D122" s="55" t="s">
        <v>1685</v>
      </c>
      <c r="E122" s="55" t="s">
        <v>1685</v>
      </c>
      <c r="F122" s="55" t="s">
        <v>1194</v>
      </c>
      <c r="G122" s="55" t="s">
        <v>1195</v>
      </c>
      <c r="H122" s="55" t="s">
        <v>1248</v>
      </c>
      <c r="I122" s="55" t="s">
        <v>420</v>
      </c>
      <c r="J122" s="55" t="s">
        <v>1686</v>
      </c>
      <c r="K122" s="55" t="s">
        <v>146</v>
      </c>
      <c r="L122" s="55" t="n">
        <v>0.75</v>
      </c>
      <c r="M122" s="55" t="n">
        <v>1.25</v>
      </c>
      <c r="N122" s="55" t="s">
        <v>141</v>
      </c>
      <c r="O122" s="55"/>
      <c r="P122" s="55"/>
      <c r="Q122" s="55"/>
      <c r="R122" s="55" t="n">
        <v>33</v>
      </c>
      <c r="S122" s="55" t="n">
        <v>117</v>
      </c>
      <c r="T122" s="55"/>
      <c r="U122" s="55" t="s">
        <v>478</v>
      </c>
      <c r="V122" s="55" t="s">
        <v>1687</v>
      </c>
      <c r="W122" s="55" t="s">
        <v>1500</v>
      </c>
      <c r="X122" s="4"/>
      <c r="Y122" s="4"/>
      <c r="Z122" s="4"/>
    </row>
    <row r="123" customFormat="false" ht="15.75" hidden="false" customHeight="true" outlineLevel="0" collapsed="false">
      <c r="A123" s="55" t="n">
        <v>1748</v>
      </c>
      <c r="B123" s="55" t="s">
        <v>662</v>
      </c>
      <c r="C123" s="55" t="s">
        <v>663</v>
      </c>
      <c r="D123" s="55" t="s">
        <v>1688</v>
      </c>
      <c r="E123" s="55" t="s">
        <v>1688</v>
      </c>
      <c r="F123" s="55" t="s">
        <v>1194</v>
      </c>
      <c r="G123" s="55" t="s">
        <v>1195</v>
      </c>
      <c r="H123" s="55" t="s">
        <v>1248</v>
      </c>
      <c r="I123" s="55" t="s">
        <v>654</v>
      </c>
      <c r="J123" s="55" t="s">
        <v>1689</v>
      </c>
      <c r="K123" s="55" t="s">
        <v>664</v>
      </c>
      <c r="L123" s="55" t="n">
        <v>0.5625</v>
      </c>
      <c r="M123" s="55" t="n">
        <v>5.25</v>
      </c>
      <c r="N123" s="55" t="s">
        <v>665</v>
      </c>
      <c r="O123" s="55"/>
      <c r="P123" s="55"/>
      <c r="Q123" s="55"/>
      <c r="R123" s="55" t="n">
        <v>32</v>
      </c>
      <c r="S123" s="55" t="n">
        <v>174</v>
      </c>
      <c r="T123" s="55"/>
      <c r="U123" s="55" t="s">
        <v>663</v>
      </c>
      <c r="V123" s="55" t="s">
        <v>1690</v>
      </c>
      <c r="W123" s="55" t="s">
        <v>1500</v>
      </c>
      <c r="X123" s="4"/>
      <c r="Y123" s="4"/>
      <c r="Z123" s="4"/>
    </row>
    <row r="124" customFormat="false" ht="15.75" hidden="false" customHeight="true" outlineLevel="0" collapsed="false">
      <c r="A124" s="55" t="n">
        <v>1716</v>
      </c>
      <c r="B124" s="55" t="s">
        <v>479</v>
      </c>
      <c r="C124" s="55" t="s">
        <v>480</v>
      </c>
      <c r="D124" s="55" t="s">
        <v>1691</v>
      </c>
      <c r="E124" s="55" t="s">
        <v>1691</v>
      </c>
      <c r="F124" s="55" t="s">
        <v>1194</v>
      </c>
      <c r="G124" s="55" t="s">
        <v>1195</v>
      </c>
      <c r="H124" s="55" t="s">
        <v>1248</v>
      </c>
      <c r="I124" s="55" t="s">
        <v>420</v>
      </c>
      <c r="J124" s="55" t="s">
        <v>1692</v>
      </c>
      <c r="K124" s="55" t="s">
        <v>262</v>
      </c>
      <c r="L124" s="55" t="n">
        <v>0.75</v>
      </c>
      <c r="M124" s="55" t="n">
        <v>1.625</v>
      </c>
      <c r="N124" s="55" t="s">
        <v>141</v>
      </c>
      <c r="O124" s="55"/>
      <c r="P124" s="55"/>
      <c r="Q124" s="55"/>
      <c r="R124" s="55" t="n">
        <v>33</v>
      </c>
      <c r="S124" s="55" t="n">
        <v>93</v>
      </c>
      <c r="T124" s="55"/>
      <c r="U124" s="55" t="s">
        <v>480</v>
      </c>
      <c r="V124" s="55" t="s">
        <v>1693</v>
      </c>
      <c r="W124" s="55" t="s">
        <v>1500</v>
      </c>
      <c r="X124" s="4"/>
      <c r="Y124" s="4"/>
      <c r="Z124" s="4"/>
    </row>
    <row r="125" customFormat="false" ht="15.75" hidden="false" customHeight="true" outlineLevel="0" collapsed="false">
      <c r="A125" s="55" t="n">
        <v>1949</v>
      </c>
      <c r="B125" s="55" t="s">
        <v>890</v>
      </c>
      <c r="C125" s="55" t="s">
        <v>891</v>
      </c>
      <c r="D125" s="55" t="s">
        <v>1694</v>
      </c>
      <c r="E125" s="55" t="s">
        <v>1694</v>
      </c>
      <c r="F125" s="55" t="s">
        <v>1194</v>
      </c>
      <c r="G125" s="55" t="s">
        <v>1195</v>
      </c>
      <c r="H125" s="55" t="s">
        <v>1196</v>
      </c>
      <c r="I125" s="55" t="s">
        <v>886</v>
      </c>
      <c r="J125" s="55" t="s">
        <v>1695</v>
      </c>
      <c r="K125" s="55" t="s">
        <v>889</v>
      </c>
      <c r="L125" s="55"/>
      <c r="M125" s="55"/>
      <c r="N125" s="55" t="s">
        <v>732</v>
      </c>
      <c r="O125" s="55"/>
      <c r="P125" s="55" t="s">
        <v>1539</v>
      </c>
      <c r="Q125" s="55"/>
      <c r="R125" s="55" t="n">
        <v>21</v>
      </c>
      <c r="S125" s="55" t="n">
        <v>201</v>
      </c>
      <c r="T125" s="55"/>
      <c r="U125" s="55" t="s">
        <v>1696</v>
      </c>
      <c r="V125" s="55" t="s">
        <v>1697</v>
      </c>
      <c r="W125" s="55" t="s">
        <v>1500</v>
      </c>
      <c r="X125" s="4"/>
      <c r="Y125" s="4"/>
      <c r="Z125" s="4"/>
    </row>
    <row r="126" customFormat="false" ht="15.75" hidden="false" customHeight="true" outlineLevel="0" collapsed="false">
      <c r="A126" s="55" t="n">
        <v>1797</v>
      </c>
      <c r="B126" s="55" t="s">
        <v>926</v>
      </c>
      <c r="C126" s="55" t="s">
        <v>927</v>
      </c>
      <c r="D126" s="55" t="s">
        <v>1698</v>
      </c>
      <c r="E126" s="55" t="s">
        <v>1698</v>
      </c>
      <c r="F126" s="55" t="s">
        <v>1194</v>
      </c>
      <c r="G126" s="55" t="s">
        <v>1195</v>
      </c>
      <c r="H126" s="55" t="s">
        <v>1196</v>
      </c>
      <c r="I126" s="55" t="s">
        <v>886</v>
      </c>
      <c r="J126" s="55" t="s">
        <v>1699</v>
      </c>
      <c r="K126" s="55" t="s">
        <v>889</v>
      </c>
      <c r="L126" s="55"/>
      <c r="M126" s="55"/>
      <c r="N126" s="55" t="s">
        <v>732</v>
      </c>
      <c r="O126" s="55"/>
      <c r="P126" s="55" t="s">
        <v>1539</v>
      </c>
      <c r="Q126" s="55"/>
      <c r="R126" s="55" t="n">
        <v>19</v>
      </c>
      <c r="S126" s="55" t="n">
        <v>167</v>
      </c>
      <c r="T126" s="55"/>
      <c r="U126" s="55" t="s">
        <v>1700</v>
      </c>
      <c r="V126" s="55" t="s">
        <v>1701</v>
      </c>
      <c r="W126" s="55" t="s">
        <v>1500</v>
      </c>
      <c r="X126" s="4"/>
      <c r="Y126" s="4"/>
      <c r="Z126" s="4"/>
    </row>
    <row r="127" customFormat="false" ht="15.75" hidden="false" customHeight="true" outlineLevel="0" collapsed="false">
      <c r="A127" s="55" t="n">
        <v>1660</v>
      </c>
      <c r="B127" s="55" t="s">
        <v>460</v>
      </c>
      <c r="C127" s="55" t="s">
        <v>461</v>
      </c>
      <c r="D127" s="55" t="s">
        <v>1702</v>
      </c>
      <c r="E127" s="55" t="s">
        <v>1702</v>
      </c>
      <c r="F127" s="55" t="s">
        <v>1194</v>
      </c>
      <c r="G127" s="55" t="s">
        <v>1195</v>
      </c>
      <c r="H127" s="55" t="s">
        <v>1248</v>
      </c>
      <c r="I127" s="55" t="s">
        <v>420</v>
      </c>
      <c r="J127" s="55" t="s">
        <v>1703</v>
      </c>
      <c r="K127" s="55" t="s">
        <v>462</v>
      </c>
      <c r="L127" s="55" t="n">
        <v>0.75</v>
      </c>
      <c r="M127" s="55" t="n">
        <v>1.625</v>
      </c>
      <c r="N127" s="55" t="s">
        <v>141</v>
      </c>
      <c r="O127" s="55"/>
      <c r="P127" s="55"/>
      <c r="Q127" s="55"/>
      <c r="R127" s="55" t="n">
        <v>15</v>
      </c>
      <c r="S127" s="55" t="n">
        <v>81</v>
      </c>
      <c r="T127" s="55"/>
      <c r="U127" s="55" t="s">
        <v>461</v>
      </c>
      <c r="V127" s="55" t="s">
        <v>1704</v>
      </c>
      <c r="W127" s="55" t="s">
        <v>1500</v>
      </c>
      <c r="X127" s="4"/>
      <c r="Y127" s="4"/>
      <c r="Z127" s="4"/>
    </row>
    <row r="128" customFormat="false" ht="15.75" hidden="false" customHeight="true" outlineLevel="0" collapsed="false">
      <c r="A128" s="55" t="n">
        <v>1669</v>
      </c>
      <c r="B128" s="55" t="s">
        <v>604</v>
      </c>
      <c r="C128" s="55" t="s">
        <v>605</v>
      </c>
      <c r="D128" s="55" t="s">
        <v>1705</v>
      </c>
      <c r="E128" s="55" t="s">
        <v>1705</v>
      </c>
      <c r="F128" s="55" t="s">
        <v>1194</v>
      </c>
      <c r="G128" s="55" t="s">
        <v>1195</v>
      </c>
      <c r="H128" s="55" t="s">
        <v>1248</v>
      </c>
      <c r="I128" s="55" t="s">
        <v>599</v>
      </c>
      <c r="J128" s="55" t="s">
        <v>1706</v>
      </c>
      <c r="K128" s="55" t="s">
        <v>606</v>
      </c>
      <c r="L128" s="55" t="n">
        <v>1.25</v>
      </c>
      <c r="M128" s="55" t="n">
        <v>2.5</v>
      </c>
      <c r="N128" s="55" t="s">
        <v>141</v>
      </c>
      <c r="O128" s="55"/>
      <c r="P128" s="55"/>
      <c r="Q128" s="55"/>
      <c r="R128" s="55" t="n">
        <v>31</v>
      </c>
      <c r="S128" s="55" t="n">
        <v>231</v>
      </c>
      <c r="T128" s="55"/>
      <c r="U128" s="55" t="s">
        <v>605</v>
      </c>
      <c r="V128" s="55" t="s">
        <v>1503</v>
      </c>
      <c r="W128" s="55" t="s">
        <v>1500</v>
      </c>
      <c r="X128" s="4"/>
      <c r="Y128" s="4"/>
      <c r="Z128" s="4"/>
    </row>
    <row r="129" customFormat="false" ht="15.75" hidden="false" customHeight="true" outlineLevel="0" collapsed="false">
      <c r="A129" s="55" t="n">
        <v>1576</v>
      </c>
      <c r="B129" s="55" t="s">
        <v>428</v>
      </c>
      <c r="C129" s="55" t="s">
        <v>429</v>
      </c>
      <c r="D129" s="55" t="s">
        <v>1707</v>
      </c>
      <c r="E129" s="55" t="s">
        <v>1707</v>
      </c>
      <c r="F129" s="55" t="s">
        <v>1194</v>
      </c>
      <c r="G129" s="55" t="s">
        <v>1195</v>
      </c>
      <c r="H129" s="55" t="s">
        <v>1248</v>
      </c>
      <c r="I129" s="55" t="s">
        <v>420</v>
      </c>
      <c r="J129" s="55" t="s">
        <v>1708</v>
      </c>
      <c r="K129" s="55" t="s">
        <v>430</v>
      </c>
      <c r="L129" s="55" t="n">
        <v>0.6875</v>
      </c>
      <c r="M129" s="55" t="n">
        <v>1.5</v>
      </c>
      <c r="N129" s="55" t="s">
        <v>141</v>
      </c>
      <c r="O129" s="55"/>
      <c r="P129" s="55"/>
      <c r="Q129" s="55"/>
      <c r="R129" s="55" t="n">
        <v>26</v>
      </c>
      <c r="S129" s="55" t="n">
        <v>161</v>
      </c>
      <c r="T129" s="55"/>
      <c r="U129" s="55" t="s">
        <v>429</v>
      </c>
      <c r="V129" s="55" t="s">
        <v>1709</v>
      </c>
      <c r="W129" s="55" t="s">
        <v>1500</v>
      </c>
      <c r="X129" s="4"/>
      <c r="Y129" s="4"/>
      <c r="Z129" s="4"/>
    </row>
    <row r="130" customFormat="false" ht="15.75" hidden="false" customHeight="true" outlineLevel="0" collapsed="false">
      <c r="A130" s="55" t="n">
        <v>1577</v>
      </c>
      <c r="B130" s="55" t="s">
        <v>377</v>
      </c>
      <c r="C130" s="55" t="s">
        <v>378</v>
      </c>
      <c r="D130" s="55" t="s">
        <v>1710</v>
      </c>
      <c r="E130" s="55" t="s">
        <v>1710</v>
      </c>
      <c r="F130" s="55" t="s">
        <v>1194</v>
      </c>
      <c r="G130" s="55" t="s">
        <v>1195</v>
      </c>
      <c r="H130" s="55" t="s">
        <v>1248</v>
      </c>
      <c r="I130" s="55" t="s">
        <v>379</v>
      </c>
      <c r="J130" s="55" t="s">
        <v>1711</v>
      </c>
      <c r="K130" s="55" t="s">
        <v>284</v>
      </c>
      <c r="L130" s="55" t="n">
        <v>0.75</v>
      </c>
      <c r="M130" s="55" t="n">
        <v>2.5</v>
      </c>
      <c r="N130" s="55" t="s">
        <v>141</v>
      </c>
      <c r="O130" s="55"/>
      <c r="P130" s="55"/>
      <c r="Q130" s="55"/>
      <c r="R130" s="55" t="n">
        <v>20</v>
      </c>
      <c r="S130" s="55" t="n">
        <v>240</v>
      </c>
      <c r="T130" s="55"/>
      <c r="U130" s="55" t="s">
        <v>378</v>
      </c>
      <c r="V130" s="55" t="s">
        <v>1712</v>
      </c>
      <c r="W130" s="55" t="s">
        <v>1500</v>
      </c>
      <c r="X130" s="4"/>
      <c r="Y130" s="4"/>
      <c r="Z130" s="4"/>
    </row>
    <row r="131" customFormat="false" ht="15.75" hidden="false" customHeight="true" outlineLevel="0" collapsed="false">
      <c r="A131" s="55" t="n">
        <v>1578</v>
      </c>
      <c r="B131" s="55" t="s">
        <v>272</v>
      </c>
      <c r="C131" s="55" t="s">
        <v>273</v>
      </c>
      <c r="D131" s="55" t="s">
        <v>1713</v>
      </c>
      <c r="E131" s="55" t="s">
        <v>1713</v>
      </c>
      <c r="F131" s="55" t="s">
        <v>1194</v>
      </c>
      <c r="G131" s="55" t="s">
        <v>1195</v>
      </c>
      <c r="H131" s="55" t="s">
        <v>1248</v>
      </c>
      <c r="I131" s="55" t="s">
        <v>274</v>
      </c>
      <c r="J131" s="55" t="s">
        <v>1714</v>
      </c>
      <c r="K131" s="55" t="s">
        <v>275</v>
      </c>
      <c r="L131" s="55" t="n">
        <v>1.25</v>
      </c>
      <c r="M131" s="55" t="n">
        <v>1.625</v>
      </c>
      <c r="N131" s="55" t="s">
        <v>141</v>
      </c>
      <c r="O131" s="55"/>
      <c r="P131" s="55"/>
      <c r="Q131" s="55"/>
      <c r="R131" s="55" t="n">
        <v>24</v>
      </c>
      <c r="S131" s="55" t="n">
        <v>76</v>
      </c>
      <c r="T131" s="55"/>
      <c r="U131" s="55" t="s">
        <v>273</v>
      </c>
      <c r="V131" s="55" t="s">
        <v>1503</v>
      </c>
      <c r="W131" s="55" t="s">
        <v>1500</v>
      </c>
      <c r="X131" s="4"/>
      <c r="Y131" s="4"/>
      <c r="Z131" s="4"/>
    </row>
    <row r="132" customFormat="false" ht="15.75" hidden="false" customHeight="true" outlineLevel="0" collapsed="false">
      <c r="A132" s="55" t="n">
        <v>1579</v>
      </c>
      <c r="B132" s="55" t="s">
        <v>276</v>
      </c>
      <c r="C132" s="55" t="s">
        <v>277</v>
      </c>
      <c r="D132" s="55" t="s">
        <v>1715</v>
      </c>
      <c r="E132" s="55" t="s">
        <v>1715</v>
      </c>
      <c r="F132" s="55" t="s">
        <v>1194</v>
      </c>
      <c r="G132" s="55" t="s">
        <v>1195</v>
      </c>
      <c r="H132" s="55" t="s">
        <v>1248</v>
      </c>
      <c r="I132" s="55" t="s">
        <v>274</v>
      </c>
      <c r="J132" s="55" t="s">
        <v>1716</v>
      </c>
      <c r="K132" s="55" t="s">
        <v>278</v>
      </c>
      <c r="L132" s="55" t="n">
        <v>1.25</v>
      </c>
      <c r="M132" s="55" t="n">
        <v>2</v>
      </c>
      <c r="N132" s="55" t="s">
        <v>141</v>
      </c>
      <c r="O132" s="55"/>
      <c r="P132" s="55"/>
      <c r="Q132" s="55"/>
      <c r="R132" s="55" t="n">
        <v>24</v>
      </c>
      <c r="S132" s="55" t="n">
        <v>89</v>
      </c>
      <c r="T132" s="55"/>
      <c r="U132" s="55" t="s">
        <v>277</v>
      </c>
      <c r="V132" s="55" t="s">
        <v>1503</v>
      </c>
      <c r="W132" s="55" t="s">
        <v>1500</v>
      </c>
      <c r="X132" s="4"/>
      <c r="Y132" s="4"/>
      <c r="Z132" s="4"/>
    </row>
    <row r="133" customFormat="false" ht="15.75" hidden="false" customHeight="true" outlineLevel="0" collapsed="false">
      <c r="A133" s="55" t="n">
        <v>1580</v>
      </c>
      <c r="B133" s="55" t="s">
        <v>242</v>
      </c>
      <c r="C133" s="55" t="s">
        <v>243</v>
      </c>
      <c r="D133" s="55" t="s">
        <v>1717</v>
      </c>
      <c r="E133" s="55" t="s">
        <v>1717</v>
      </c>
      <c r="F133" s="55" t="s">
        <v>1194</v>
      </c>
      <c r="G133" s="55" t="s">
        <v>1195</v>
      </c>
      <c r="H133" s="55" t="s">
        <v>1248</v>
      </c>
      <c r="I133" s="55" t="s">
        <v>244</v>
      </c>
      <c r="J133" s="55" t="s">
        <v>1718</v>
      </c>
      <c r="K133" s="55" t="s">
        <v>245</v>
      </c>
      <c r="L133" s="55" t="n">
        <v>0.3125</v>
      </c>
      <c r="M133" s="55" t="n">
        <v>1.25</v>
      </c>
      <c r="N133" s="55" t="s">
        <v>141</v>
      </c>
      <c r="O133" s="55"/>
      <c r="P133" s="55"/>
      <c r="Q133" s="55"/>
      <c r="R133" s="55" t="n">
        <v>34</v>
      </c>
      <c r="S133" s="55" t="n">
        <v>69</v>
      </c>
      <c r="T133" s="55"/>
      <c r="U133" s="55" t="s">
        <v>243</v>
      </c>
      <c r="V133" s="55" t="s">
        <v>1719</v>
      </c>
      <c r="W133" s="55" t="s">
        <v>1500</v>
      </c>
      <c r="X133" s="4"/>
      <c r="Y133" s="4"/>
      <c r="Z133" s="4"/>
    </row>
    <row r="134" customFormat="false" ht="15.75" hidden="false" customHeight="true" outlineLevel="0" collapsed="false">
      <c r="A134" s="55" t="n">
        <v>1582</v>
      </c>
      <c r="B134" s="55" t="s">
        <v>248</v>
      </c>
      <c r="C134" s="55" t="s">
        <v>249</v>
      </c>
      <c r="D134" s="55" t="s">
        <v>1720</v>
      </c>
      <c r="E134" s="55" t="s">
        <v>1720</v>
      </c>
      <c r="F134" s="55" t="s">
        <v>1194</v>
      </c>
      <c r="G134" s="55" t="s">
        <v>1195</v>
      </c>
      <c r="H134" s="55" t="s">
        <v>1248</v>
      </c>
      <c r="I134" s="55" t="s">
        <v>244</v>
      </c>
      <c r="J134" s="55" t="s">
        <v>1721</v>
      </c>
      <c r="K134" s="55" t="s">
        <v>245</v>
      </c>
      <c r="L134" s="55" t="n">
        <v>0.3125</v>
      </c>
      <c r="M134" s="55" t="n">
        <v>1.25</v>
      </c>
      <c r="N134" s="55" t="s">
        <v>141</v>
      </c>
      <c r="O134" s="55"/>
      <c r="P134" s="55"/>
      <c r="Q134" s="55"/>
      <c r="R134" s="55" t="n">
        <v>26</v>
      </c>
      <c r="S134" s="55" t="n">
        <v>54</v>
      </c>
      <c r="T134" s="55"/>
      <c r="U134" s="55" t="s">
        <v>249</v>
      </c>
      <c r="V134" s="55" t="s">
        <v>1722</v>
      </c>
      <c r="W134" s="55" t="s">
        <v>1500</v>
      </c>
      <c r="X134" s="4"/>
      <c r="Y134" s="4"/>
      <c r="Z134" s="4"/>
    </row>
    <row r="135" customFormat="false" ht="15.75" hidden="false" customHeight="true" outlineLevel="0" collapsed="false">
      <c r="A135" s="55" t="n">
        <v>1583</v>
      </c>
      <c r="B135" s="55" t="s">
        <v>250</v>
      </c>
      <c r="C135" s="55" t="s">
        <v>251</v>
      </c>
      <c r="D135" s="55" t="s">
        <v>1723</v>
      </c>
      <c r="E135" s="55" t="s">
        <v>1723</v>
      </c>
      <c r="F135" s="55" t="s">
        <v>1194</v>
      </c>
      <c r="G135" s="55" t="s">
        <v>1195</v>
      </c>
      <c r="H135" s="55" t="s">
        <v>1248</v>
      </c>
      <c r="I135" s="55" t="s">
        <v>244</v>
      </c>
      <c r="J135" s="55" t="s">
        <v>1724</v>
      </c>
      <c r="K135" s="55" t="s">
        <v>252</v>
      </c>
      <c r="L135" s="55" t="n">
        <v>0.3125</v>
      </c>
      <c r="M135" s="55" t="n">
        <v>1.625</v>
      </c>
      <c r="N135" s="55" t="s">
        <v>141</v>
      </c>
      <c r="O135" s="55"/>
      <c r="P135" s="55"/>
      <c r="Q135" s="55"/>
      <c r="R135" s="55" t="n">
        <v>26</v>
      </c>
      <c r="S135" s="55" t="n">
        <v>69</v>
      </c>
      <c r="T135" s="55"/>
      <c r="U135" s="55" t="s">
        <v>251</v>
      </c>
      <c r="V135" s="55" t="s">
        <v>1725</v>
      </c>
      <c r="W135" s="55" t="s">
        <v>1500</v>
      </c>
      <c r="X135" s="4"/>
      <c r="Y135" s="4"/>
      <c r="Z135" s="4"/>
    </row>
    <row r="136" customFormat="false" ht="15.75" hidden="false" customHeight="true" outlineLevel="0" collapsed="false">
      <c r="A136" s="55" t="n">
        <v>1585</v>
      </c>
      <c r="B136" s="55" t="s">
        <v>256</v>
      </c>
      <c r="C136" s="55" t="s">
        <v>257</v>
      </c>
      <c r="D136" s="55" t="s">
        <v>1726</v>
      </c>
      <c r="E136" s="55" t="s">
        <v>1726</v>
      </c>
      <c r="F136" s="55" t="s">
        <v>1194</v>
      </c>
      <c r="G136" s="55" t="s">
        <v>1195</v>
      </c>
      <c r="H136" s="55" t="s">
        <v>1248</v>
      </c>
      <c r="I136" s="55" t="s">
        <v>258</v>
      </c>
      <c r="J136" s="55" t="s">
        <v>1727</v>
      </c>
      <c r="K136" s="55" t="s">
        <v>259</v>
      </c>
      <c r="L136" s="55" t="n">
        <v>0.75</v>
      </c>
      <c r="M136" s="55" t="n">
        <v>1.125</v>
      </c>
      <c r="N136" s="55" t="s">
        <v>141</v>
      </c>
      <c r="O136" s="55"/>
      <c r="P136" s="55"/>
      <c r="Q136" s="55"/>
      <c r="R136" s="55" t="n">
        <v>65</v>
      </c>
      <c r="S136" s="55" t="n">
        <v>137</v>
      </c>
      <c r="T136" s="55"/>
      <c r="U136" s="55" t="s">
        <v>257</v>
      </c>
      <c r="V136" s="55" t="s">
        <v>1503</v>
      </c>
      <c r="W136" s="55" t="s">
        <v>1500</v>
      </c>
      <c r="X136" s="4"/>
      <c r="Y136" s="4"/>
      <c r="Z136" s="4"/>
    </row>
    <row r="137" customFormat="false" ht="15.75" hidden="false" customHeight="true" outlineLevel="0" collapsed="false">
      <c r="A137" s="55" t="n">
        <v>1586</v>
      </c>
      <c r="B137" s="55" t="s">
        <v>163</v>
      </c>
      <c r="C137" s="55" t="s">
        <v>164</v>
      </c>
      <c r="D137" s="55" t="s">
        <v>1728</v>
      </c>
      <c r="E137" s="55" t="s">
        <v>1728</v>
      </c>
      <c r="F137" s="55" t="s">
        <v>1194</v>
      </c>
      <c r="G137" s="55" t="s">
        <v>1195</v>
      </c>
      <c r="H137" s="55" t="s">
        <v>1248</v>
      </c>
      <c r="I137" s="55" t="s">
        <v>145</v>
      </c>
      <c r="J137" s="55" t="s">
        <v>1729</v>
      </c>
      <c r="K137" s="55" t="s">
        <v>165</v>
      </c>
      <c r="L137" s="55" t="n">
        <v>1.125</v>
      </c>
      <c r="M137" s="55" t="n">
        <v>1.375</v>
      </c>
      <c r="N137" s="55" t="s">
        <v>141</v>
      </c>
      <c r="O137" s="55"/>
      <c r="P137" s="55"/>
      <c r="Q137" s="55"/>
      <c r="R137" s="55" t="n">
        <v>90</v>
      </c>
      <c r="S137" s="55" t="n">
        <v>496</v>
      </c>
      <c r="T137" s="55"/>
      <c r="U137" s="55" t="s">
        <v>1730</v>
      </c>
      <c r="V137" s="55" t="s">
        <v>1731</v>
      </c>
      <c r="W137" s="55" t="s">
        <v>1500</v>
      </c>
      <c r="X137" s="4"/>
      <c r="Y137" s="4"/>
      <c r="Z137" s="4"/>
    </row>
    <row r="138" customFormat="false" ht="15.75" hidden="false" customHeight="true" outlineLevel="0" collapsed="false">
      <c r="A138" s="55" t="n">
        <v>1588</v>
      </c>
      <c r="B138" s="55" t="s">
        <v>263</v>
      </c>
      <c r="C138" s="55" t="s">
        <v>264</v>
      </c>
      <c r="D138" s="55" t="s">
        <v>1732</v>
      </c>
      <c r="E138" s="55" t="s">
        <v>1732</v>
      </c>
      <c r="F138" s="55" t="s">
        <v>1194</v>
      </c>
      <c r="G138" s="55" t="s">
        <v>1195</v>
      </c>
      <c r="H138" s="55" t="s">
        <v>1248</v>
      </c>
      <c r="I138" s="55" t="s">
        <v>258</v>
      </c>
      <c r="J138" s="55" t="s">
        <v>1733</v>
      </c>
      <c r="K138" s="55" t="s">
        <v>265</v>
      </c>
      <c r="L138" s="55" t="n">
        <v>1.625</v>
      </c>
      <c r="M138" s="55" t="n">
        <v>2.25</v>
      </c>
      <c r="N138" s="55" t="s">
        <v>141</v>
      </c>
      <c r="O138" s="55"/>
      <c r="P138" s="55"/>
      <c r="Q138" s="55"/>
      <c r="R138" s="55" t="n">
        <v>52</v>
      </c>
      <c r="S138" s="55" t="n">
        <v>256</v>
      </c>
      <c r="T138" s="55"/>
      <c r="U138" s="55" t="s">
        <v>264</v>
      </c>
      <c r="V138" s="55" t="s">
        <v>1503</v>
      </c>
      <c r="W138" s="55" t="s">
        <v>1500</v>
      </c>
      <c r="X138" s="4"/>
      <c r="Y138" s="4"/>
      <c r="Z138" s="4"/>
    </row>
    <row r="139" customFormat="false" ht="15.75" hidden="false" customHeight="true" outlineLevel="0" collapsed="false">
      <c r="A139" s="55" t="n">
        <v>1589</v>
      </c>
      <c r="B139" s="55" t="s">
        <v>266</v>
      </c>
      <c r="C139" s="55" t="s">
        <v>267</v>
      </c>
      <c r="D139" s="55" t="s">
        <v>1734</v>
      </c>
      <c r="E139" s="55" t="s">
        <v>1734</v>
      </c>
      <c r="F139" s="55" t="s">
        <v>1194</v>
      </c>
      <c r="G139" s="55" t="s">
        <v>1195</v>
      </c>
      <c r="H139" s="55" t="s">
        <v>1248</v>
      </c>
      <c r="I139" s="55" t="s">
        <v>258</v>
      </c>
      <c r="J139" s="55" t="s">
        <v>1735</v>
      </c>
      <c r="K139" s="55" t="s">
        <v>268</v>
      </c>
      <c r="L139" s="55" t="n">
        <v>1.25</v>
      </c>
      <c r="M139" s="55" t="n">
        <v>2.25</v>
      </c>
      <c r="N139" s="55" t="s">
        <v>141</v>
      </c>
      <c r="O139" s="55"/>
      <c r="P139" s="55"/>
      <c r="Q139" s="55"/>
      <c r="R139" s="55" t="n">
        <v>52</v>
      </c>
      <c r="S139" s="55" t="n">
        <v>131</v>
      </c>
      <c r="T139" s="55"/>
      <c r="U139" s="55" t="s">
        <v>267</v>
      </c>
      <c r="V139" s="55" t="s">
        <v>1503</v>
      </c>
      <c r="W139" s="55" t="s">
        <v>1500</v>
      </c>
      <c r="X139" s="4"/>
      <c r="Y139" s="4"/>
      <c r="Z139" s="4"/>
    </row>
    <row r="140" customFormat="false" ht="15.75" hidden="false" customHeight="true" outlineLevel="0" collapsed="false">
      <c r="A140" s="55" t="n">
        <v>1525</v>
      </c>
      <c r="B140" s="55" t="s">
        <v>156</v>
      </c>
      <c r="C140" s="55" t="s">
        <v>157</v>
      </c>
      <c r="D140" s="55" t="s">
        <v>1736</v>
      </c>
      <c r="E140" s="55" t="s">
        <v>1736</v>
      </c>
      <c r="F140" s="55" t="s">
        <v>1194</v>
      </c>
      <c r="G140" s="55" t="s">
        <v>1195</v>
      </c>
      <c r="H140" s="55" t="s">
        <v>1248</v>
      </c>
      <c r="I140" s="55" t="s">
        <v>145</v>
      </c>
      <c r="J140" s="55" t="s">
        <v>1737</v>
      </c>
      <c r="K140" s="55" t="s">
        <v>158</v>
      </c>
      <c r="L140" s="55" t="n">
        <v>0.8125</v>
      </c>
      <c r="M140" s="55" t="n">
        <v>1.375</v>
      </c>
      <c r="N140" s="55" t="s">
        <v>141</v>
      </c>
      <c r="O140" s="55"/>
      <c r="P140" s="55"/>
      <c r="Q140" s="55"/>
      <c r="R140" s="55" t="n">
        <v>32</v>
      </c>
      <c r="S140" s="55" t="n">
        <v>280</v>
      </c>
      <c r="T140" s="55"/>
      <c r="U140" s="55" t="s">
        <v>1738</v>
      </c>
      <c r="V140" s="55" t="s">
        <v>1739</v>
      </c>
      <c r="W140" s="55" t="s">
        <v>1500</v>
      </c>
      <c r="X140" s="4"/>
      <c r="Y140" s="4"/>
      <c r="Z140" s="4"/>
    </row>
    <row r="141" customFormat="false" ht="15.75" hidden="false" customHeight="true" outlineLevel="0" collapsed="false">
      <c r="A141" s="55" t="n">
        <v>1590</v>
      </c>
      <c r="B141" s="55" t="s">
        <v>299</v>
      </c>
      <c r="C141" s="55" t="s">
        <v>300</v>
      </c>
      <c r="D141" s="55" t="s">
        <v>1740</v>
      </c>
      <c r="E141" s="55" t="s">
        <v>1740</v>
      </c>
      <c r="F141" s="55" t="s">
        <v>1194</v>
      </c>
      <c r="G141" s="55" t="s">
        <v>1195</v>
      </c>
      <c r="H141" s="55" t="s">
        <v>1248</v>
      </c>
      <c r="I141" s="55" t="s">
        <v>274</v>
      </c>
      <c r="J141" s="55" t="s">
        <v>1741</v>
      </c>
      <c r="K141" s="55" t="s">
        <v>296</v>
      </c>
      <c r="L141" s="55" t="n">
        <v>0.75</v>
      </c>
      <c r="M141" s="55" t="n">
        <v>2.75</v>
      </c>
      <c r="N141" s="55" t="s">
        <v>141</v>
      </c>
      <c r="O141" s="55"/>
      <c r="P141" s="55"/>
      <c r="Q141" s="55"/>
      <c r="R141" s="55" t="n">
        <v>63</v>
      </c>
      <c r="S141" s="55" t="n">
        <v>62</v>
      </c>
      <c r="T141" s="55"/>
      <c r="U141" s="55" t="s">
        <v>300</v>
      </c>
      <c r="V141" s="55" t="s">
        <v>1742</v>
      </c>
      <c r="W141" s="55" t="s">
        <v>1500</v>
      </c>
      <c r="X141" s="4"/>
      <c r="Y141" s="4"/>
      <c r="Z141" s="4"/>
    </row>
    <row r="142" customFormat="false" ht="15.75" hidden="false" customHeight="true" outlineLevel="0" collapsed="false">
      <c r="A142" s="55" t="n">
        <v>1593</v>
      </c>
      <c r="B142" s="55" t="s">
        <v>303</v>
      </c>
      <c r="C142" s="55" t="s">
        <v>304</v>
      </c>
      <c r="D142" s="55" t="s">
        <v>1743</v>
      </c>
      <c r="E142" s="55" t="s">
        <v>1743</v>
      </c>
      <c r="F142" s="55" t="s">
        <v>1194</v>
      </c>
      <c r="G142" s="55" t="s">
        <v>1195</v>
      </c>
      <c r="H142" s="55" t="s">
        <v>1248</v>
      </c>
      <c r="I142" s="55" t="s">
        <v>274</v>
      </c>
      <c r="J142" s="55" t="s">
        <v>1744</v>
      </c>
      <c r="K142" s="55" t="s">
        <v>296</v>
      </c>
      <c r="L142" s="55" t="n">
        <v>0.75</v>
      </c>
      <c r="M142" s="55" t="n">
        <v>2.75</v>
      </c>
      <c r="N142" s="55" t="s">
        <v>141</v>
      </c>
      <c r="O142" s="55"/>
      <c r="P142" s="55"/>
      <c r="Q142" s="55"/>
      <c r="R142" s="55" t="n">
        <v>69</v>
      </c>
      <c r="S142" s="55" t="n">
        <v>74</v>
      </c>
      <c r="T142" s="55"/>
      <c r="U142" s="55" t="s">
        <v>304</v>
      </c>
      <c r="V142" s="55" t="s">
        <v>1745</v>
      </c>
      <c r="W142" s="55" t="s">
        <v>1500</v>
      </c>
      <c r="X142" s="4"/>
      <c r="Y142" s="4"/>
      <c r="Z142" s="4"/>
    </row>
    <row r="143" customFormat="false" ht="15.75" hidden="false" customHeight="true" outlineLevel="0" collapsed="false">
      <c r="A143" s="55" t="n">
        <v>1594</v>
      </c>
      <c r="B143" s="55" t="s">
        <v>305</v>
      </c>
      <c r="C143" s="55" t="s">
        <v>306</v>
      </c>
      <c r="D143" s="55" t="s">
        <v>1746</v>
      </c>
      <c r="E143" s="55" t="s">
        <v>1746</v>
      </c>
      <c r="F143" s="55" t="s">
        <v>1194</v>
      </c>
      <c r="G143" s="55" t="s">
        <v>1195</v>
      </c>
      <c r="H143" s="55" t="s">
        <v>1248</v>
      </c>
      <c r="I143" s="55" t="s">
        <v>274</v>
      </c>
      <c r="J143" s="55" t="s">
        <v>1747</v>
      </c>
      <c r="K143" s="55" t="s">
        <v>296</v>
      </c>
      <c r="L143" s="55" t="n">
        <v>0.75</v>
      </c>
      <c r="M143" s="55" t="n">
        <v>2.75</v>
      </c>
      <c r="N143" s="55" t="s">
        <v>141</v>
      </c>
      <c r="O143" s="55"/>
      <c r="P143" s="55"/>
      <c r="Q143" s="55"/>
      <c r="R143" s="55" t="n">
        <v>59</v>
      </c>
      <c r="S143" s="55" t="n">
        <v>189</v>
      </c>
      <c r="T143" s="55"/>
      <c r="U143" s="55" t="s">
        <v>306</v>
      </c>
      <c r="V143" s="55" t="s">
        <v>1748</v>
      </c>
      <c r="W143" s="55" t="s">
        <v>1500</v>
      </c>
      <c r="X143" s="4"/>
      <c r="Y143" s="4"/>
      <c r="Z143" s="4"/>
    </row>
    <row r="144" customFormat="false" ht="15.75" hidden="false" customHeight="true" outlineLevel="0" collapsed="false">
      <c r="A144" s="55" t="n">
        <v>1595</v>
      </c>
      <c r="B144" s="55" t="s">
        <v>313</v>
      </c>
      <c r="C144" s="55" t="s">
        <v>314</v>
      </c>
      <c r="D144" s="55" t="s">
        <v>1749</v>
      </c>
      <c r="E144" s="55" t="s">
        <v>1749</v>
      </c>
      <c r="F144" s="55" t="s">
        <v>1194</v>
      </c>
      <c r="G144" s="55" t="s">
        <v>1195</v>
      </c>
      <c r="H144" s="55" t="s">
        <v>1248</v>
      </c>
      <c r="I144" s="55" t="s">
        <v>274</v>
      </c>
      <c r="J144" s="55" t="s">
        <v>1750</v>
      </c>
      <c r="K144" s="55" t="s">
        <v>312</v>
      </c>
      <c r="L144" s="55" t="n">
        <v>0.75</v>
      </c>
      <c r="M144" s="55" t="n">
        <v>3.5</v>
      </c>
      <c r="N144" s="55" t="s">
        <v>141</v>
      </c>
      <c r="O144" s="55"/>
      <c r="P144" s="55"/>
      <c r="Q144" s="55"/>
      <c r="R144" s="55" t="n">
        <v>82</v>
      </c>
      <c r="S144" s="55" t="n">
        <v>298</v>
      </c>
      <c r="T144" s="55"/>
      <c r="U144" s="55" t="s">
        <v>1751</v>
      </c>
      <c r="V144" s="55" t="s">
        <v>1752</v>
      </c>
      <c r="W144" s="55" t="s">
        <v>1500</v>
      </c>
      <c r="X144" s="4"/>
      <c r="Y144" s="4"/>
      <c r="Z144" s="4"/>
    </row>
    <row r="145" customFormat="false" ht="15.75" hidden="false" customHeight="true" outlineLevel="0" collapsed="false">
      <c r="A145" s="55" t="n">
        <v>1596</v>
      </c>
      <c r="B145" s="55" t="s">
        <v>315</v>
      </c>
      <c r="C145" s="55" t="s">
        <v>316</v>
      </c>
      <c r="D145" s="55" t="s">
        <v>1753</v>
      </c>
      <c r="E145" s="55" t="s">
        <v>1753</v>
      </c>
      <c r="F145" s="55" t="s">
        <v>1194</v>
      </c>
      <c r="G145" s="55" t="s">
        <v>1195</v>
      </c>
      <c r="H145" s="55" t="s">
        <v>1248</v>
      </c>
      <c r="I145" s="55" t="s">
        <v>274</v>
      </c>
      <c r="J145" s="55" t="s">
        <v>1754</v>
      </c>
      <c r="K145" s="55" t="s">
        <v>312</v>
      </c>
      <c r="L145" s="55" t="n">
        <v>0.75</v>
      </c>
      <c r="M145" s="55" t="n">
        <v>3.5</v>
      </c>
      <c r="N145" s="55" t="s">
        <v>141</v>
      </c>
      <c r="O145" s="55"/>
      <c r="P145" s="55"/>
      <c r="Q145" s="55"/>
      <c r="R145" s="55" t="n">
        <v>63</v>
      </c>
      <c r="S145" s="55" t="n">
        <v>86</v>
      </c>
      <c r="T145" s="55"/>
      <c r="U145" s="55" t="s">
        <v>316</v>
      </c>
      <c r="V145" s="55" t="s">
        <v>1503</v>
      </c>
      <c r="W145" s="55" t="s">
        <v>1500</v>
      </c>
      <c r="X145" s="4"/>
      <c r="Y145" s="4"/>
      <c r="Z145" s="4"/>
    </row>
    <row r="146" customFormat="false" ht="15.75" hidden="false" customHeight="true" outlineLevel="0" collapsed="false">
      <c r="A146" s="55" t="n">
        <v>1670</v>
      </c>
      <c r="B146" s="55" t="s">
        <v>607</v>
      </c>
      <c r="C146" s="55" t="s">
        <v>608</v>
      </c>
      <c r="D146" s="55" t="s">
        <v>1755</v>
      </c>
      <c r="E146" s="55" t="s">
        <v>1755</v>
      </c>
      <c r="F146" s="55" t="s">
        <v>1194</v>
      </c>
      <c r="G146" s="55" t="s">
        <v>1195</v>
      </c>
      <c r="H146" s="55" t="s">
        <v>1248</v>
      </c>
      <c r="I146" s="55" t="s">
        <v>599</v>
      </c>
      <c r="J146" s="55" t="s">
        <v>1756</v>
      </c>
      <c r="K146" s="55" t="s">
        <v>609</v>
      </c>
      <c r="L146" s="55" t="n">
        <v>1.75</v>
      </c>
      <c r="M146" s="55" t="n">
        <v>2.5</v>
      </c>
      <c r="N146" s="55" t="s">
        <v>141</v>
      </c>
      <c r="O146" s="55"/>
      <c r="P146" s="55"/>
      <c r="Q146" s="55"/>
      <c r="R146" s="55" t="n">
        <v>29</v>
      </c>
      <c r="S146" s="55" t="n">
        <v>123</v>
      </c>
      <c r="T146" s="55"/>
      <c r="U146" s="55" t="s">
        <v>608</v>
      </c>
      <c r="V146" s="55" t="s">
        <v>1503</v>
      </c>
      <c r="W146" s="55" t="s">
        <v>1500</v>
      </c>
      <c r="X146" s="4"/>
      <c r="Y146" s="4"/>
      <c r="Z146" s="4"/>
    </row>
    <row r="147" customFormat="false" ht="15.75" hidden="false" customHeight="true" outlineLevel="0" collapsed="false">
      <c r="A147" s="55" t="n">
        <v>1523</v>
      </c>
      <c r="B147" s="55" t="s">
        <v>137</v>
      </c>
      <c r="C147" s="55" t="s">
        <v>138</v>
      </c>
      <c r="D147" s="55" t="s">
        <v>1757</v>
      </c>
      <c r="E147" s="55" t="s">
        <v>1757</v>
      </c>
      <c r="F147" s="55" t="s">
        <v>1194</v>
      </c>
      <c r="G147" s="55" t="s">
        <v>1195</v>
      </c>
      <c r="H147" s="55" t="s">
        <v>1248</v>
      </c>
      <c r="I147" s="55" t="s">
        <v>139</v>
      </c>
      <c r="J147" s="55" t="s">
        <v>1758</v>
      </c>
      <c r="K147" s="55" t="s">
        <v>140</v>
      </c>
      <c r="L147" s="55" t="n">
        <v>1.75</v>
      </c>
      <c r="M147" s="55" t="n">
        <v>4.75</v>
      </c>
      <c r="N147" s="55" t="s">
        <v>141</v>
      </c>
      <c r="O147" s="55"/>
      <c r="P147" s="55"/>
      <c r="Q147" s="55"/>
      <c r="R147" s="55" t="n">
        <v>100</v>
      </c>
      <c r="S147" s="55" t="n">
        <v>643</v>
      </c>
      <c r="T147" s="55"/>
      <c r="U147" s="55" t="s">
        <v>1759</v>
      </c>
      <c r="V147" s="55" t="s">
        <v>1760</v>
      </c>
      <c r="W147" s="55" t="s">
        <v>1500</v>
      </c>
      <c r="X147" s="4"/>
      <c r="Y147" s="4"/>
      <c r="Z147" s="4"/>
    </row>
    <row r="148" customFormat="false" ht="15.75" hidden="false" customHeight="true" outlineLevel="0" collapsed="false">
      <c r="A148" s="55" t="n">
        <v>1575</v>
      </c>
      <c r="B148" s="55" t="s">
        <v>425</v>
      </c>
      <c r="C148" s="55" t="s">
        <v>426</v>
      </c>
      <c r="D148" s="55" t="s">
        <v>1761</v>
      </c>
      <c r="E148" s="55" t="s">
        <v>1761</v>
      </c>
      <c r="F148" s="55" t="s">
        <v>1194</v>
      </c>
      <c r="G148" s="55" t="s">
        <v>1195</v>
      </c>
      <c r="H148" s="55" t="s">
        <v>1248</v>
      </c>
      <c r="I148" s="55" t="s">
        <v>420</v>
      </c>
      <c r="J148" s="55" t="s">
        <v>1762</v>
      </c>
      <c r="K148" s="55" t="s">
        <v>427</v>
      </c>
      <c r="L148" s="55" t="n">
        <v>0.375</v>
      </c>
      <c r="M148" s="55" t="n">
        <v>0.375</v>
      </c>
      <c r="N148" s="55" t="s">
        <v>141</v>
      </c>
      <c r="O148" s="55"/>
      <c r="P148" s="55"/>
      <c r="Q148" s="55"/>
      <c r="R148" s="55" t="n">
        <v>26</v>
      </c>
      <c r="S148" s="55" t="n">
        <v>145</v>
      </c>
      <c r="T148" s="55"/>
      <c r="U148" s="55" t="s">
        <v>426</v>
      </c>
      <c r="V148" s="55" t="s">
        <v>1763</v>
      </c>
      <c r="W148" s="55" t="s">
        <v>1500</v>
      </c>
      <c r="X148" s="4"/>
      <c r="Y148" s="4"/>
      <c r="Z148" s="4"/>
    </row>
    <row r="149" customFormat="false" ht="15.75" hidden="false" customHeight="true" outlineLevel="0" collapsed="false">
      <c r="A149" s="55" t="n">
        <v>1597</v>
      </c>
      <c r="B149" s="55" t="s">
        <v>317</v>
      </c>
      <c r="C149" s="55" t="s">
        <v>318</v>
      </c>
      <c r="D149" s="55" t="s">
        <v>1764</v>
      </c>
      <c r="E149" s="55" t="s">
        <v>1764</v>
      </c>
      <c r="F149" s="55" t="s">
        <v>1194</v>
      </c>
      <c r="G149" s="55" t="s">
        <v>1195</v>
      </c>
      <c r="H149" s="55" t="s">
        <v>1248</v>
      </c>
      <c r="I149" s="55" t="s">
        <v>274</v>
      </c>
      <c r="J149" s="55" t="s">
        <v>1765</v>
      </c>
      <c r="K149" s="55" t="s">
        <v>319</v>
      </c>
      <c r="L149" s="55" t="n">
        <v>0.75</v>
      </c>
      <c r="M149" s="55" t="n">
        <v>3.75</v>
      </c>
      <c r="N149" s="55" t="s">
        <v>141</v>
      </c>
      <c r="O149" s="55"/>
      <c r="P149" s="55"/>
      <c r="Q149" s="55"/>
      <c r="R149" s="55" t="n">
        <v>68</v>
      </c>
      <c r="S149" s="55" t="n">
        <v>90</v>
      </c>
      <c r="T149" s="55"/>
      <c r="U149" s="55" t="s">
        <v>318</v>
      </c>
      <c r="V149" s="55" t="s">
        <v>1766</v>
      </c>
      <c r="W149" s="55" t="s">
        <v>1500</v>
      </c>
      <c r="X149" s="4"/>
      <c r="Y149" s="4"/>
      <c r="Z149" s="4"/>
    </row>
    <row r="150" customFormat="false" ht="15.75" hidden="false" customHeight="true" outlineLevel="0" collapsed="false">
      <c r="A150" s="55" t="n">
        <v>1574</v>
      </c>
      <c r="B150" s="55" t="s">
        <v>239</v>
      </c>
      <c r="C150" s="55" t="s">
        <v>240</v>
      </c>
      <c r="D150" s="55" t="s">
        <v>1767</v>
      </c>
      <c r="E150" s="55" t="s">
        <v>1767</v>
      </c>
      <c r="F150" s="55" t="s">
        <v>1194</v>
      </c>
      <c r="G150" s="55" t="s">
        <v>1195</v>
      </c>
      <c r="H150" s="55" t="s">
        <v>1248</v>
      </c>
      <c r="I150" s="55" t="s">
        <v>234</v>
      </c>
      <c r="J150" s="55" t="s">
        <v>1768</v>
      </c>
      <c r="K150" s="55" t="s">
        <v>241</v>
      </c>
      <c r="L150" s="55" t="n">
        <v>0.5</v>
      </c>
      <c r="M150" s="55" t="n">
        <v>1.5</v>
      </c>
      <c r="N150" s="55" t="s">
        <v>141</v>
      </c>
      <c r="O150" s="55"/>
      <c r="P150" s="55"/>
      <c r="Q150" s="55"/>
      <c r="R150" s="55" t="n">
        <v>3</v>
      </c>
      <c r="S150" s="55" t="n">
        <v>126</v>
      </c>
      <c r="T150" s="55"/>
      <c r="U150" s="55" t="s">
        <v>240</v>
      </c>
      <c r="V150" s="55" t="s">
        <v>1503</v>
      </c>
      <c r="W150" s="55" t="s">
        <v>1500</v>
      </c>
      <c r="X150" s="4"/>
      <c r="Y150" s="4"/>
      <c r="Z150" s="4"/>
    </row>
    <row r="151" customFormat="false" ht="15.75" hidden="false" customHeight="true" outlineLevel="0" collapsed="false">
      <c r="A151" s="55" t="n">
        <v>1572</v>
      </c>
      <c r="B151" s="55" t="s">
        <v>232</v>
      </c>
      <c r="C151" s="55" t="s">
        <v>233</v>
      </c>
      <c r="D151" s="55" t="s">
        <v>1769</v>
      </c>
      <c r="E151" s="55" t="s">
        <v>1769</v>
      </c>
      <c r="F151" s="55" t="s">
        <v>1194</v>
      </c>
      <c r="G151" s="55" t="s">
        <v>1195</v>
      </c>
      <c r="H151" s="55" t="s">
        <v>1248</v>
      </c>
      <c r="I151" s="55" t="s">
        <v>234</v>
      </c>
      <c r="J151" s="55" t="s">
        <v>1770</v>
      </c>
      <c r="K151" s="55" t="s">
        <v>235</v>
      </c>
      <c r="L151" s="55" t="n">
        <v>0.375</v>
      </c>
      <c r="M151" s="55" t="n">
        <v>0.75</v>
      </c>
      <c r="N151" s="55" t="s">
        <v>141</v>
      </c>
      <c r="O151" s="55"/>
      <c r="P151" s="55"/>
      <c r="Q151" s="55"/>
      <c r="R151" s="55" t="n">
        <v>5</v>
      </c>
      <c r="S151" s="55" t="n">
        <v>127</v>
      </c>
      <c r="T151" s="55"/>
      <c r="U151" s="55" t="s">
        <v>233</v>
      </c>
      <c r="V151" s="55" t="s">
        <v>1771</v>
      </c>
      <c r="W151" s="55" t="s">
        <v>1500</v>
      </c>
      <c r="X151" s="4"/>
      <c r="Y151" s="4"/>
      <c r="Z151" s="4"/>
    </row>
    <row r="152" customFormat="false" ht="15.75" hidden="false" customHeight="true" outlineLevel="0" collapsed="false">
      <c r="A152" s="55" t="n">
        <v>1529</v>
      </c>
      <c r="B152" s="55" t="s">
        <v>150</v>
      </c>
      <c r="C152" s="55" t="s">
        <v>151</v>
      </c>
      <c r="D152" s="55" t="s">
        <v>1772</v>
      </c>
      <c r="E152" s="55" t="s">
        <v>1772</v>
      </c>
      <c r="F152" s="55" t="s">
        <v>1194</v>
      </c>
      <c r="G152" s="55" t="s">
        <v>1195</v>
      </c>
      <c r="H152" s="55" t="s">
        <v>1248</v>
      </c>
      <c r="I152" s="55" t="s">
        <v>145</v>
      </c>
      <c r="J152" s="55" t="s">
        <v>1773</v>
      </c>
      <c r="K152" s="55" t="s">
        <v>146</v>
      </c>
      <c r="L152" s="55" t="n">
        <v>0.75</v>
      </c>
      <c r="M152" s="55" t="n">
        <v>1.25</v>
      </c>
      <c r="N152" s="55" t="s">
        <v>141</v>
      </c>
      <c r="O152" s="55"/>
      <c r="P152" s="55"/>
      <c r="Q152" s="55"/>
      <c r="R152" s="55" t="n">
        <v>119</v>
      </c>
      <c r="S152" s="55" t="n">
        <v>403</v>
      </c>
      <c r="T152" s="55"/>
      <c r="U152" s="55" t="s">
        <v>1774</v>
      </c>
      <c r="V152" s="55" t="s">
        <v>1775</v>
      </c>
      <c r="W152" s="55" t="s">
        <v>1500</v>
      </c>
      <c r="X152" s="4"/>
      <c r="Y152" s="4"/>
      <c r="Z152" s="4"/>
    </row>
    <row r="153" customFormat="false" ht="15.75" hidden="false" customHeight="true" outlineLevel="0" collapsed="false">
      <c r="A153" s="55" t="n">
        <v>1530</v>
      </c>
      <c r="B153" s="55" t="s">
        <v>153</v>
      </c>
      <c r="C153" s="55" t="s">
        <v>154</v>
      </c>
      <c r="D153" s="55" t="s">
        <v>1776</v>
      </c>
      <c r="E153" s="55" t="s">
        <v>1776</v>
      </c>
      <c r="F153" s="55" t="s">
        <v>1194</v>
      </c>
      <c r="G153" s="55" t="s">
        <v>1195</v>
      </c>
      <c r="H153" s="55" t="s">
        <v>1248</v>
      </c>
      <c r="I153" s="55" t="s">
        <v>145</v>
      </c>
      <c r="J153" s="55" t="s">
        <v>1777</v>
      </c>
      <c r="K153" s="55" t="s">
        <v>155</v>
      </c>
      <c r="L153" s="55" t="n">
        <v>1.625</v>
      </c>
      <c r="M153" s="55" t="n">
        <v>1.625</v>
      </c>
      <c r="N153" s="55" t="s">
        <v>141</v>
      </c>
      <c r="O153" s="55"/>
      <c r="P153" s="55"/>
      <c r="Q153" s="55"/>
      <c r="R153" s="55" t="n">
        <v>88</v>
      </c>
      <c r="S153" s="55" t="n">
        <v>215</v>
      </c>
      <c r="T153" s="55"/>
      <c r="U153" s="55" t="s">
        <v>1778</v>
      </c>
      <c r="V153" s="55" t="s">
        <v>1779</v>
      </c>
      <c r="W153" s="55" t="s">
        <v>1500</v>
      </c>
      <c r="X153" s="4"/>
      <c r="Y153" s="4"/>
      <c r="Z153" s="4"/>
    </row>
    <row r="154" customFormat="false" ht="15.75" hidden="false" customHeight="true" outlineLevel="0" collapsed="false">
      <c r="A154" s="55" t="n">
        <v>1531</v>
      </c>
      <c r="B154" s="55" t="s">
        <v>503</v>
      </c>
      <c r="C154" s="55" t="s">
        <v>504</v>
      </c>
      <c r="D154" s="55" t="s">
        <v>1780</v>
      </c>
      <c r="E154" s="55" t="s">
        <v>1780</v>
      </c>
      <c r="F154" s="55" t="s">
        <v>1194</v>
      </c>
      <c r="G154" s="55" t="s">
        <v>1195</v>
      </c>
      <c r="H154" s="55" t="s">
        <v>1248</v>
      </c>
      <c r="I154" s="55" t="s">
        <v>505</v>
      </c>
      <c r="J154" s="55" t="s">
        <v>1781</v>
      </c>
      <c r="K154" s="55" t="s">
        <v>506</v>
      </c>
      <c r="L154" s="55" t="n">
        <v>0.5</v>
      </c>
      <c r="M154" s="55" t="n">
        <v>2</v>
      </c>
      <c r="N154" s="55" t="s">
        <v>141</v>
      </c>
      <c r="O154" s="55"/>
      <c r="P154" s="55"/>
      <c r="Q154" s="55"/>
      <c r="R154" s="55" t="n">
        <v>31</v>
      </c>
      <c r="S154" s="55" t="n">
        <v>109</v>
      </c>
      <c r="T154" s="55"/>
      <c r="U154" s="55" t="s">
        <v>504</v>
      </c>
      <c r="V154" s="55" t="s">
        <v>1503</v>
      </c>
      <c r="W154" s="55" t="s">
        <v>1500</v>
      </c>
      <c r="X154" s="4"/>
      <c r="Y154" s="4"/>
      <c r="Z154" s="4"/>
    </row>
    <row r="155" customFormat="false" ht="15.75" hidden="false" customHeight="true" outlineLevel="0" collapsed="false">
      <c r="A155" s="55" t="n">
        <v>1537</v>
      </c>
      <c r="B155" s="55" t="s">
        <v>200</v>
      </c>
      <c r="C155" s="55" t="s">
        <v>201</v>
      </c>
      <c r="D155" s="55" t="s">
        <v>1782</v>
      </c>
      <c r="E155" s="55" t="s">
        <v>1782</v>
      </c>
      <c r="F155" s="55" t="s">
        <v>1194</v>
      </c>
      <c r="G155" s="55" t="s">
        <v>1195</v>
      </c>
      <c r="H155" s="55" t="s">
        <v>1248</v>
      </c>
      <c r="I155" s="55" t="s">
        <v>172</v>
      </c>
      <c r="J155" s="55" t="s">
        <v>1783</v>
      </c>
      <c r="K155" s="55" t="s">
        <v>197</v>
      </c>
      <c r="L155" s="55" t="n">
        <v>0.625</v>
      </c>
      <c r="M155" s="55" t="n">
        <v>5.25</v>
      </c>
      <c r="N155" s="55" t="s">
        <v>141</v>
      </c>
      <c r="O155" s="55"/>
      <c r="P155" s="55"/>
      <c r="Q155" s="55"/>
      <c r="R155" s="55" t="n">
        <v>76</v>
      </c>
      <c r="S155" s="55" t="n">
        <v>594</v>
      </c>
      <c r="T155" s="55"/>
      <c r="U155" s="55" t="s">
        <v>1784</v>
      </c>
      <c r="V155" s="55" t="s">
        <v>1785</v>
      </c>
      <c r="W155" s="55" t="s">
        <v>1500</v>
      </c>
      <c r="X155" s="4"/>
      <c r="Y155" s="4"/>
      <c r="Z155" s="4"/>
    </row>
    <row r="156" customFormat="false" ht="15.75" hidden="false" customHeight="true" outlineLevel="0" collapsed="false">
      <c r="A156" s="55" t="n">
        <v>1538</v>
      </c>
      <c r="B156" s="55" t="s">
        <v>202</v>
      </c>
      <c r="C156" s="55" t="s">
        <v>203</v>
      </c>
      <c r="D156" s="55" t="s">
        <v>1786</v>
      </c>
      <c r="E156" s="55" t="s">
        <v>1786</v>
      </c>
      <c r="F156" s="55" t="s">
        <v>1194</v>
      </c>
      <c r="G156" s="55" t="s">
        <v>1195</v>
      </c>
      <c r="H156" s="55" t="s">
        <v>1248</v>
      </c>
      <c r="I156" s="55" t="s">
        <v>172</v>
      </c>
      <c r="J156" s="55" t="s">
        <v>1787</v>
      </c>
      <c r="K156" s="55" t="s">
        <v>197</v>
      </c>
      <c r="L156" s="55" t="n">
        <v>0.625</v>
      </c>
      <c r="M156" s="55" t="n">
        <v>5.25</v>
      </c>
      <c r="N156" s="55" t="s">
        <v>141</v>
      </c>
      <c r="O156" s="55"/>
      <c r="P156" s="55"/>
      <c r="Q156" s="55"/>
      <c r="R156" s="55" t="n">
        <v>70</v>
      </c>
      <c r="S156" s="55" t="n">
        <v>116</v>
      </c>
      <c r="T156" s="55"/>
      <c r="U156" s="55" t="s">
        <v>1788</v>
      </c>
      <c r="V156" s="55" t="s">
        <v>1789</v>
      </c>
      <c r="W156" s="55" t="s">
        <v>1500</v>
      </c>
      <c r="X156" s="4"/>
      <c r="Y156" s="4"/>
      <c r="Z156" s="4"/>
    </row>
    <row r="157" customFormat="false" ht="15.75" hidden="false" customHeight="true" outlineLevel="0" collapsed="false">
      <c r="A157" s="55" t="n">
        <v>1541</v>
      </c>
      <c r="B157" s="55" t="s">
        <v>206</v>
      </c>
      <c r="C157" s="55" t="s">
        <v>207</v>
      </c>
      <c r="D157" s="55" t="s">
        <v>1790</v>
      </c>
      <c r="E157" s="55" t="s">
        <v>1790</v>
      </c>
      <c r="F157" s="55" t="s">
        <v>1194</v>
      </c>
      <c r="G157" s="55" t="s">
        <v>1195</v>
      </c>
      <c r="H157" s="55" t="s">
        <v>1248</v>
      </c>
      <c r="I157" s="55" t="s">
        <v>172</v>
      </c>
      <c r="J157" s="55" t="s">
        <v>1791</v>
      </c>
      <c r="K157" s="55" t="s">
        <v>208</v>
      </c>
      <c r="L157" s="55" t="n">
        <v>0.6875</v>
      </c>
      <c r="M157" s="55" t="n">
        <v>5.25</v>
      </c>
      <c r="N157" s="55" t="s">
        <v>141</v>
      </c>
      <c r="O157" s="55"/>
      <c r="P157" s="55"/>
      <c r="Q157" s="55"/>
      <c r="R157" s="55" t="n">
        <v>108</v>
      </c>
      <c r="S157" s="55" t="n">
        <v>269</v>
      </c>
      <c r="T157" s="55"/>
      <c r="U157" s="55" t="s">
        <v>1792</v>
      </c>
      <c r="V157" s="55" t="s">
        <v>1793</v>
      </c>
      <c r="W157" s="55" t="s">
        <v>1500</v>
      </c>
      <c r="X157" s="4"/>
      <c r="Y157" s="4"/>
      <c r="Z157" s="4"/>
    </row>
    <row r="158" customFormat="false" ht="15.75" hidden="false" customHeight="true" outlineLevel="0" collapsed="false">
      <c r="A158" s="55" t="n">
        <v>1542</v>
      </c>
      <c r="B158" s="55" t="s">
        <v>220</v>
      </c>
      <c r="C158" s="55" t="s">
        <v>221</v>
      </c>
      <c r="D158" s="55" t="s">
        <v>1794</v>
      </c>
      <c r="E158" s="55" t="s">
        <v>1794</v>
      </c>
      <c r="F158" s="55" t="s">
        <v>1194</v>
      </c>
      <c r="G158" s="55" t="s">
        <v>1195</v>
      </c>
      <c r="H158" s="55" t="s">
        <v>1248</v>
      </c>
      <c r="I158" s="55" t="s">
        <v>172</v>
      </c>
      <c r="J158" s="55" t="s">
        <v>1795</v>
      </c>
      <c r="K158" s="55" t="s">
        <v>211</v>
      </c>
      <c r="L158" s="55" t="n">
        <v>0.6875</v>
      </c>
      <c r="M158" s="55" t="n">
        <v>7.25</v>
      </c>
      <c r="N158" s="55" t="s">
        <v>141</v>
      </c>
      <c r="O158" s="55"/>
      <c r="P158" s="55"/>
      <c r="Q158" s="55"/>
      <c r="R158" s="55" t="n">
        <v>71</v>
      </c>
      <c r="S158" s="55" t="n">
        <v>99</v>
      </c>
      <c r="T158" s="55"/>
      <c r="U158" s="55" t="s">
        <v>1796</v>
      </c>
      <c r="V158" s="55" t="s">
        <v>1797</v>
      </c>
      <c r="W158" s="55" t="s">
        <v>1500</v>
      </c>
      <c r="X158" s="4"/>
      <c r="Y158" s="4"/>
      <c r="Z158" s="4"/>
    </row>
    <row r="159" customFormat="false" ht="15.75" hidden="false" customHeight="true" outlineLevel="0" collapsed="false">
      <c r="A159" s="55" t="n">
        <v>1544</v>
      </c>
      <c r="B159" s="55" t="s">
        <v>222</v>
      </c>
      <c r="C159" s="55" t="s">
        <v>223</v>
      </c>
      <c r="D159" s="55" t="s">
        <v>1798</v>
      </c>
      <c r="E159" s="55" t="s">
        <v>1798</v>
      </c>
      <c r="F159" s="55" t="s">
        <v>1194</v>
      </c>
      <c r="G159" s="55" t="s">
        <v>1195</v>
      </c>
      <c r="H159" s="55" t="s">
        <v>1248</v>
      </c>
      <c r="I159" s="55" t="s">
        <v>172</v>
      </c>
      <c r="J159" s="55" t="s">
        <v>1799</v>
      </c>
      <c r="K159" s="55" t="s">
        <v>211</v>
      </c>
      <c r="L159" s="55" t="n">
        <v>0.6875</v>
      </c>
      <c r="M159" s="55" t="n">
        <v>7.25</v>
      </c>
      <c r="N159" s="55" t="s">
        <v>141</v>
      </c>
      <c r="O159" s="55"/>
      <c r="P159" s="55"/>
      <c r="Q159" s="55"/>
      <c r="R159" s="55" t="n">
        <v>84</v>
      </c>
      <c r="S159" s="55" t="n">
        <v>196</v>
      </c>
      <c r="T159" s="55"/>
      <c r="U159" s="55" t="s">
        <v>1800</v>
      </c>
      <c r="V159" s="55" t="s">
        <v>1801</v>
      </c>
      <c r="W159" s="55" t="s">
        <v>1500</v>
      </c>
      <c r="X159" s="4"/>
      <c r="Y159" s="4"/>
      <c r="Z159" s="4"/>
    </row>
    <row r="160" customFormat="false" ht="15.75" hidden="false" customHeight="true" outlineLevel="0" collapsed="false">
      <c r="A160" s="55" t="n">
        <v>1545</v>
      </c>
      <c r="B160" s="55" t="s">
        <v>224</v>
      </c>
      <c r="C160" s="55" t="s">
        <v>225</v>
      </c>
      <c r="D160" s="55" t="s">
        <v>1802</v>
      </c>
      <c r="E160" s="55" t="s">
        <v>1802</v>
      </c>
      <c r="F160" s="55" t="s">
        <v>1194</v>
      </c>
      <c r="G160" s="55" t="s">
        <v>1195</v>
      </c>
      <c r="H160" s="55" t="s">
        <v>1248</v>
      </c>
      <c r="I160" s="55" t="s">
        <v>172</v>
      </c>
      <c r="J160" s="55" t="s">
        <v>1803</v>
      </c>
      <c r="K160" s="55" t="s">
        <v>211</v>
      </c>
      <c r="L160" s="55" t="n">
        <v>0.6875</v>
      </c>
      <c r="M160" s="55" t="n">
        <v>7.25</v>
      </c>
      <c r="N160" s="55" t="s">
        <v>141</v>
      </c>
      <c r="O160" s="55"/>
      <c r="P160" s="55"/>
      <c r="Q160" s="55"/>
      <c r="R160" s="55" t="n">
        <v>72</v>
      </c>
      <c r="S160" s="55" t="n">
        <v>157</v>
      </c>
      <c r="T160" s="55"/>
      <c r="U160" s="55" t="s">
        <v>1804</v>
      </c>
      <c r="V160" s="55" t="s">
        <v>1805</v>
      </c>
      <c r="W160" s="55" t="s">
        <v>1500</v>
      </c>
      <c r="X160" s="4"/>
      <c r="Y160" s="4"/>
      <c r="Z160" s="4"/>
    </row>
    <row r="161" customFormat="false" ht="15.75" hidden="false" customHeight="true" outlineLevel="0" collapsed="false">
      <c r="A161" s="55" t="n">
        <v>1549</v>
      </c>
      <c r="B161" s="55" t="s">
        <v>170</v>
      </c>
      <c r="C161" s="55" t="s">
        <v>171</v>
      </c>
      <c r="D161" s="55" t="s">
        <v>1806</v>
      </c>
      <c r="E161" s="55" t="s">
        <v>1806</v>
      </c>
      <c r="F161" s="55" t="s">
        <v>1194</v>
      </c>
      <c r="G161" s="55" t="s">
        <v>1195</v>
      </c>
      <c r="H161" s="55" t="s">
        <v>1248</v>
      </c>
      <c r="I161" s="55" t="s">
        <v>172</v>
      </c>
      <c r="J161" s="55" t="s">
        <v>1807</v>
      </c>
      <c r="K161" s="55" t="s">
        <v>173</v>
      </c>
      <c r="L161" s="55" t="n">
        <v>0.3125</v>
      </c>
      <c r="M161" s="55" t="n">
        <v>3.25</v>
      </c>
      <c r="N161" s="55" t="s">
        <v>141</v>
      </c>
      <c r="O161" s="55"/>
      <c r="P161" s="55"/>
      <c r="Q161" s="55"/>
      <c r="R161" s="55" t="n">
        <v>65</v>
      </c>
      <c r="S161" s="55" t="n">
        <v>442</v>
      </c>
      <c r="T161" s="55"/>
      <c r="U161" s="55" t="s">
        <v>1808</v>
      </c>
      <c r="V161" s="55" t="s">
        <v>1809</v>
      </c>
      <c r="W161" s="55" t="s">
        <v>1500</v>
      </c>
      <c r="X161" s="4"/>
      <c r="Y161" s="4"/>
      <c r="Z161" s="4"/>
    </row>
    <row r="162" customFormat="false" ht="15.75" hidden="false" customHeight="true" outlineLevel="0" collapsed="false">
      <c r="A162" s="55" t="n">
        <v>1552</v>
      </c>
      <c r="B162" s="55" t="s">
        <v>185</v>
      </c>
      <c r="C162" s="55" t="s">
        <v>186</v>
      </c>
      <c r="D162" s="55" t="s">
        <v>1810</v>
      </c>
      <c r="E162" s="55" t="s">
        <v>1810</v>
      </c>
      <c r="F162" s="55" t="s">
        <v>1194</v>
      </c>
      <c r="G162" s="55" t="s">
        <v>1195</v>
      </c>
      <c r="H162" s="55" t="s">
        <v>1248</v>
      </c>
      <c r="I162" s="55" t="s">
        <v>172</v>
      </c>
      <c r="J162" s="55" t="s">
        <v>1811</v>
      </c>
      <c r="K162" s="55" t="s">
        <v>187</v>
      </c>
      <c r="L162" s="55" t="n">
        <v>0.625</v>
      </c>
      <c r="M162" s="55" t="n">
        <v>4.25</v>
      </c>
      <c r="N162" s="55" t="s">
        <v>141</v>
      </c>
      <c r="O162" s="55"/>
      <c r="P162" s="55"/>
      <c r="Q162" s="55"/>
      <c r="R162" s="55" t="n">
        <v>77</v>
      </c>
      <c r="S162" s="55" t="n">
        <v>617</v>
      </c>
      <c r="T162" s="55"/>
      <c r="U162" s="55" t="s">
        <v>1812</v>
      </c>
      <c r="V162" s="55" t="s">
        <v>1813</v>
      </c>
      <c r="W162" s="55" t="s">
        <v>1500</v>
      </c>
      <c r="X162" s="4"/>
      <c r="Y162" s="4"/>
      <c r="Z162" s="4"/>
    </row>
    <row r="163" customFormat="false" ht="15.75" hidden="false" customHeight="true" outlineLevel="0" collapsed="false">
      <c r="A163" s="55" t="n">
        <v>1555</v>
      </c>
      <c r="B163" s="55" t="s">
        <v>193</v>
      </c>
      <c r="C163" s="55" t="s">
        <v>194</v>
      </c>
      <c r="D163" s="55" t="s">
        <v>1814</v>
      </c>
      <c r="E163" s="55" t="s">
        <v>1814</v>
      </c>
      <c r="F163" s="55" t="s">
        <v>1194</v>
      </c>
      <c r="G163" s="55" t="s">
        <v>1195</v>
      </c>
      <c r="H163" s="55" t="s">
        <v>1248</v>
      </c>
      <c r="I163" s="55" t="s">
        <v>172</v>
      </c>
      <c r="J163" s="55" t="s">
        <v>1815</v>
      </c>
      <c r="K163" s="55" t="s">
        <v>187</v>
      </c>
      <c r="L163" s="55" t="n">
        <v>0.625</v>
      </c>
      <c r="M163" s="55" t="n">
        <v>4.25</v>
      </c>
      <c r="N163" s="55" t="s">
        <v>141</v>
      </c>
      <c r="O163" s="55"/>
      <c r="P163" s="55"/>
      <c r="Q163" s="55"/>
      <c r="R163" s="55" t="n">
        <v>105</v>
      </c>
      <c r="S163" s="55" t="n">
        <v>409</v>
      </c>
      <c r="T163" s="55"/>
      <c r="U163" s="55" t="s">
        <v>1816</v>
      </c>
      <c r="V163" s="55" t="s">
        <v>1817</v>
      </c>
      <c r="W163" s="55" t="s">
        <v>1500</v>
      </c>
      <c r="X163" s="4"/>
      <c r="Y163" s="4"/>
      <c r="Z163" s="4"/>
    </row>
    <row r="164" customFormat="false" ht="15.75" hidden="false" customHeight="true" outlineLevel="0" collapsed="false">
      <c r="A164" s="55" t="n">
        <v>1526</v>
      </c>
      <c r="B164" s="55" t="s">
        <v>159</v>
      </c>
      <c r="C164" s="55" t="s">
        <v>160</v>
      </c>
      <c r="D164" s="55" t="s">
        <v>1818</v>
      </c>
      <c r="E164" s="55" t="s">
        <v>1818</v>
      </c>
      <c r="F164" s="55" t="s">
        <v>1194</v>
      </c>
      <c r="G164" s="55" t="s">
        <v>1195</v>
      </c>
      <c r="H164" s="55" t="s">
        <v>1248</v>
      </c>
      <c r="I164" s="55" t="s">
        <v>145</v>
      </c>
      <c r="J164" s="55" t="s">
        <v>1819</v>
      </c>
      <c r="K164" s="55" t="s">
        <v>161</v>
      </c>
      <c r="L164" s="55" t="n">
        <v>1.3125</v>
      </c>
      <c r="M164" s="55" t="n">
        <v>1.3125</v>
      </c>
      <c r="N164" s="55" t="s">
        <v>162</v>
      </c>
      <c r="O164" s="55"/>
      <c r="P164" s="55"/>
      <c r="Q164" s="55"/>
      <c r="R164" s="55" t="n">
        <v>31</v>
      </c>
      <c r="S164" s="55" t="n">
        <v>413</v>
      </c>
      <c r="T164" s="55"/>
      <c r="U164" s="55" t="s">
        <v>1820</v>
      </c>
      <c r="V164" s="55" t="s">
        <v>1821</v>
      </c>
      <c r="W164" s="55" t="s">
        <v>1500</v>
      </c>
      <c r="X164" s="4"/>
      <c r="Y164" s="4"/>
      <c r="Z164" s="4"/>
    </row>
    <row r="165" customFormat="false" ht="15.75" hidden="false" customHeight="true" outlineLevel="0" collapsed="false">
      <c r="A165" s="55" t="n">
        <v>1557</v>
      </c>
      <c r="B165" s="55" t="s">
        <v>195</v>
      </c>
      <c r="C165" s="55" t="s">
        <v>196</v>
      </c>
      <c r="D165" s="55" t="s">
        <v>1822</v>
      </c>
      <c r="E165" s="55" t="s">
        <v>1822</v>
      </c>
      <c r="F165" s="55" t="s">
        <v>1194</v>
      </c>
      <c r="G165" s="55" t="s">
        <v>1195</v>
      </c>
      <c r="H165" s="55" t="s">
        <v>1248</v>
      </c>
      <c r="I165" s="55" t="s">
        <v>172</v>
      </c>
      <c r="J165" s="55" t="s">
        <v>1823</v>
      </c>
      <c r="K165" s="55" t="s">
        <v>197</v>
      </c>
      <c r="L165" s="55" t="n">
        <v>0.625</v>
      </c>
      <c r="M165" s="55" t="n">
        <v>5.25</v>
      </c>
      <c r="N165" s="55" t="s">
        <v>141</v>
      </c>
      <c r="O165" s="55"/>
      <c r="P165" s="55"/>
      <c r="Q165" s="55"/>
      <c r="R165" s="55" t="n">
        <v>73</v>
      </c>
      <c r="S165" s="55" t="n">
        <v>439</v>
      </c>
      <c r="T165" s="55"/>
      <c r="U165" s="55" t="s">
        <v>1824</v>
      </c>
      <c r="V165" s="55" t="s">
        <v>1825</v>
      </c>
      <c r="W165" s="55" t="s">
        <v>1500</v>
      </c>
      <c r="X165" s="4"/>
      <c r="Y165" s="4"/>
      <c r="Z165" s="4"/>
    </row>
    <row r="166" customFormat="false" ht="15.75" hidden="false" customHeight="true" outlineLevel="0" collapsed="false">
      <c r="A166" s="55" t="n">
        <v>1559</v>
      </c>
      <c r="B166" s="55" t="s">
        <v>198</v>
      </c>
      <c r="C166" s="55" t="s">
        <v>199</v>
      </c>
      <c r="D166" s="55" t="s">
        <v>1826</v>
      </c>
      <c r="E166" s="55" t="s">
        <v>1826</v>
      </c>
      <c r="F166" s="55" t="s">
        <v>1194</v>
      </c>
      <c r="G166" s="55" t="s">
        <v>1195</v>
      </c>
      <c r="H166" s="55" t="s">
        <v>1248</v>
      </c>
      <c r="I166" s="55" t="s">
        <v>172</v>
      </c>
      <c r="J166" s="55" t="s">
        <v>1827</v>
      </c>
      <c r="K166" s="55" t="s">
        <v>197</v>
      </c>
      <c r="L166" s="55" t="n">
        <v>0.625</v>
      </c>
      <c r="M166" s="55" t="n">
        <v>5.25</v>
      </c>
      <c r="N166" s="55" t="s">
        <v>141</v>
      </c>
      <c r="O166" s="55"/>
      <c r="P166" s="55"/>
      <c r="Q166" s="55"/>
      <c r="R166" s="55" t="n">
        <v>94</v>
      </c>
      <c r="S166" s="55" t="n">
        <v>313</v>
      </c>
      <c r="T166" s="55"/>
      <c r="U166" s="55" t="s">
        <v>1828</v>
      </c>
      <c r="V166" s="55" t="s">
        <v>1829</v>
      </c>
      <c r="W166" s="55" t="s">
        <v>1500</v>
      </c>
      <c r="X166" s="4"/>
      <c r="Y166" s="4"/>
      <c r="Z166" s="4"/>
    </row>
    <row r="167" customFormat="false" ht="15.75" hidden="false" customHeight="true" outlineLevel="0" collapsed="false">
      <c r="A167" s="55" t="n">
        <v>1562</v>
      </c>
      <c r="B167" s="55" t="s">
        <v>209</v>
      </c>
      <c r="C167" s="55" t="s">
        <v>210</v>
      </c>
      <c r="D167" s="55" t="s">
        <v>1830</v>
      </c>
      <c r="E167" s="55" t="s">
        <v>1830</v>
      </c>
      <c r="F167" s="55" t="s">
        <v>1194</v>
      </c>
      <c r="G167" s="55" t="s">
        <v>1195</v>
      </c>
      <c r="H167" s="55" t="s">
        <v>1248</v>
      </c>
      <c r="I167" s="55" t="s">
        <v>172</v>
      </c>
      <c r="J167" s="55" t="s">
        <v>1831</v>
      </c>
      <c r="K167" s="55" t="s">
        <v>211</v>
      </c>
      <c r="L167" s="55" t="n">
        <v>0.6875</v>
      </c>
      <c r="M167" s="55" t="n">
        <v>7.25</v>
      </c>
      <c r="N167" s="55" t="s">
        <v>141</v>
      </c>
      <c r="O167" s="55"/>
      <c r="P167" s="55"/>
      <c r="Q167" s="55"/>
      <c r="R167" s="55" t="n">
        <v>71</v>
      </c>
      <c r="S167" s="55" t="n">
        <v>288</v>
      </c>
      <c r="T167" s="55"/>
      <c r="U167" s="55" t="s">
        <v>1832</v>
      </c>
      <c r="V167" s="55" t="s">
        <v>1833</v>
      </c>
      <c r="W167" s="55" t="s">
        <v>1500</v>
      </c>
      <c r="X167" s="4"/>
      <c r="Y167" s="4"/>
      <c r="Z167" s="4"/>
    </row>
    <row r="168" customFormat="false" ht="15.75" hidden="false" customHeight="true" outlineLevel="0" collapsed="false">
      <c r="A168" s="55" t="n">
        <v>1565</v>
      </c>
      <c r="B168" s="55" t="s">
        <v>212</v>
      </c>
      <c r="C168" s="55" t="s">
        <v>213</v>
      </c>
      <c r="D168" s="55" t="s">
        <v>1834</v>
      </c>
      <c r="E168" s="55" t="s">
        <v>1834</v>
      </c>
      <c r="F168" s="55" t="s">
        <v>1194</v>
      </c>
      <c r="G168" s="55" t="s">
        <v>1195</v>
      </c>
      <c r="H168" s="55" t="s">
        <v>1248</v>
      </c>
      <c r="I168" s="55" t="s">
        <v>172</v>
      </c>
      <c r="J168" s="55" t="s">
        <v>1835</v>
      </c>
      <c r="K168" s="55" t="s">
        <v>211</v>
      </c>
      <c r="L168" s="55" t="n">
        <v>0.6875</v>
      </c>
      <c r="M168" s="55" t="n">
        <v>7.25</v>
      </c>
      <c r="N168" s="55" t="s">
        <v>141</v>
      </c>
      <c r="O168" s="55"/>
      <c r="P168" s="55"/>
      <c r="Q168" s="55"/>
      <c r="R168" s="55" t="n">
        <v>73</v>
      </c>
      <c r="S168" s="55" t="n">
        <v>626</v>
      </c>
      <c r="T168" s="55"/>
      <c r="U168" s="55" t="s">
        <v>1836</v>
      </c>
      <c r="V168" s="55" t="s">
        <v>1837</v>
      </c>
      <c r="W168" s="55" t="s">
        <v>1500</v>
      </c>
      <c r="X168" s="4"/>
      <c r="Y168" s="4"/>
      <c r="Z168" s="4"/>
    </row>
    <row r="169" customFormat="false" ht="15.75" hidden="false" customHeight="true" outlineLevel="0" collapsed="false">
      <c r="A169" s="55" t="n">
        <v>1566</v>
      </c>
      <c r="B169" s="55" t="s">
        <v>214</v>
      </c>
      <c r="C169" s="55" t="s">
        <v>215</v>
      </c>
      <c r="D169" s="55" t="s">
        <v>1838</v>
      </c>
      <c r="E169" s="55" t="s">
        <v>1838</v>
      </c>
      <c r="F169" s="55" t="s">
        <v>1194</v>
      </c>
      <c r="G169" s="55" t="s">
        <v>1195</v>
      </c>
      <c r="H169" s="55" t="s">
        <v>1248</v>
      </c>
      <c r="I169" s="55" t="s">
        <v>172</v>
      </c>
      <c r="J169" s="55" t="s">
        <v>1839</v>
      </c>
      <c r="K169" s="55" t="s">
        <v>216</v>
      </c>
      <c r="L169" s="55" t="n">
        <v>0.8125</v>
      </c>
      <c r="M169" s="55" t="n">
        <v>7.25</v>
      </c>
      <c r="N169" s="55" t="s">
        <v>141</v>
      </c>
      <c r="O169" s="55"/>
      <c r="P169" s="55"/>
      <c r="Q169" s="55"/>
      <c r="R169" s="55" t="n">
        <v>71</v>
      </c>
      <c r="S169" s="55" t="n">
        <v>183</v>
      </c>
      <c r="T169" s="55"/>
      <c r="U169" s="55" t="s">
        <v>1840</v>
      </c>
      <c r="V169" s="55" t="s">
        <v>1841</v>
      </c>
      <c r="W169" s="55" t="s">
        <v>1500</v>
      </c>
      <c r="X169" s="4"/>
      <c r="Y169" s="4"/>
      <c r="Z169" s="4"/>
    </row>
    <row r="170" customFormat="false" ht="15.75" hidden="false" customHeight="true" outlineLevel="0" collapsed="false">
      <c r="A170" s="55" t="n">
        <v>1568</v>
      </c>
      <c r="B170" s="55" t="s">
        <v>229</v>
      </c>
      <c r="C170" s="55" t="s">
        <v>230</v>
      </c>
      <c r="D170" s="55" t="s">
        <v>1842</v>
      </c>
      <c r="E170" s="55" t="s">
        <v>1842</v>
      </c>
      <c r="F170" s="55" t="s">
        <v>1194</v>
      </c>
      <c r="G170" s="55" t="s">
        <v>1195</v>
      </c>
      <c r="H170" s="55" t="s">
        <v>1248</v>
      </c>
      <c r="I170" s="55" t="s">
        <v>172</v>
      </c>
      <c r="J170" s="55" t="s">
        <v>1843</v>
      </c>
      <c r="K170" s="55" t="s">
        <v>231</v>
      </c>
      <c r="L170" s="55" t="n">
        <v>0.75</v>
      </c>
      <c r="M170" s="55" t="n">
        <v>8.5</v>
      </c>
      <c r="N170" s="55" t="s">
        <v>141</v>
      </c>
      <c r="O170" s="55"/>
      <c r="P170" s="55"/>
      <c r="Q170" s="55"/>
      <c r="R170" s="55" t="n">
        <v>137</v>
      </c>
      <c r="S170" s="55" t="n">
        <v>199</v>
      </c>
      <c r="T170" s="55"/>
      <c r="U170" s="55" t="s">
        <v>1844</v>
      </c>
      <c r="V170" s="55" t="s">
        <v>1845</v>
      </c>
      <c r="W170" s="55" t="s">
        <v>1500</v>
      </c>
      <c r="X170" s="4"/>
      <c r="Y170" s="4"/>
      <c r="Z170" s="4"/>
    </row>
    <row r="171" customFormat="false" ht="15.75" hidden="false" customHeight="true" outlineLevel="0" collapsed="false">
      <c r="A171" s="55" t="n">
        <v>1573</v>
      </c>
      <c r="B171" s="55" t="s">
        <v>236</v>
      </c>
      <c r="C171" s="55" t="s">
        <v>237</v>
      </c>
      <c r="D171" s="55" t="s">
        <v>1846</v>
      </c>
      <c r="E171" s="55" t="s">
        <v>1846</v>
      </c>
      <c r="F171" s="55" t="s">
        <v>1194</v>
      </c>
      <c r="G171" s="55" t="s">
        <v>1195</v>
      </c>
      <c r="H171" s="55" t="s">
        <v>1248</v>
      </c>
      <c r="I171" s="55" t="s">
        <v>234</v>
      </c>
      <c r="J171" s="55" t="s">
        <v>1847</v>
      </c>
      <c r="K171" s="55" t="s">
        <v>238</v>
      </c>
      <c r="L171" s="55" t="n">
        <v>0.5</v>
      </c>
      <c r="M171" s="55" t="n">
        <v>1</v>
      </c>
      <c r="N171" s="55" t="s">
        <v>141</v>
      </c>
      <c r="O171" s="55"/>
      <c r="P171" s="55"/>
      <c r="Q171" s="55"/>
      <c r="R171" s="55" t="n">
        <v>4</v>
      </c>
      <c r="S171" s="55" t="n">
        <v>90</v>
      </c>
      <c r="T171" s="55"/>
      <c r="U171" s="55" t="s">
        <v>237</v>
      </c>
      <c r="V171" s="55" t="s">
        <v>1503</v>
      </c>
      <c r="W171" s="55" t="s">
        <v>1500</v>
      </c>
      <c r="X171" s="4"/>
      <c r="Y171" s="4"/>
      <c r="Z171" s="4"/>
    </row>
    <row r="172" customFormat="false" ht="15.75" hidden="false" customHeight="true" outlineLevel="0" collapsed="false">
      <c r="A172" s="55" t="n">
        <v>1528</v>
      </c>
      <c r="B172" s="55" t="s">
        <v>147</v>
      </c>
      <c r="C172" s="55" t="s">
        <v>148</v>
      </c>
      <c r="D172" s="55" t="s">
        <v>1848</v>
      </c>
      <c r="E172" s="55" t="s">
        <v>1848</v>
      </c>
      <c r="F172" s="55" t="s">
        <v>1194</v>
      </c>
      <c r="G172" s="55" t="s">
        <v>1195</v>
      </c>
      <c r="H172" s="55" t="s">
        <v>1248</v>
      </c>
      <c r="I172" s="55" t="s">
        <v>145</v>
      </c>
      <c r="J172" s="55" t="s">
        <v>1849</v>
      </c>
      <c r="K172" s="55" t="s">
        <v>149</v>
      </c>
      <c r="L172" s="55" t="n">
        <v>0.8125</v>
      </c>
      <c r="M172" s="55" t="n">
        <v>1.5625</v>
      </c>
      <c r="N172" s="55" t="s">
        <v>141</v>
      </c>
      <c r="O172" s="55"/>
      <c r="P172" s="55"/>
      <c r="Q172" s="55"/>
      <c r="R172" s="55" t="n">
        <v>33</v>
      </c>
      <c r="S172" s="55" t="n">
        <v>351</v>
      </c>
      <c r="T172" s="55"/>
      <c r="U172" s="55" t="s">
        <v>1850</v>
      </c>
      <c r="V172" s="55" t="s">
        <v>1851</v>
      </c>
      <c r="W172" s="55" t="s">
        <v>1500</v>
      </c>
      <c r="X172" s="4"/>
      <c r="Y172" s="4"/>
      <c r="Z172" s="4"/>
    </row>
    <row r="173" customFormat="false" ht="15.75" hidden="false" customHeight="true" outlineLevel="0" collapsed="false">
      <c r="A173" s="55" t="n">
        <v>1598</v>
      </c>
      <c r="B173" s="55" t="s">
        <v>320</v>
      </c>
      <c r="C173" s="55" t="s">
        <v>321</v>
      </c>
      <c r="D173" s="55" t="s">
        <v>1852</v>
      </c>
      <c r="E173" s="55" t="s">
        <v>1852</v>
      </c>
      <c r="F173" s="55" t="s">
        <v>1194</v>
      </c>
      <c r="G173" s="55" t="s">
        <v>1195</v>
      </c>
      <c r="H173" s="55" t="s">
        <v>1248</v>
      </c>
      <c r="I173" s="55" t="s">
        <v>274</v>
      </c>
      <c r="J173" s="55" t="s">
        <v>1853</v>
      </c>
      <c r="K173" s="55" t="s">
        <v>309</v>
      </c>
      <c r="L173" s="55" t="n">
        <v>0.75</v>
      </c>
      <c r="M173" s="55" t="n">
        <v>3.25</v>
      </c>
      <c r="N173" s="55" t="s">
        <v>141</v>
      </c>
      <c r="O173" s="55"/>
      <c r="P173" s="55"/>
      <c r="Q173" s="55"/>
      <c r="R173" s="55" t="n">
        <v>63</v>
      </c>
      <c r="S173" s="55" t="n">
        <v>72</v>
      </c>
      <c r="T173" s="55"/>
      <c r="U173" s="55" t="s">
        <v>321</v>
      </c>
      <c r="V173" s="55" t="s">
        <v>1854</v>
      </c>
      <c r="W173" s="55" t="s">
        <v>1500</v>
      </c>
      <c r="X173" s="4"/>
      <c r="Y173" s="4"/>
      <c r="Z173" s="4"/>
    </row>
    <row r="174" customFormat="false" ht="15.75" hidden="false" customHeight="true" outlineLevel="0" collapsed="false">
      <c r="A174" s="55" t="n">
        <v>1600</v>
      </c>
      <c r="B174" s="55" t="s">
        <v>324</v>
      </c>
      <c r="C174" s="55" t="s">
        <v>325</v>
      </c>
      <c r="D174" s="55" t="s">
        <v>1855</v>
      </c>
      <c r="E174" s="55" t="s">
        <v>1855</v>
      </c>
      <c r="F174" s="55" t="s">
        <v>1194</v>
      </c>
      <c r="G174" s="55" t="s">
        <v>1195</v>
      </c>
      <c r="H174" s="55" t="s">
        <v>1248</v>
      </c>
      <c r="I174" s="55" t="s">
        <v>274</v>
      </c>
      <c r="J174" s="55" t="s">
        <v>1856</v>
      </c>
      <c r="K174" s="55" t="s">
        <v>309</v>
      </c>
      <c r="L174" s="55" t="n">
        <v>0.75</v>
      </c>
      <c r="M174" s="55" t="n">
        <v>3.25</v>
      </c>
      <c r="N174" s="55" t="s">
        <v>326</v>
      </c>
      <c r="O174" s="55"/>
      <c r="P174" s="55"/>
      <c r="Q174" s="55"/>
      <c r="R174" s="55" t="n">
        <v>69</v>
      </c>
      <c r="S174" s="55" t="n">
        <v>96</v>
      </c>
      <c r="T174" s="55"/>
      <c r="U174" s="55" t="s">
        <v>1857</v>
      </c>
      <c r="V174" s="55" t="s">
        <v>1858</v>
      </c>
      <c r="W174" s="55" t="s">
        <v>1500</v>
      </c>
      <c r="X174" s="4"/>
      <c r="Y174" s="4"/>
      <c r="Z174" s="4"/>
    </row>
    <row r="175" customFormat="false" ht="15.75" hidden="false" customHeight="true" outlineLevel="0" collapsed="false">
      <c r="A175" s="55" t="n">
        <v>1634</v>
      </c>
      <c r="B175" s="55" t="s">
        <v>383</v>
      </c>
      <c r="C175" s="55" t="s">
        <v>384</v>
      </c>
      <c r="D175" s="55" t="s">
        <v>1859</v>
      </c>
      <c r="E175" s="55" t="s">
        <v>1859</v>
      </c>
      <c r="F175" s="55" t="s">
        <v>1194</v>
      </c>
      <c r="G175" s="55" t="s">
        <v>1195</v>
      </c>
      <c r="H175" s="55" t="s">
        <v>1248</v>
      </c>
      <c r="I175" s="55" t="s">
        <v>379</v>
      </c>
      <c r="J175" s="55" t="s">
        <v>1860</v>
      </c>
      <c r="K175" s="55" t="s">
        <v>385</v>
      </c>
      <c r="L175" s="55" t="n">
        <v>0.6875</v>
      </c>
      <c r="M175" s="55" t="n">
        <v>5.25</v>
      </c>
      <c r="N175" s="55" t="s">
        <v>141</v>
      </c>
      <c r="O175" s="55"/>
      <c r="P175" s="55"/>
      <c r="Q175" s="55"/>
      <c r="R175" s="55" t="n">
        <v>58</v>
      </c>
      <c r="S175" s="55" t="n">
        <v>442</v>
      </c>
      <c r="T175" s="55"/>
      <c r="U175" s="55" t="s">
        <v>384</v>
      </c>
      <c r="V175" s="55" t="s">
        <v>1861</v>
      </c>
      <c r="W175" s="55" t="s">
        <v>1500</v>
      </c>
      <c r="X175" s="4"/>
      <c r="Y175" s="4"/>
      <c r="Z175" s="4"/>
    </row>
    <row r="176" customFormat="false" ht="15.75" hidden="false" customHeight="true" outlineLevel="0" collapsed="false">
      <c r="A176" s="55" t="n">
        <v>1638</v>
      </c>
      <c r="B176" s="55" t="s">
        <v>386</v>
      </c>
      <c r="C176" s="55" t="s">
        <v>387</v>
      </c>
      <c r="D176" s="55" t="s">
        <v>1862</v>
      </c>
      <c r="E176" s="55" t="s">
        <v>1862</v>
      </c>
      <c r="F176" s="55" t="s">
        <v>1194</v>
      </c>
      <c r="G176" s="55" t="s">
        <v>1195</v>
      </c>
      <c r="H176" s="55" t="s">
        <v>1248</v>
      </c>
      <c r="I176" s="55" t="s">
        <v>379</v>
      </c>
      <c r="J176" s="55" t="s">
        <v>1863</v>
      </c>
      <c r="K176" s="55" t="s">
        <v>376</v>
      </c>
      <c r="L176" s="55" t="n">
        <v>0.6875</v>
      </c>
      <c r="M176" s="55" t="n">
        <v>2.25</v>
      </c>
      <c r="N176" s="55" t="s">
        <v>141</v>
      </c>
      <c r="O176" s="55"/>
      <c r="P176" s="55"/>
      <c r="Q176" s="55"/>
      <c r="R176" s="55" t="n">
        <v>58</v>
      </c>
      <c r="S176" s="55" t="n">
        <v>243</v>
      </c>
      <c r="T176" s="55"/>
      <c r="U176" s="55" t="s">
        <v>387</v>
      </c>
      <c r="V176" s="55" t="s">
        <v>1864</v>
      </c>
      <c r="W176" s="55" t="s">
        <v>1500</v>
      </c>
      <c r="X176" s="4"/>
      <c r="Y176" s="4"/>
      <c r="Z176" s="4"/>
    </row>
    <row r="177" customFormat="false" ht="15.75" hidden="false" customHeight="true" outlineLevel="0" collapsed="false">
      <c r="A177" s="55" t="n">
        <v>1639</v>
      </c>
      <c r="B177" s="55" t="s">
        <v>388</v>
      </c>
      <c r="C177" s="55" t="s">
        <v>389</v>
      </c>
      <c r="D177" s="55" t="s">
        <v>1865</v>
      </c>
      <c r="E177" s="55" t="s">
        <v>1865</v>
      </c>
      <c r="F177" s="55" t="s">
        <v>1194</v>
      </c>
      <c r="G177" s="55" t="s">
        <v>1195</v>
      </c>
      <c r="H177" s="55" t="s">
        <v>1248</v>
      </c>
      <c r="I177" s="55" t="s">
        <v>379</v>
      </c>
      <c r="J177" s="55" t="s">
        <v>1866</v>
      </c>
      <c r="K177" s="55" t="s">
        <v>329</v>
      </c>
      <c r="L177" s="55" t="n">
        <v>0.75</v>
      </c>
      <c r="M177" s="55" t="n">
        <v>3.5</v>
      </c>
      <c r="N177" s="55" t="s">
        <v>141</v>
      </c>
      <c r="O177" s="55"/>
      <c r="P177" s="55"/>
      <c r="Q177" s="55"/>
      <c r="R177" s="55" t="n">
        <v>57</v>
      </c>
      <c r="S177" s="55" t="n">
        <v>193</v>
      </c>
      <c r="T177" s="55"/>
      <c r="U177" s="55" t="s">
        <v>389</v>
      </c>
      <c r="V177" s="55" t="s">
        <v>1867</v>
      </c>
      <c r="W177" s="55" t="s">
        <v>1500</v>
      </c>
      <c r="X177" s="4"/>
      <c r="Y177" s="4"/>
      <c r="Z177" s="4"/>
    </row>
    <row r="178" customFormat="false" ht="15.75" hidden="false" customHeight="true" outlineLevel="0" collapsed="false">
      <c r="A178" s="55" t="n">
        <v>1641</v>
      </c>
      <c r="B178" s="55" t="s">
        <v>393</v>
      </c>
      <c r="C178" s="55" t="s">
        <v>394</v>
      </c>
      <c r="D178" s="55" t="s">
        <v>1868</v>
      </c>
      <c r="E178" s="55" t="s">
        <v>1868</v>
      </c>
      <c r="F178" s="55" t="s">
        <v>1194</v>
      </c>
      <c r="G178" s="55" t="s">
        <v>1195</v>
      </c>
      <c r="H178" s="55" t="s">
        <v>1248</v>
      </c>
      <c r="I178" s="55" t="s">
        <v>379</v>
      </c>
      <c r="J178" s="55" t="s">
        <v>1869</v>
      </c>
      <c r="K178" s="55" t="s">
        <v>395</v>
      </c>
      <c r="L178" s="55" t="n">
        <v>0.75</v>
      </c>
      <c r="M178" s="55" t="n">
        <v>3.25</v>
      </c>
      <c r="N178" s="55" t="s">
        <v>141</v>
      </c>
      <c r="O178" s="55"/>
      <c r="P178" s="55"/>
      <c r="Q178" s="55"/>
      <c r="R178" s="55" t="n">
        <v>56</v>
      </c>
      <c r="S178" s="55" t="n">
        <v>245</v>
      </c>
      <c r="T178" s="55"/>
      <c r="U178" s="55" t="s">
        <v>394</v>
      </c>
      <c r="V178" s="55" t="s">
        <v>1870</v>
      </c>
      <c r="W178" s="55" t="s">
        <v>1500</v>
      </c>
      <c r="X178" s="4"/>
      <c r="Y178" s="4"/>
      <c r="Z178" s="4"/>
    </row>
    <row r="179" customFormat="false" ht="15.75" hidden="false" customHeight="true" outlineLevel="0" collapsed="false">
      <c r="A179" s="55" t="n">
        <v>1644</v>
      </c>
      <c r="B179" s="55" t="s">
        <v>401</v>
      </c>
      <c r="C179" s="55" t="s">
        <v>402</v>
      </c>
      <c r="D179" s="55" t="s">
        <v>1871</v>
      </c>
      <c r="E179" s="55" t="s">
        <v>1871</v>
      </c>
      <c r="F179" s="55" t="s">
        <v>1194</v>
      </c>
      <c r="G179" s="55" t="s">
        <v>1195</v>
      </c>
      <c r="H179" s="55" t="s">
        <v>1248</v>
      </c>
      <c r="I179" s="55" t="s">
        <v>379</v>
      </c>
      <c r="J179" s="55" t="s">
        <v>1872</v>
      </c>
      <c r="K179" s="55" t="s">
        <v>403</v>
      </c>
      <c r="L179" s="55" t="n">
        <v>0.8125</v>
      </c>
      <c r="M179" s="55" t="n">
        <v>4.9375</v>
      </c>
      <c r="N179" s="55" t="s">
        <v>141</v>
      </c>
      <c r="O179" s="55"/>
      <c r="P179" s="55"/>
      <c r="Q179" s="55"/>
      <c r="R179" s="55" t="n">
        <v>38</v>
      </c>
      <c r="S179" s="55" t="n">
        <v>123</v>
      </c>
      <c r="T179" s="55"/>
      <c r="U179" s="55" t="s">
        <v>402</v>
      </c>
      <c r="V179" s="55" t="s">
        <v>1873</v>
      </c>
      <c r="W179" s="55" t="s">
        <v>1500</v>
      </c>
      <c r="X179" s="4"/>
      <c r="Y179" s="4"/>
      <c r="Z179" s="4"/>
    </row>
    <row r="180" customFormat="false" ht="15.75" hidden="false" customHeight="true" outlineLevel="0" collapsed="false">
      <c r="A180" s="55" t="n">
        <v>1646</v>
      </c>
      <c r="B180" s="55" t="s">
        <v>404</v>
      </c>
      <c r="C180" s="55" t="s">
        <v>405</v>
      </c>
      <c r="D180" s="55" t="s">
        <v>1874</v>
      </c>
      <c r="E180" s="55" t="s">
        <v>1874</v>
      </c>
      <c r="F180" s="55" t="s">
        <v>1194</v>
      </c>
      <c r="G180" s="55" t="s">
        <v>1195</v>
      </c>
      <c r="H180" s="55" t="s">
        <v>1248</v>
      </c>
      <c r="I180" s="55" t="s">
        <v>379</v>
      </c>
      <c r="J180" s="55" t="s">
        <v>1875</v>
      </c>
      <c r="K180" s="55" t="s">
        <v>406</v>
      </c>
      <c r="L180" s="55" t="n">
        <v>0.75</v>
      </c>
      <c r="M180" s="55" t="n">
        <v>5.25</v>
      </c>
      <c r="N180" s="55" t="s">
        <v>141</v>
      </c>
      <c r="O180" s="55"/>
      <c r="P180" s="55"/>
      <c r="Q180" s="55"/>
      <c r="R180" s="55" t="n">
        <v>50</v>
      </c>
      <c r="S180" s="55" t="n">
        <v>276</v>
      </c>
      <c r="T180" s="55"/>
      <c r="U180" s="55" t="s">
        <v>405</v>
      </c>
      <c r="V180" s="55" t="s">
        <v>1876</v>
      </c>
      <c r="W180" s="55" t="s">
        <v>1500</v>
      </c>
      <c r="X180" s="4"/>
      <c r="Y180" s="4"/>
      <c r="Z180" s="4"/>
    </row>
    <row r="181" customFormat="false" ht="15.75" hidden="false" customHeight="true" outlineLevel="0" collapsed="false">
      <c r="A181" s="55" t="n">
        <v>1647</v>
      </c>
      <c r="B181" s="55" t="s">
        <v>407</v>
      </c>
      <c r="C181" s="55" t="s">
        <v>408</v>
      </c>
      <c r="D181" s="55" t="s">
        <v>1877</v>
      </c>
      <c r="E181" s="55" t="s">
        <v>1877</v>
      </c>
      <c r="F181" s="55" t="s">
        <v>1194</v>
      </c>
      <c r="G181" s="55" t="s">
        <v>1195</v>
      </c>
      <c r="H181" s="55" t="s">
        <v>1248</v>
      </c>
      <c r="I181" s="55" t="s">
        <v>379</v>
      </c>
      <c r="J181" s="55" t="s">
        <v>1878</v>
      </c>
      <c r="K181" s="55" t="s">
        <v>409</v>
      </c>
      <c r="L181" s="55" t="n">
        <v>0.8125</v>
      </c>
      <c r="M181" s="55" t="n">
        <v>5.25</v>
      </c>
      <c r="N181" s="55" t="s">
        <v>141</v>
      </c>
      <c r="O181" s="55"/>
      <c r="P181" s="55"/>
      <c r="Q181" s="55"/>
      <c r="R181" s="55" t="n">
        <v>38</v>
      </c>
      <c r="S181" s="55" t="n">
        <v>292</v>
      </c>
      <c r="T181" s="55"/>
      <c r="U181" s="55" t="s">
        <v>1879</v>
      </c>
      <c r="V181" s="55" t="s">
        <v>1880</v>
      </c>
      <c r="W181" s="55" t="s">
        <v>1500</v>
      </c>
      <c r="X181" s="4"/>
      <c r="Y181" s="4"/>
      <c r="Z181" s="4"/>
    </row>
    <row r="182" customFormat="false" ht="15.75" hidden="false" customHeight="true" outlineLevel="0" collapsed="false">
      <c r="A182" s="55" t="n">
        <v>1652</v>
      </c>
      <c r="B182" s="55" t="s">
        <v>437</v>
      </c>
      <c r="C182" s="55" t="s">
        <v>438</v>
      </c>
      <c r="D182" s="55" t="s">
        <v>1881</v>
      </c>
      <c r="E182" s="55" t="s">
        <v>1881</v>
      </c>
      <c r="F182" s="55" t="s">
        <v>1194</v>
      </c>
      <c r="G182" s="55" t="s">
        <v>1195</v>
      </c>
      <c r="H182" s="55" t="s">
        <v>1248</v>
      </c>
      <c r="I182" s="55" t="s">
        <v>420</v>
      </c>
      <c r="J182" s="55" t="s">
        <v>1882</v>
      </c>
      <c r="K182" s="55" t="s">
        <v>439</v>
      </c>
      <c r="L182" s="55" t="n">
        <v>0.375</v>
      </c>
      <c r="M182" s="55" t="n">
        <v>0.75</v>
      </c>
      <c r="N182" s="55" t="s">
        <v>141</v>
      </c>
      <c r="O182" s="55"/>
      <c r="P182" s="55"/>
      <c r="Q182" s="55"/>
      <c r="R182" s="55" t="n">
        <v>15</v>
      </c>
      <c r="S182" s="55" t="n">
        <v>184</v>
      </c>
      <c r="T182" s="55"/>
      <c r="U182" s="55" t="s">
        <v>438</v>
      </c>
      <c r="V182" s="55" t="s">
        <v>1883</v>
      </c>
      <c r="W182" s="55" t="s">
        <v>1500</v>
      </c>
      <c r="X182" s="4"/>
      <c r="Y182" s="4"/>
      <c r="Z182" s="4"/>
    </row>
    <row r="183" customFormat="false" ht="15.75" hidden="false" customHeight="true" outlineLevel="0" collapsed="false">
      <c r="A183" s="55" t="n">
        <v>1653</v>
      </c>
      <c r="B183" s="55" t="s">
        <v>440</v>
      </c>
      <c r="C183" s="55" t="s">
        <v>441</v>
      </c>
      <c r="D183" s="55" t="s">
        <v>1884</v>
      </c>
      <c r="E183" s="55" t="s">
        <v>1884</v>
      </c>
      <c r="F183" s="55" t="s">
        <v>1194</v>
      </c>
      <c r="G183" s="55" t="s">
        <v>1195</v>
      </c>
      <c r="H183" s="55" t="s">
        <v>1248</v>
      </c>
      <c r="I183" s="55" t="s">
        <v>420</v>
      </c>
      <c r="J183" s="55" t="s">
        <v>1885</v>
      </c>
      <c r="K183" s="55" t="s">
        <v>442</v>
      </c>
      <c r="L183" s="55" t="n">
        <v>0.4375</v>
      </c>
      <c r="M183" s="55" t="n">
        <v>0.75</v>
      </c>
      <c r="N183" s="55" t="s">
        <v>141</v>
      </c>
      <c r="O183" s="55"/>
      <c r="P183" s="55"/>
      <c r="Q183" s="55"/>
      <c r="R183" s="55" t="n">
        <v>13</v>
      </c>
      <c r="S183" s="55" t="n">
        <v>119</v>
      </c>
      <c r="T183" s="55"/>
      <c r="U183" s="55" t="s">
        <v>441</v>
      </c>
      <c r="V183" s="55" t="s">
        <v>1503</v>
      </c>
      <c r="W183" s="55" t="s">
        <v>1500</v>
      </c>
      <c r="X183" s="4"/>
      <c r="Y183" s="4"/>
      <c r="Z183" s="4"/>
    </row>
    <row r="184" customFormat="false" ht="15.75" hidden="false" customHeight="true" outlineLevel="0" collapsed="false">
      <c r="A184" s="55" t="n">
        <v>1654</v>
      </c>
      <c r="B184" s="55" t="s">
        <v>443</v>
      </c>
      <c r="C184" s="55" t="s">
        <v>444</v>
      </c>
      <c r="D184" s="55" t="s">
        <v>1886</v>
      </c>
      <c r="E184" s="55" t="s">
        <v>1886</v>
      </c>
      <c r="F184" s="55" t="s">
        <v>1194</v>
      </c>
      <c r="G184" s="55" t="s">
        <v>1195</v>
      </c>
      <c r="H184" s="55" t="s">
        <v>1248</v>
      </c>
      <c r="I184" s="55" t="s">
        <v>420</v>
      </c>
      <c r="J184" s="55" t="s">
        <v>1887</v>
      </c>
      <c r="K184" s="55" t="s">
        <v>445</v>
      </c>
      <c r="L184" s="55" t="n">
        <v>0.5</v>
      </c>
      <c r="M184" s="55" t="n">
        <v>0.875</v>
      </c>
      <c r="N184" s="55" t="s">
        <v>141</v>
      </c>
      <c r="O184" s="55"/>
      <c r="P184" s="55"/>
      <c r="Q184" s="55"/>
      <c r="R184" s="55" t="n">
        <v>23</v>
      </c>
      <c r="S184" s="55" t="n">
        <v>123</v>
      </c>
      <c r="T184" s="55"/>
      <c r="U184" s="55" t="s">
        <v>444</v>
      </c>
      <c r="V184" s="55" t="s">
        <v>1503</v>
      </c>
      <c r="W184" s="55" t="s">
        <v>1500</v>
      </c>
      <c r="X184" s="4"/>
      <c r="Y184" s="4"/>
      <c r="Z184" s="4"/>
    </row>
    <row r="185" customFormat="false" ht="15.75" hidden="false" customHeight="true" outlineLevel="0" collapsed="false">
      <c r="A185" s="55" t="n">
        <v>1656</v>
      </c>
      <c r="B185" s="55" t="s">
        <v>449</v>
      </c>
      <c r="C185" s="55" t="s">
        <v>450</v>
      </c>
      <c r="D185" s="55" t="s">
        <v>1888</v>
      </c>
      <c r="E185" s="55" t="s">
        <v>1888</v>
      </c>
      <c r="F185" s="55" t="s">
        <v>1194</v>
      </c>
      <c r="G185" s="55" t="s">
        <v>1195</v>
      </c>
      <c r="H185" s="55" t="s">
        <v>1248</v>
      </c>
      <c r="I185" s="55" t="s">
        <v>420</v>
      </c>
      <c r="J185" s="55" t="s">
        <v>1889</v>
      </c>
      <c r="K185" s="55" t="s">
        <v>445</v>
      </c>
      <c r="L185" s="55" t="n">
        <v>0.5</v>
      </c>
      <c r="M185" s="55" t="n">
        <v>0.875</v>
      </c>
      <c r="N185" s="55" t="s">
        <v>141</v>
      </c>
      <c r="O185" s="55"/>
      <c r="P185" s="55"/>
      <c r="Q185" s="55"/>
      <c r="R185" s="55" t="n">
        <v>13</v>
      </c>
      <c r="S185" s="55" t="n">
        <v>64</v>
      </c>
      <c r="T185" s="55"/>
      <c r="U185" s="55" t="s">
        <v>450</v>
      </c>
      <c r="V185" s="55" t="s">
        <v>1503</v>
      </c>
      <c r="W185" s="55" t="s">
        <v>1500</v>
      </c>
      <c r="X185" s="4"/>
      <c r="Y185" s="4"/>
      <c r="Z185" s="4"/>
    </row>
    <row r="186" customFormat="false" ht="15.75" hidden="false" customHeight="true" outlineLevel="0" collapsed="false">
      <c r="A186" s="55" t="n">
        <v>1657</v>
      </c>
      <c r="B186" s="55" t="s">
        <v>451</v>
      </c>
      <c r="C186" s="55" t="s">
        <v>452</v>
      </c>
      <c r="D186" s="55" t="s">
        <v>1890</v>
      </c>
      <c r="E186" s="55" t="s">
        <v>1890</v>
      </c>
      <c r="F186" s="55" t="s">
        <v>1194</v>
      </c>
      <c r="G186" s="55" t="s">
        <v>1195</v>
      </c>
      <c r="H186" s="55" t="s">
        <v>1248</v>
      </c>
      <c r="I186" s="55" t="s">
        <v>420</v>
      </c>
      <c r="J186" s="55" t="s">
        <v>1891</v>
      </c>
      <c r="K186" s="55" t="s">
        <v>453</v>
      </c>
      <c r="L186" s="55" t="n">
        <v>0.4375</v>
      </c>
      <c r="M186" s="55" t="n">
        <v>0.6875</v>
      </c>
      <c r="N186" s="55" t="s">
        <v>141</v>
      </c>
      <c r="O186" s="55"/>
      <c r="P186" s="55"/>
      <c r="Q186" s="55"/>
      <c r="R186" s="55" t="n">
        <v>17</v>
      </c>
      <c r="S186" s="55" t="n">
        <v>116</v>
      </c>
      <c r="T186" s="55"/>
      <c r="U186" s="55" t="s">
        <v>452</v>
      </c>
      <c r="V186" s="55" t="s">
        <v>1503</v>
      </c>
      <c r="W186" s="55" t="s">
        <v>1500</v>
      </c>
      <c r="X186" s="4"/>
      <c r="Y186" s="4"/>
      <c r="Z186" s="4"/>
    </row>
    <row r="187" customFormat="false" ht="15.75" hidden="false" customHeight="true" outlineLevel="0" collapsed="false">
      <c r="A187" s="55" t="n">
        <v>1658</v>
      </c>
      <c r="B187" s="55" t="s">
        <v>454</v>
      </c>
      <c r="C187" s="55" t="s">
        <v>455</v>
      </c>
      <c r="D187" s="55" t="s">
        <v>1892</v>
      </c>
      <c r="E187" s="55" t="s">
        <v>1892</v>
      </c>
      <c r="F187" s="55" t="s">
        <v>1194</v>
      </c>
      <c r="G187" s="55" t="s">
        <v>1195</v>
      </c>
      <c r="H187" s="55" t="s">
        <v>1248</v>
      </c>
      <c r="I187" s="55" t="s">
        <v>420</v>
      </c>
      <c r="J187" s="55" t="s">
        <v>1893</v>
      </c>
      <c r="K187" s="55" t="s">
        <v>456</v>
      </c>
      <c r="L187" s="55" t="n">
        <v>0.625</v>
      </c>
      <c r="M187" s="55" t="n">
        <v>1.25</v>
      </c>
      <c r="N187" s="55" t="s">
        <v>141</v>
      </c>
      <c r="O187" s="55"/>
      <c r="P187" s="55"/>
      <c r="Q187" s="55"/>
      <c r="R187" s="55" t="n">
        <v>15</v>
      </c>
      <c r="S187" s="55" t="n">
        <v>105</v>
      </c>
      <c r="T187" s="55"/>
      <c r="U187" s="55" t="s">
        <v>455</v>
      </c>
      <c r="V187" s="55" t="s">
        <v>1894</v>
      </c>
      <c r="W187" s="55" t="s">
        <v>1500</v>
      </c>
      <c r="X187" s="4"/>
      <c r="Y187" s="4"/>
      <c r="Z187" s="4"/>
    </row>
    <row r="188" customFormat="false" ht="15.75" hidden="false" customHeight="true" outlineLevel="0" collapsed="false">
      <c r="A188" s="55" t="n">
        <v>1659</v>
      </c>
      <c r="B188" s="55" t="s">
        <v>457</v>
      </c>
      <c r="C188" s="55" t="s">
        <v>458</v>
      </c>
      <c r="D188" s="55" t="s">
        <v>1895</v>
      </c>
      <c r="E188" s="55" t="s">
        <v>1895</v>
      </c>
      <c r="F188" s="55" t="s">
        <v>1194</v>
      </c>
      <c r="G188" s="55" t="s">
        <v>1195</v>
      </c>
      <c r="H188" s="55" t="s">
        <v>1248</v>
      </c>
      <c r="I188" s="55" t="s">
        <v>420</v>
      </c>
      <c r="J188" s="55" t="s">
        <v>1896</v>
      </c>
      <c r="K188" s="55" t="s">
        <v>459</v>
      </c>
      <c r="L188" s="55" t="n">
        <v>0.4375</v>
      </c>
      <c r="M188" s="55" t="n">
        <v>1.0625</v>
      </c>
      <c r="N188" s="55" t="s">
        <v>141</v>
      </c>
      <c r="O188" s="55"/>
      <c r="P188" s="55"/>
      <c r="Q188" s="55"/>
      <c r="R188" s="55" t="n">
        <v>13</v>
      </c>
      <c r="S188" s="55" t="n">
        <v>124</v>
      </c>
      <c r="T188" s="55"/>
      <c r="U188" s="55" t="s">
        <v>458</v>
      </c>
      <c r="V188" s="55" t="s">
        <v>1503</v>
      </c>
      <c r="W188" s="55" t="s">
        <v>1500</v>
      </c>
      <c r="X188" s="4"/>
      <c r="Y188" s="4"/>
      <c r="Z188" s="4"/>
    </row>
    <row r="189" customFormat="false" ht="15.75" hidden="false" customHeight="true" outlineLevel="0" collapsed="false">
      <c r="A189" s="55" t="n">
        <v>1662</v>
      </c>
      <c r="B189" s="55" t="s">
        <v>527</v>
      </c>
      <c r="C189" s="55" t="s">
        <v>528</v>
      </c>
      <c r="D189" s="55" t="s">
        <v>1897</v>
      </c>
      <c r="E189" s="55" t="s">
        <v>1897</v>
      </c>
      <c r="F189" s="55" t="s">
        <v>1194</v>
      </c>
      <c r="G189" s="55" t="s">
        <v>1195</v>
      </c>
      <c r="H189" s="55" t="s">
        <v>1248</v>
      </c>
      <c r="I189" s="55" t="s">
        <v>529</v>
      </c>
      <c r="J189" s="55" t="s">
        <v>1898</v>
      </c>
      <c r="K189" s="55" t="s">
        <v>439</v>
      </c>
      <c r="L189" s="55" t="n">
        <v>0.375</v>
      </c>
      <c r="M189" s="55" t="n">
        <v>0.75</v>
      </c>
      <c r="N189" s="55" t="s">
        <v>141</v>
      </c>
      <c r="O189" s="55"/>
      <c r="P189" s="55"/>
      <c r="Q189" s="55"/>
      <c r="R189" s="55" t="n">
        <v>16</v>
      </c>
      <c r="S189" s="55" t="n">
        <v>81</v>
      </c>
      <c r="T189" s="55"/>
      <c r="U189" s="55" t="s">
        <v>528</v>
      </c>
      <c r="V189" s="55" t="s">
        <v>1899</v>
      </c>
      <c r="W189" s="55" t="s">
        <v>1500</v>
      </c>
      <c r="X189" s="4"/>
      <c r="Y189" s="4"/>
      <c r="Z189" s="4"/>
    </row>
    <row r="190" customFormat="false" ht="15.75" hidden="false" customHeight="true" outlineLevel="0" collapsed="false">
      <c r="A190" s="55" t="n">
        <v>1663</v>
      </c>
      <c r="B190" s="55" t="s">
        <v>530</v>
      </c>
      <c r="C190" s="55" t="s">
        <v>531</v>
      </c>
      <c r="D190" s="55" t="s">
        <v>1900</v>
      </c>
      <c r="E190" s="55" t="s">
        <v>1900</v>
      </c>
      <c r="F190" s="55" t="s">
        <v>1194</v>
      </c>
      <c r="G190" s="55" t="s">
        <v>1195</v>
      </c>
      <c r="H190" s="55" t="s">
        <v>1248</v>
      </c>
      <c r="I190" s="55" t="s">
        <v>529</v>
      </c>
      <c r="J190" s="55" t="s">
        <v>1901</v>
      </c>
      <c r="K190" s="55" t="s">
        <v>532</v>
      </c>
      <c r="L190" s="55" t="n">
        <v>0.25</v>
      </c>
      <c r="M190" s="55" t="n">
        <v>0.5</v>
      </c>
      <c r="N190" s="55" t="s">
        <v>141</v>
      </c>
      <c r="O190" s="55"/>
      <c r="P190" s="55"/>
      <c r="Q190" s="55"/>
      <c r="R190" s="55" t="n">
        <v>17</v>
      </c>
      <c r="S190" s="55" t="n">
        <v>59</v>
      </c>
      <c r="T190" s="55"/>
      <c r="U190" s="55" t="s">
        <v>531</v>
      </c>
      <c r="V190" s="55" t="s">
        <v>1902</v>
      </c>
      <c r="W190" s="55" t="s">
        <v>1500</v>
      </c>
      <c r="X190" s="4"/>
      <c r="Y190" s="4"/>
      <c r="Z190" s="4"/>
    </row>
    <row r="191" customFormat="false" ht="15.75" hidden="false" customHeight="true" outlineLevel="0" collapsed="false">
      <c r="A191" s="55" t="n">
        <v>1664</v>
      </c>
      <c r="B191" s="55" t="s">
        <v>533</v>
      </c>
      <c r="C191" s="55" t="s">
        <v>534</v>
      </c>
      <c r="D191" s="55" t="s">
        <v>1903</v>
      </c>
      <c r="E191" s="55" t="s">
        <v>1903</v>
      </c>
      <c r="F191" s="55" t="s">
        <v>1194</v>
      </c>
      <c r="G191" s="55" t="s">
        <v>1195</v>
      </c>
      <c r="H191" s="55" t="s">
        <v>1248</v>
      </c>
      <c r="I191" s="55" t="s">
        <v>529</v>
      </c>
      <c r="J191" s="55" t="s">
        <v>1904</v>
      </c>
      <c r="K191" s="55" t="s">
        <v>535</v>
      </c>
      <c r="L191" s="55" t="n">
        <v>0.5</v>
      </c>
      <c r="M191" s="55" t="n">
        <v>1</v>
      </c>
      <c r="N191" s="55" t="s">
        <v>141</v>
      </c>
      <c r="O191" s="55"/>
      <c r="P191" s="55"/>
      <c r="Q191" s="55"/>
      <c r="R191" s="55" t="n">
        <v>16</v>
      </c>
      <c r="S191" s="55" t="n">
        <v>48</v>
      </c>
      <c r="T191" s="55"/>
      <c r="U191" s="55" t="s">
        <v>534</v>
      </c>
      <c r="V191" s="55" t="s">
        <v>1905</v>
      </c>
      <c r="W191" s="55" t="s">
        <v>1500</v>
      </c>
      <c r="X191" s="4"/>
      <c r="Y191" s="4"/>
      <c r="Z191" s="4"/>
    </row>
    <row r="192" customFormat="false" ht="15.75" hidden="false" customHeight="true" outlineLevel="0" collapsed="false">
      <c r="A192" s="55" t="n">
        <v>1665</v>
      </c>
      <c r="B192" s="55" t="s">
        <v>536</v>
      </c>
      <c r="C192" s="55" t="s">
        <v>537</v>
      </c>
      <c r="D192" s="55" t="s">
        <v>1906</v>
      </c>
      <c r="E192" s="55" t="s">
        <v>1906</v>
      </c>
      <c r="F192" s="55" t="s">
        <v>1194</v>
      </c>
      <c r="G192" s="55" t="s">
        <v>1195</v>
      </c>
      <c r="H192" s="55" t="s">
        <v>1248</v>
      </c>
      <c r="I192" s="55" t="s">
        <v>529</v>
      </c>
      <c r="J192" s="55" t="s">
        <v>1907</v>
      </c>
      <c r="K192" s="55" t="s">
        <v>456</v>
      </c>
      <c r="L192" s="55" t="n">
        <v>0.625</v>
      </c>
      <c r="M192" s="55" t="n">
        <v>1.25</v>
      </c>
      <c r="N192" s="55" t="s">
        <v>141</v>
      </c>
      <c r="O192" s="55"/>
      <c r="P192" s="55"/>
      <c r="Q192" s="55"/>
      <c r="R192" s="55" t="n">
        <v>16</v>
      </c>
      <c r="S192" s="55" t="n">
        <v>23</v>
      </c>
      <c r="T192" s="55"/>
      <c r="U192" s="55" t="s">
        <v>537</v>
      </c>
      <c r="V192" s="55" t="s">
        <v>1908</v>
      </c>
      <c r="W192" s="55" t="s">
        <v>1500</v>
      </c>
      <c r="X192" s="4"/>
      <c r="Y192" s="4"/>
      <c r="Z192" s="4"/>
    </row>
    <row r="193" customFormat="false" ht="15.75" hidden="false" customHeight="true" outlineLevel="0" collapsed="false">
      <c r="A193" s="55" t="n">
        <v>1666</v>
      </c>
      <c r="B193" s="55" t="s">
        <v>538</v>
      </c>
      <c r="C193" s="55" t="s">
        <v>539</v>
      </c>
      <c r="D193" s="55" t="s">
        <v>1909</v>
      </c>
      <c r="E193" s="55" t="s">
        <v>1909</v>
      </c>
      <c r="F193" s="55" t="s">
        <v>1194</v>
      </c>
      <c r="G193" s="55" t="s">
        <v>1195</v>
      </c>
      <c r="H193" s="55" t="s">
        <v>1248</v>
      </c>
      <c r="I193" s="55" t="s">
        <v>529</v>
      </c>
      <c r="J193" s="55" t="s">
        <v>1910</v>
      </c>
      <c r="K193" s="55" t="s">
        <v>540</v>
      </c>
      <c r="L193" s="55" t="n">
        <v>0.8125</v>
      </c>
      <c r="M193" s="55" t="n">
        <v>1.625</v>
      </c>
      <c r="N193" s="55" t="s">
        <v>141</v>
      </c>
      <c r="O193" s="55"/>
      <c r="P193" s="55"/>
      <c r="Q193" s="55"/>
      <c r="R193" s="55" t="n">
        <v>16</v>
      </c>
      <c r="S193" s="55" t="n">
        <v>24</v>
      </c>
      <c r="T193" s="55"/>
      <c r="U193" s="55" t="s">
        <v>539</v>
      </c>
      <c r="V193" s="55" t="s">
        <v>1911</v>
      </c>
      <c r="W193" s="55" t="s">
        <v>1500</v>
      </c>
      <c r="X193" s="4"/>
      <c r="Y193" s="4"/>
      <c r="Z193" s="4"/>
    </row>
    <row r="194" customFormat="false" ht="15.75" hidden="false" customHeight="true" outlineLevel="0" collapsed="false">
      <c r="A194" s="55" t="n">
        <v>1633</v>
      </c>
      <c r="B194" s="55" t="s">
        <v>380</v>
      </c>
      <c r="C194" s="55" t="s">
        <v>381</v>
      </c>
      <c r="D194" s="55" t="s">
        <v>1912</v>
      </c>
      <c r="E194" s="55" t="s">
        <v>1912</v>
      </c>
      <c r="F194" s="55" t="s">
        <v>1194</v>
      </c>
      <c r="G194" s="55" t="s">
        <v>1195</v>
      </c>
      <c r="H194" s="55" t="s">
        <v>1248</v>
      </c>
      <c r="I194" s="55" t="s">
        <v>379</v>
      </c>
      <c r="J194" s="55" t="s">
        <v>1913</v>
      </c>
      <c r="K194" s="55" t="s">
        <v>382</v>
      </c>
      <c r="L194" s="55" t="n">
        <v>1</v>
      </c>
      <c r="M194" s="55" t="n">
        <v>4.25</v>
      </c>
      <c r="N194" s="55" t="s">
        <v>141</v>
      </c>
      <c r="O194" s="55"/>
      <c r="P194" s="55"/>
      <c r="Q194" s="55"/>
      <c r="R194" s="55" t="n">
        <v>76</v>
      </c>
      <c r="S194" s="55" t="n">
        <v>346</v>
      </c>
      <c r="T194" s="55"/>
      <c r="U194" s="55" t="s">
        <v>381</v>
      </c>
      <c r="V194" s="55" t="s">
        <v>1914</v>
      </c>
      <c r="W194" s="55" t="s">
        <v>1500</v>
      </c>
      <c r="X194" s="4"/>
      <c r="Y194" s="4"/>
      <c r="Z194" s="4"/>
    </row>
    <row r="195" customFormat="false" ht="15.75" hidden="false" customHeight="true" outlineLevel="0" collapsed="false">
      <c r="A195" s="55" t="n">
        <v>1599</v>
      </c>
      <c r="B195" s="55" t="s">
        <v>322</v>
      </c>
      <c r="C195" s="55" t="s">
        <v>323</v>
      </c>
      <c r="D195" s="55" t="s">
        <v>1915</v>
      </c>
      <c r="E195" s="55" t="s">
        <v>1915</v>
      </c>
      <c r="F195" s="55" t="s">
        <v>1194</v>
      </c>
      <c r="G195" s="55" t="s">
        <v>1195</v>
      </c>
      <c r="H195" s="55" t="s">
        <v>1248</v>
      </c>
      <c r="I195" s="55" t="s">
        <v>274</v>
      </c>
      <c r="J195" s="55" t="s">
        <v>1916</v>
      </c>
      <c r="K195" s="55" t="s">
        <v>312</v>
      </c>
      <c r="L195" s="55" t="n">
        <v>0.75</v>
      </c>
      <c r="M195" s="55" t="n">
        <v>3.5</v>
      </c>
      <c r="N195" s="55" t="s">
        <v>141</v>
      </c>
      <c r="O195" s="55"/>
      <c r="P195" s="55"/>
      <c r="Q195" s="55"/>
      <c r="R195" s="55" t="n">
        <v>131</v>
      </c>
      <c r="S195" s="55" t="n">
        <v>220</v>
      </c>
      <c r="T195" s="55"/>
      <c r="U195" s="55" t="s">
        <v>1917</v>
      </c>
      <c r="V195" s="55" t="s">
        <v>1918</v>
      </c>
      <c r="W195" s="55" t="s">
        <v>1500</v>
      </c>
      <c r="X195" s="4"/>
      <c r="Y195" s="4"/>
      <c r="Z195" s="4"/>
    </row>
    <row r="196" customFormat="false" ht="15.75" hidden="false" customHeight="true" outlineLevel="0" collapsed="false">
      <c r="A196" s="55" t="n">
        <v>1632</v>
      </c>
      <c r="B196" s="55" t="s">
        <v>374</v>
      </c>
      <c r="C196" s="55" t="s">
        <v>375</v>
      </c>
      <c r="D196" s="55" t="s">
        <v>1919</v>
      </c>
      <c r="E196" s="55" t="s">
        <v>1919</v>
      </c>
      <c r="F196" s="55" t="s">
        <v>1194</v>
      </c>
      <c r="G196" s="55" t="s">
        <v>1195</v>
      </c>
      <c r="H196" s="55" t="s">
        <v>1248</v>
      </c>
      <c r="I196" s="55" t="s">
        <v>366</v>
      </c>
      <c r="J196" s="55" t="s">
        <v>1920</v>
      </c>
      <c r="K196" s="55" t="s">
        <v>376</v>
      </c>
      <c r="L196" s="55" t="n">
        <v>0.6875</v>
      </c>
      <c r="M196" s="55" t="n">
        <v>2.25</v>
      </c>
      <c r="N196" s="55" t="s">
        <v>141</v>
      </c>
      <c r="O196" s="55"/>
      <c r="P196" s="55"/>
      <c r="Q196" s="55"/>
      <c r="R196" s="55" t="n">
        <v>50</v>
      </c>
      <c r="S196" s="55" t="n">
        <v>222</v>
      </c>
      <c r="T196" s="55"/>
      <c r="U196" s="55" t="s">
        <v>375</v>
      </c>
      <c r="V196" s="55" t="s">
        <v>1921</v>
      </c>
      <c r="W196" s="55" t="s">
        <v>1500</v>
      </c>
      <c r="X196" s="4"/>
      <c r="Y196" s="4"/>
      <c r="Z196" s="4"/>
    </row>
    <row r="197" customFormat="false" ht="15.75" hidden="false" customHeight="true" outlineLevel="0" collapsed="false">
      <c r="A197" s="55" t="n">
        <v>1630</v>
      </c>
      <c r="B197" s="55" t="s">
        <v>368</v>
      </c>
      <c r="C197" s="55" t="s">
        <v>369</v>
      </c>
      <c r="D197" s="55" t="s">
        <v>1922</v>
      </c>
      <c r="E197" s="55" t="s">
        <v>1922</v>
      </c>
      <c r="F197" s="55" t="s">
        <v>1194</v>
      </c>
      <c r="G197" s="55" t="s">
        <v>1195</v>
      </c>
      <c r="H197" s="55" t="s">
        <v>1248</v>
      </c>
      <c r="I197" s="55" t="s">
        <v>366</v>
      </c>
      <c r="J197" s="55" t="s">
        <v>1923</v>
      </c>
      <c r="K197" s="55" t="s">
        <v>370</v>
      </c>
      <c r="L197" s="55" t="n">
        <v>0.75</v>
      </c>
      <c r="M197" s="55" t="n">
        <v>0.75</v>
      </c>
      <c r="N197" s="55" t="s">
        <v>141</v>
      </c>
      <c r="O197" s="55"/>
      <c r="P197" s="55"/>
      <c r="Q197" s="55"/>
      <c r="R197" s="55" t="n">
        <v>46</v>
      </c>
      <c r="S197" s="55" t="n">
        <v>180</v>
      </c>
      <c r="T197" s="55"/>
      <c r="U197" s="55" t="s">
        <v>369</v>
      </c>
      <c r="V197" s="55" t="s">
        <v>1924</v>
      </c>
      <c r="W197" s="55" t="s">
        <v>1500</v>
      </c>
      <c r="X197" s="4"/>
      <c r="Y197" s="4"/>
      <c r="Z197" s="4"/>
    </row>
    <row r="198" customFormat="false" ht="15.75" hidden="false" customHeight="true" outlineLevel="0" collapsed="false">
      <c r="A198" s="55" t="n">
        <v>1601</v>
      </c>
      <c r="B198" s="55" t="s">
        <v>327</v>
      </c>
      <c r="C198" s="55" t="s">
        <v>328</v>
      </c>
      <c r="D198" s="55" t="s">
        <v>1925</v>
      </c>
      <c r="E198" s="55" t="s">
        <v>1925</v>
      </c>
      <c r="F198" s="55" t="s">
        <v>1194</v>
      </c>
      <c r="G198" s="55" t="s">
        <v>1195</v>
      </c>
      <c r="H198" s="55" t="s">
        <v>1248</v>
      </c>
      <c r="I198" s="55" t="s">
        <v>274</v>
      </c>
      <c r="J198" s="55" t="s">
        <v>1926</v>
      </c>
      <c r="K198" s="55" t="s">
        <v>329</v>
      </c>
      <c r="L198" s="55" t="n">
        <v>0.75</v>
      </c>
      <c r="M198" s="55" t="n">
        <v>3.5</v>
      </c>
      <c r="N198" s="55" t="s">
        <v>141</v>
      </c>
      <c r="O198" s="55"/>
      <c r="P198" s="55"/>
      <c r="Q198" s="55"/>
      <c r="R198" s="55" t="n">
        <v>65</v>
      </c>
      <c r="S198" s="55" t="n">
        <v>120</v>
      </c>
      <c r="T198" s="55"/>
      <c r="U198" s="55" t="s">
        <v>328</v>
      </c>
      <c r="V198" s="55" t="s">
        <v>1503</v>
      </c>
      <c r="W198" s="55" t="s">
        <v>1500</v>
      </c>
      <c r="X198" s="4"/>
      <c r="Y198" s="4"/>
      <c r="Z198" s="4"/>
    </row>
    <row r="199" customFormat="false" ht="15.75" hidden="false" customHeight="true" outlineLevel="0" collapsed="false">
      <c r="A199" s="55" t="n">
        <v>1603</v>
      </c>
      <c r="B199" s="55" t="s">
        <v>282</v>
      </c>
      <c r="C199" s="55" t="s">
        <v>283</v>
      </c>
      <c r="D199" s="55" t="s">
        <v>1927</v>
      </c>
      <c r="E199" s="55" t="s">
        <v>1927</v>
      </c>
      <c r="F199" s="55" t="s">
        <v>1194</v>
      </c>
      <c r="G199" s="55" t="s">
        <v>1195</v>
      </c>
      <c r="H199" s="55" t="s">
        <v>1248</v>
      </c>
      <c r="I199" s="55" t="s">
        <v>274</v>
      </c>
      <c r="J199" s="55" t="s">
        <v>1928</v>
      </c>
      <c r="K199" s="55" t="s">
        <v>284</v>
      </c>
      <c r="L199" s="55" t="n">
        <v>0.75</v>
      </c>
      <c r="M199" s="55" t="n">
        <v>2.5</v>
      </c>
      <c r="N199" s="55" t="s">
        <v>141</v>
      </c>
      <c r="O199" s="55"/>
      <c r="P199" s="55"/>
      <c r="Q199" s="55"/>
      <c r="R199" s="55" t="n">
        <v>83</v>
      </c>
      <c r="S199" s="55" t="n">
        <v>175</v>
      </c>
      <c r="T199" s="55"/>
      <c r="U199" s="55" t="s">
        <v>283</v>
      </c>
      <c r="V199" s="55" t="s">
        <v>1929</v>
      </c>
      <c r="W199" s="55" t="s">
        <v>1500</v>
      </c>
      <c r="X199" s="4"/>
      <c r="Y199" s="4"/>
      <c r="Z199" s="4"/>
    </row>
    <row r="200" customFormat="false" ht="15.75" hidden="false" customHeight="true" outlineLevel="0" collapsed="false">
      <c r="A200" s="55" t="n">
        <v>1605</v>
      </c>
      <c r="B200" s="55" t="s">
        <v>288</v>
      </c>
      <c r="C200" s="55" t="s">
        <v>289</v>
      </c>
      <c r="D200" s="55" t="s">
        <v>1930</v>
      </c>
      <c r="E200" s="55" t="s">
        <v>1930</v>
      </c>
      <c r="F200" s="55" t="s">
        <v>1194</v>
      </c>
      <c r="G200" s="55" t="s">
        <v>1195</v>
      </c>
      <c r="H200" s="55" t="s">
        <v>1248</v>
      </c>
      <c r="I200" s="55" t="s">
        <v>274</v>
      </c>
      <c r="J200" s="55" t="s">
        <v>1931</v>
      </c>
      <c r="K200" s="55" t="s">
        <v>290</v>
      </c>
      <c r="L200" s="55" t="n">
        <v>0.75</v>
      </c>
      <c r="M200" s="55" t="n">
        <v>2.25</v>
      </c>
      <c r="N200" s="55" t="s">
        <v>141</v>
      </c>
      <c r="O200" s="55"/>
      <c r="P200" s="55"/>
      <c r="Q200" s="55"/>
      <c r="R200" s="55" t="n">
        <v>67</v>
      </c>
      <c r="S200" s="55" t="n">
        <v>117</v>
      </c>
      <c r="T200" s="55"/>
      <c r="U200" s="55" t="s">
        <v>289</v>
      </c>
      <c r="V200" s="55" t="s">
        <v>1932</v>
      </c>
      <c r="W200" s="55" t="s">
        <v>1500</v>
      </c>
      <c r="X200" s="4"/>
      <c r="Y200" s="4"/>
      <c r="Z200" s="4"/>
    </row>
    <row r="201" customFormat="false" ht="15.75" hidden="false" customHeight="true" outlineLevel="0" collapsed="false">
      <c r="A201" s="55" t="n">
        <v>1606</v>
      </c>
      <c r="B201" s="55" t="s">
        <v>291</v>
      </c>
      <c r="C201" s="55" t="s">
        <v>292</v>
      </c>
      <c r="D201" s="55" t="s">
        <v>1933</v>
      </c>
      <c r="E201" s="55" t="s">
        <v>1933</v>
      </c>
      <c r="F201" s="55" t="s">
        <v>1194</v>
      </c>
      <c r="G201" s="55" t="s">
        <v>1195</v>
      </c>
      <c r="H201" s="55" t="s">
        <v>1248</v>
      </c>
      <c r="I201" s="55" t="s">
        <v>274</v>
      </c>
      <c r="J201" s="55" t="s">
        <v>1934</v>
      </c>
      <c r="K201" s="55" t="s">
        <v>293</v>
      </c>
      <c r="L201" s="55" t="n">
        <v>0.75</v>
      </c>
      <c r="M201" s="55" t="n">
        <v>2.5</v>
      </c>
      <c r="N201" s="55" t="s">
        <v>141</v>
      </c>
      <c r="O201" s="55"/>
      <c r="P201" s="55"/>
      <c r="Q201" s="55"/>
      <c r="R201" s="55" t="n">
        <v>62</v>
      </c>
      <c r="S201" s="55" t="n">
        <v>84</v>
      </c>
      <c r="T201" s="55"/>
      <c r="U201" s="55" t="s">
        <v>1935</v>
      </c>
      <c r="V201" s="55" t="s">
        <v>1936</v>
      </c>
      <c r="W201" s="55" t="s">
        <v>1500</v>
      </c>
      <c r="X201" s="4"/>
      <c r="Y201" s="4"/>
      <c r="Z201" s="4"/>
    </row>
    <row r="202" customFormat="false" ht="15.75" hidden="false" customHeight="true" outlineLevel="0" collapsed="false">
      <c r="A202" s="55" t="n">
        <v>1607</v>
      </c>
      <c r="B202" s="55" t="s">
        <v>294</v>
      </c>
      <c r="C202" s="55" t="s">
        <v>295</v>
      </c>
      <c r="D202" s="55" t="s">
        <v>1937</v>
      </c>
      <c r="E202" s="55" t="s">
        <v>1937</v>
      </c>
      <c r="F202" s="55" t="s">
        <v>1194</v>
      </c>
      <c r="G202" s="55" t="s">
        <v>1195</v>
      </c>
      <c r="H202" s="55" t="s">
        <v>1248</v>
      </c>
      <c r="I202" s="55" t="s">
        <v>274</v>
      </c>
      <c r="J202" s="55" t="s">
        <v>1938</v>
      </c>
      <c r="K202" s="55" t="s">
        <v>296</v>
      </c>
      <c r="L202" s="55" t="n">
        <v>0.75</v>
      </c>
      <c r="M202" s="55" t="n">
        <v>2.75</v>
      </c>
      <c r="N202" s="55" t="s">
        <v>141</v>
      </c>
      <c r="O202" s="55"/>
      <c r="P202" s="55"/>
      <c r="Q202" s="55"/>
      <c r="R202" s="55" t="n">
        <v>66</v>
      </c>
      <c r="S202" s="55" t="n">
        <v>124</v>
      </c>
      <c r="T202" s="55"/>
      <c r="U202" s="55" t="s">
        <v>295</v>
      </c>
      <c r="V202" s="55" t="s">
        <v>1939</v>
      </c>
      <c r="W202" s="55" t="s">
        <v>1500</v>
      </c>
      <c r="X202" s="4"/>
      <c r="Y202" s="4"/>
      <c r="Z202" s="4"/>
    </row>
    <row r="203" customFormat="false" ht="15.75" hidden="false" customHeight="true" outlineLevel="0" collapsed="false">
      <c r="A203" s="55" t="n">
        <v>1608</v>
      </c>
      <c r="B203" s="55" t="s">
        <v>297</v>
      </c>
      <c r="C203" s="55" t="s">
        <v>298</v>
      </c>
      <c r="D203" s="55" t="s">
        <v>1940</v>
      </c>
      <c r="E203" s="55" t="s">
        <v>1940</v>
      </c>
      <c r="F203" s="55" t="s">
        <v>1194</v>
      </c>
      <c r="G203" s="55" t="s">
        <v>1195</v>
      </c>
      <c r="H203" s="55" t="s">
        <v>1248</v>
      </c>
      <c r="I203" s="55" t="s">
        <v>274</v>
      </c>
      <c r="J203" s="55" t="s">
        <v>1941</v>
      </c>
      <c r="K203" s="55" t="s">
        <v>296</v>
      </c>
      <c r="L203" s="55" t="n">
        <v>0.75</v>
      </c>
      <c r="M203" s="55" t="n">
        <v>2.75</v>
      </c>
      <c r="N203" s="55" t="s">
        <v>141</v>
      </c>
      <c r="O203" s="55"/>
      <c r="P203" s="55"/>
      <c r="Q203" s="55"/>
      <c r="R203" s="55" t="n">
        <v>59</v>
      </c>
      <c r="S203" s="55" t="n">
        <v>262</v>
      </c>
      <c r="T203" s="55"/>
      <c r="U203" s="55" t="s">
        <v>1942</v>
      </c>
      <c r="V203" s="55" t="s">
        <v>1943</v>
      </c>
      <c r="W203" s="55" t="s">
        <v>1500</v>
      </c>
      <c r="X203" s="4"/>
      <c r="Y203" s="4"/>
      <c r="Z203" s="4"/>
    </row>
    <row r="204" customFormat="false" ht="15.75" hidden="false" customHeight="true" outlineLevel="0" collapsed="false">
      <c r="A204" s="55" t="n">
        <v>1611</v>
      </c>
      <c r="B204" s="55" t="s">
        <v>307</v>
      </c>
      <c r="C204" s="55" t="s">
        <v>308</v>
      </c>
      <c r="D204" s="55" t="s">
        <v>1944</v>
      </c>
      <c r="E204" s="55" t="s">
        <v>1944</v>
      </c>
      <c r="F204" s="55" t="s">
        <v>1194</v>
      </c>
      <c r="G204" s="55" t="s">
        <v>1195</v>
      </c>
      <c r="H204" s="55" t="s">
        <v>1248</v>
      </c>
      <c r="I204" s="55" t="s">
        <v>274</v>
      </c>
      <c r="J204" s="55" t="s">
        <v>1945</v>
      </c>
      <c r="K204" s="55" t="s">
        <v>309</v>
      </c>
      <c r="L204" s="55" t="n">
        <v>0.75</v>
      </c>
      <c r="M204" s="55" t="n">
        <v>3.25</v>
      </c>
      <c r="N204" s="55" t="s">
        <v>141</v>
      </c>
      <c r="O204" s="55"/>
      <c r="P204" s="55"/>
      <c r="Q204" s="55"/>
      <c r="R204" s="55" t="n">
        <v>76</v>
      </c>
      <c r="S204" s="55" t="n">
        <v>146</v>
      </c>
      <c r="T204" s="55"/>
      <c r="U204" s="55" t="s">
        <v>308</v>
      </c>
      <c r="V204" s="55" t="s">
        <v>1946</v>
      </c>
      <c r="W204" s="55" t="s">
        <v>1500</v>
      </c>
      <c r="X204" s="4"/>
      <c r="Y204" s="4"/>
      <c r="Z204" s="4"/>
    </row>
    <row r="205" customFormat="false" ht="15.75" hidden="false" customHeight="true" outlineLevel="0" collapsed="false">
      <c r="A205" s="55" t="n">
        <v>1631</v>
      </c>
      <c r="B205" s="55" t="s">
        <v>371</v>
      </c>
      <c r="C205" s="55" t="s">
        <v>372</v>
      </c>
      <c r="D205" s="55" t="s">
        <v>1947</v>
      </c>
      <c r="E205" s="55" t="s">
        <v>1947</v>
      </c>
      <c r="F205" s="55" t="s">
        <v>1194</v>
      </c>
      <c r="G205" s="55" t="s">
        <v>1195</v>
      </c>
      <c r="H205" s="55" t="s">
        <v>1248</v>
      </c>
      <c r="I205" s="55" t="s">
        <v>366</v>
      </c>
      <c r="J205" s="55" t="s">
        <v>1948</v>
      </c>
      <c r="K205" s="55" t="s">
        <v>373</v>
      </c>
      <c r="L205" s="55" t="n">
        <v>1.0625</v>
      </c>
      <c r="M205" s="55" t="n">
        <v>1.0625</v>
      </c>
      <c r="N205" s="55" t="s">
        <v>141</v>
      </c>
      <c r="O205" s="55"/>
      <c r="P205" s="55"/>
      <c r="Q205" s="55"/>
      <c r="R205" s="55" t="n">
        <v>46</v>
      </c>
      <c r="S205" s="55" t="n">
        <v>168</v>
      </c>
      <c r="T205" s="55"/>
      <c r="U205" s="55" t="s">
        <v>372</v>
      </c>
      <c r="V205" s="55" t="s">
        <v>1949</v>
      </c>
      <c r="W205" s="55" t="s">
        <v>1500</v>
      </c>
      <c r="X205" s="4"/>
      <c r="Y205" s="4"/>
      <c r="Z205" s="4"/>
    </row>
    <row r="206" customFormat="false" ht="15.75" hidden="false" customHeight="true" outlineLevel="0" collapsed="false">
      <c r="A206" s="55" t="n">
        <v>1614</v>
      </c>
      <c r="B206" s="55" t="s">
        <v>330</v>
      </c>
      <c r="C206" s="55" t="s">
        <v>331</v>
      </c>
      <c r="D206" s="55" t="s">
        <v>1950</v>
      </c>
      <c r="E206" s="55" t="s">
        <v>1950</v>
      </c>
      <c r="F206" s="55" t="s">
        <v>1194</v>
      </c>
      <c r="G206" s="55" t="s">
        <v>1195</v>
      </c>
      <c r="H206" s="55" t="s">
        <v>1248</v>
      </c>
      <c r="I206" s="55" t="s">
        <v>274</v>
      </c>
      <c r="J206" s="55" t="s">
        <v>1951</v>
      </c>
      <c r="K206" s="55" t="s">
        <v>332</v>
      </c>
      <c r="L206" s="55" t="n">
        <v>0.75</v>
      </c>
      <c r="M206" s="55" t="n">
        <v>4</v>
      </c>
      <c r="N206" s="55" t="s">
        <v>141</v>
      </c>
      <c r="O206" s="55"/>
      <c r="P206" s="55"/>
      <c r="Q206" s="55"/>
      <c r="R206" s="55" t="n">
        <v>75</v>
      </c>
      <c r="S206" s="55" t="n">
        <v>88</v>
      </c>
      <c r="T206" s="55"/>
      <c r="U206" s="55" t="s">
        <v>331</v>
      </c>
      <c r="V206" s="55" t="s">
        <v>1952</v>
      </c>
      <c r="W206" s="55" t="s">
        <v>1500</v>
      </c>
      <c r="X206" s="4"/>
      <c r="Y206" s="4"/>
      <c r="Z206" s="4"/>
    </row>
    <row r="207" customFormat="false" ht="15.75" hidden="false" customHeight="true" outlineLevel="0" collapsed="false">
      <c r="A207" s="55" t="n">
        <v>1613</v>
      </c>
      <c r="B207" s="55" t="s">
        <v>310</v>
      </c>
      <c r="C207" s="55" t="s">
        <v>311</v>
      </c>
      <c r="D207" s="55" t="s">
        <v>1953</v>
      </c>
      <c r="E207" s="55" t="s">
        <v>1953</v>
      </c>
      <c r="F207" s="55" t="s">
        <v>1194</v>
      </c>
      <c r="G207" s="55" t="s">
        <v>1195</v>
      </c>
      <c r="H207" s="55" t="s">
        <v>1248</v>
      </c>
      <c r="I207" s="55" t="s">
        <v>274</v>
      </c>
      <c r="J207" s="55" t="s">
        <v>1954</v>
      </c>
      <c r="K207" s="55" t="s">
        <v>312</v>
      </c>
      <c r="L207" s="55" t="n">
        <v>0.75</v>
      </c>
      <c r="M207" s="55" t="n">
        <v>3.5</v>
      </c>
      <c r="N207" s="55" t="s">
        <v>141</v>
      </c>
      <c r="O207" s="55"/>
      <c r="P207" s="55"/>
      <c r="Q207" s="55"/>
      <c r="R207" s="55" t="n">
        <v>74</v>
      </c>
      <c r="S207" s="55" t="n">
        <v>70</v>
      </c>
      <c r="T207" s="55"/>
      <c r="U207" s="55" t="s">
        <v>311</v>
      </c>
      <c r="V207" s="55" t="s">
        <v>1955</v>
      </c>
      <c r="W207" s="55" t="s">
        <v>1500</v>
      </c>
      <c r="X207" s="4"/>
      <c r="Y207" s="4"/>
      <c r="Z207" s="4"/>
    </row>
    <row r="208" customFormat="false" ht="15.75" hidden="false" customHeight="true" outlineLevel="0" collapsed="false">
      <c r="A208" s="55" t="n">
        <v>1620</v>
      </c>
      <c r="B208" s="55" t="s">
        <v>434</v>
      </c>
      <c r="C208" s="55" t="s">
        <v>435</v>
      </c>
      <c r="D208" s="55" t="s">
        <v>1956</v>
      </c>
      <c r="E208" s="55" t="s">
        <v>1956</v>
      </c>
      <c r="F208" s="55" t="s">
        <v>1194</v>
      </c>
      <c r="G208" s="55" t="s">
        <v>1195</v>
      </c>
      <c r="H208" s="55" t="s">
        <v>1248</v>
      </c>
      <c r="I208" s="55" t="s">
        <v>420</v>
      </c>
      <c r="J208" s="55" t="s">
        <v>1957</v>
      </c>
      <c r="K208" s="55" t="s">
        <v>436</v>
      </c>
      <c r="L208" s="55" t="n">
        <v>0.625</v>
      </c>
      <c r="M208" s="55" t="n">
        <v>1.625</v>
      </c>
      <c r="N208" s="55" t="s">
        <v>141</v>
      </c>
      <c r="O208" s="55"/>
      <c r="P208" s="55"/>
      <c r="Q208" s="55"/>
      <c r="R208" s="55" t="n">
        <v>15</v>
      </c>
      <c r="S208" s="55" t="n">
        <v>86</v>
      </c>
      <c r="T208" s="55"/>
      <c r="U208" s="55" t="s">
        <v>435</v>
      </c>
      <c r="V208" s="55" t="s">
        <v>1958</v>
      </c>
      <c r="W208" s="55" t="s">
        <v>1500</v>
      </c>
      <c r="X208" s="4"/>
      <c r="Y208" s="4"/>
      <c r="Z208" s="4"/>
    </row>
    <row r="209" customFormat="false" ht="15.75" hidden="false" customHeight="true" outlineLevel="0" collapsed="false">
      <c r="A209" s="55" t="n">
        <v>1621</v>
      </c>
      <c r="B209" s="55" t="s">
        <v>342</v>
      </c>
      <c r="C209" s="55" t="s">
        <v>343</v>
      </c>
      <c r="D209" s="55" t="s">
        <v>1959</v>
      </c>
      <c r="E209" s="55" t="s">
        <v>1959</v>
      </c>
      <c r="F209" s="55" t="s">
        <v>1194</v>
      </c>
      <c r="G209" s="55" t="s">
        <v>1195</v>
      </c>
      <c r="H209" s="55" t="s">
        <v>1248</v>
      </c>
      <c r="I209" s="55" t="s">
        <v>344</v>
      </c>
      <c r="J209" s="55" t="s">
        <v>1960</v>
      </c>
      <c r="K209" s="55" t="s">
        <v>345</v>
      </c>
      <c r="L209" s="55" t="n">
        <v>0.75</v>
      </c>
      <c r="M209" s="55" t="n">
        <v>2.125</v>
      </c>
      <c r="N209" s="55" t="s">
        <v>141</v>
      </c>
      <c r="O209" s="55"/>
      <c r="P209" s="55"/>
      <c r="Q209" s="55"/>
      <c r="R209" s="55" t="n">
        <v>84</v>
      </c>
      <c r="S209" s="55" t="n">
        <v>84</v>
      </c>
      <c r="T209" s="55"/>
      <c r="U209" s="55" t="s">
        <v>343</v>
      </c>
      <c r="V209" s="55" t="s">
        <v>1961</v>
      </c>
      <c r="W209" s="55" t="s">
        <v>1500</v>
      </c>
      <c r="X209" s="4"/>
      <c r="Y209" s="4"/>
      <c r="Z209" s="4"/>
    </row>
    <row r="210" customFormat="false" ht="15.75" hidden="false" customHeight="true" outlineLevel="0" collapsed="false">
      <c r="A210" s="55" t="n">
        <v>1622</v>
      </c>
      <c r="B210" s="55" t="s">
        <v>346</v>
      </c>
      <c r="C210" s="55" t="s">
        <v>347</v>
      </c>
      <c r="D210" s="55" t="s">
        <v>1962</v>
      </c>
      <c r="E210" s="55" t="s">
        <v>1962</v>
      </c>
      <c r="F210" s="55" t="s">
        <v>1194</v>
      </c>
      <c r="G210" s="55" t="s">
        <v>1195</v>
      </c>
      <c r="H210" s="55" t="s">
        <v>1248</v>
      </c>
      <c r="I210" s="55" t="s">
        <v>344</v>
      </c>
      <c r="J210" s="55" t="s">
        <v>1963</v>
      </c>
      <c r="K210" s="55" t="s">
        <v>348</v>
      </c>
      <c r="L210" s="55" t="n">
        <v>0.8125</v>
      </c>
      <c r="M210" s="55" t="n">
        <v>2.5</v>
      </c>
      <c r="N210" s="55" t="s">
        <v>141</v>
      </c>
      <c r="O210" s="55"/>
      <c r="P210" s="55"/>
      <c r="Q210" s="55"/>
      <c r="R210" s="55" t="n">
        <v>84</v>
      </c>
      <c r="S210" s="55" t="n">
        <v>128</v>
      </c>
      <c r="T210" s="55"/>
      <c r="U210" s="55" t="s">
        <v>347</v>
      </c>
      <c r="V210" s="55" t="s">
        <v>1964</v>
      </c>
      <c r="W210" s="55" t="s">
        <v>1500</v>
      </c>
      <c r="X210" s="4"/>
      <c r="Y210" s="4"/>
      <c r="Z210" s="4"/>
    </row>
    <row r="211" customFormat="false" ht="15.75" hidden="false" customHeight="true" outlineLevel="0" collapsed="false">
      <c r="A211" s="55" t="n">
        <v>1623</v>
      </c>
      <c r="B211" s="55" t="s">
        <v>349</v>
      </c>
      <c r="C211" s="55" t="s">
        <v>350</v>
      </c>
      <c r="D211" s="55" t="s">
        <v>1965</v>
      </c>
      <c r="E211" s="55" t="s">
        <v>1965</v>
      </c>
      <c r="F211" s="55" t="s">
        <v>1194</v>
      </c>
      <c r="G211" s="55" t="s">
        <v>1195</v>
      </c>
      <c r="H211" s="55" t="s">
        <v>1248</v>
      </c>
      <c r="I211" s="55" t="s">
        <v>344</v>
      </c>
      <c r="J211" s="55" t="s">
        <v>1966</v>
      </c>
      <c r="K211" s="55" t="s">
        <v>351</v>
      </c>
      <c r="L211" s="55" t="n">
        <v>0.75</v>
      </c>
      <c r="M211" s="55" t="n">
        <v>2.25</v>
      </c>
      <c r="N211" s="55" t="s">
        <v>141</v>
      </c>
      <c r="O211" s="55"/>
      <c r="P211" s="55"/>
      <c r="Q211" s="55"/>
      <c r="R211" s="55" t="n">
        <v>84</v>
      </c>
      <c r="S211" s="55" t="n">
        <v>113</v>
      </c>
      <c r="T211" s="55"/>
      <c r="U211" s="55" t="s">
        <v>350</v>
      </c>
      <c r="V211" s="55" t="s">
        <v>1967</v>
      </c>
      <c r="W211" s="55" t="s">
        <v>1500</v>
      </c>
      <c r="X211" s="4"/>
      <c r="Y211" s="4"/>
      <c r="Z211" s="4"/>
    </row>
    <row r="212" customFormat="false" ht="15.75" hidden="false" customHeight="true" outlineLevel="0" collapsed="false">
      <c r="A212" s="55" t="n">
        <v>1625</v>
      </c>
      <c r="B212" s="55" t="s">
        <v>355</v>
      </c>
      <c r="C212" s="55" t="s">
        <v>356</v>
      </c>
      <c r="D212" s="55" t="s">
        <v>1968</v>
      </c>
      <c r="E212" s="55" t="s">
        <v>1968</v>
      </c>
      <c r="F212" s="55" t="s">
        <v>1194</v>
      </c>
      <c r="G212" s="55" t="s">
        <v>1195</v>
      </c>
      <c r="H212" s="55" t="s">
        <v>1248</v>
      </c>
      <c r="I212" s="55" t="s">
        <v>344</v>
      </c>
      <c r="J212" s="55" t="s">
        <v>1969</v>
      </c>
      <c r="K212" s="55" t="s">
        <v>357</v>
      </c>
      <c r="L212" s="55" t="n">
        <v>1.0625</v>
      </c>
      <c r="M212" s="55" t="n">
        <v>3.5</v>
      </c>
      <c r="N212" s="55" t="s">
        <v>141</v>
      </c>
      <c r="O212" s="55"/>
      <c r="P212" s="55"/>
      <c r="Q212" s="55"/>
      <c r="R212" s="55" t="n">
        <v>107</v>
      </c>
      <c r="S212" s="55" t="n">
        <v>119</v>
      </c>
      <c r="T212" s="55"/>
      <c r="U212" s="55" t="s">
        <v>356</v>
      </c>
      <c r="V212" s="55" t="s">
        <v>1970</v>
      </c>
      <c r="W212" s="55" t="s">
        <v>1500</v>
      </c>
      <c r="X212" s="4"/>
      <c r="Y212" s="4"/>
      <c r="Z212" s="4"/>
    </row>
    <row r="213" customFormat="false" ht="15.75" hidden="false" customHeight="true" outlineLevel="0" collapsed="false">
      <c r="A213" s="55" t="n">
        <v>1626</v>
      </c>
      <c r="B213" s="55" t="s">
        <v>358</v>
      </c>
      <c r="C213" s="55" t="s">
        <v>359</v>
      </c>
      <c r="D213" s="55" t="s">
        <v>1971</v>
      </c>
      <c r="E213" s="55" t="s">
        <v>1971</v>
      </c>
      <c r="F213" s="55" t="s">
        <v>1194</v>
      </c>
      <c r="G213" s="55" t="s">
        <v>1195</v>
      </c>
      <c r="H213" s="55" t="s">
        <v>1248</v>
      </c>
      <c r="I213" s="55" t="s">
        <v>344</v>
      </c>
      <c r="J213" s="55" t="s">
        <v>1972</v>
      </c>
      <c r="K213" s="55" t="s">
        <v>360</v>
      </c>
      <c r="L213" s="55" t="n">
        <v>0.8125</v>
      </c>
      <c r="M213" s="55" t="n">
        <v>3.25</v>
      </c>
      <c r="N213" s="55" t="s">
        <v>141</v>
      </c>
      <c r="O213" s="55"/>
      <c r="P213" s="55"/>
      <c r="Q213" s="55"/>
      <c r="R213" s="55" t="n">
        <v>84</v>
      </c>
      <c r="S213" s="55" t="n">
        <v>105</v>
      </c>
      <c r="T213" s="55"/>
      <c r="U213" s="55" t="s">
        <v>359</v>
      </c>
      <c r="V213" s="55" t="s">
        <v>1973</v>
      </c>
      <c r="W213" s="55" t="s">
        <v>1500</v>
      </c>
      <c r="X213" s="4"/>
      <c r="Y213" s="4"/>
      <c r="Z213" s="4"/>
    </row>
    <row r="214" customFormat="false" ht="15.75" hidden="false" customHeight="true" outlineLevel="0" collapsed="false">
      <c r="A214" s="55" t="n">
        <v>1627</v>
      </c>
      <c r="B214" s="55" t="s">
        <v>361</v>
      </c>
      <c r="C214" s="55" t="s">
        <v>362</v>
      </c>
      <c r="D214" s="55" t="s">
        <v>1974</v>
      </c>
      <c r="E214" s="55" t="s">
        <v>1974</v>
      </c>
      <c r="F214" s="55" t="s">
        <v>1194</v>
      </c>
      <c r="G214" s="55" t="s">
        <v>1195</v>
      </c>
      <c r="H214" s="55" t="s">
        <v>1248</v>
      </c>
      <c r="I214" s="55" t="s">
        <v>344</v>
      </c>
      <c r="J214" s="55" t="s">
        <v>1975</v>
      </c>
      <c r="K214" s="55" t="s">
        <v>363</v>
      </c>
      <c r="L214" s="55" t="n">
        <v>0.875</v>
      </c>
      <c r="M214" s="55" t="n">
        <v>3.125</v>
      </c>
      <c r="N214" s="55" t="s">
        <v>141</v>
      </c>
      <c r="O214" s="55"/>
      <c r="P214" s="55"/>
      <c r="Q214" s="55"/>
      <c r="R214" s="55" t="n">
        <v>84</v>
      </c>
      <c r="S214" s="55" t="n">
        <v>114</v>
      </c>
      <c r="T214" s="55"/>
      <c r="U214" s="55" t="s">
        <v>362</v>
      </c>
      <c r="V214" s="55" t="s">
        <v>1976</v>
      </c>
      <c r="W214" s="55" t="s">
        <v>1500</v>
      </c>
      <c r="X214" s="4"/>
      <c r="Y214" s="4"/>
      <c r="Z214" s="4"/>
    </row>
    <row r="215" customFormat="false" ht="15.75" hidden="false" customHeight="true" outlineLevel="0" collapsed="false">
      <c r="A215" s="55" t="n">
        <v>1629</v>
      </c>
      <c r="B215" s="55" t="s">
        <v>364</v>
      </c>
      <c r="C215" s="55" t="s">
        <v>365</v>
      </c>
      <c r="D215" s="55" t="s">
        <v>1977</v>
      </c>
      <c r="E215" s="55" t="s">
        <v>1977</v>
      </c>
      <c r="F215" s="55" t="s">
        <v>1194</v>
      </c>
      <c r="G215" s="55" t="s">
        <v>1195</v>
      </c>
      <c r="H215" s="55" t="s">
        <v>1248</v>
      </c>
      <c r="I215" s="55" t="s">
        <v>366</v>
      </c>
      <c r="J215" s="55" t="s">
        <v>1978</v>
      </c>
      <c r="K215" s="55" t="s">
        <v>367</v>
      </c>
      <c r="L215" s="55" t="n">
        <v>0.5</v>
      </c>
      <c r="M215" s="55" t="n">
        <v>0.5</v>
      </c>
      <c r="N215" s="55" t="s">
        <v>141</v>
      </c>
      <c r="O215" s="55"/>
      <c r="P215" s="55"/>
      <c r="Q215" s="55"/>
      <c r="R215" s="55" t="n">
        <v>46</v>
      </c>
      <c r="S215" s="55" t="n">
        <v>169</v>
      </c>
      <c r="T215" s="55"/>
      <c r="U215" s="55" t="s">
        <v>365</v>
      </c>
      <c r="V215" s="55" t="s">
        <v>1979</v>
      </c>
      <c r="W215" s="55" t="s">
        <v>1500</v>
      </c>
      <c r="X215" s="4"/>
      <c r="Y215" s="4"/>
      <c r="Z215" s="4"/>
    </row>
    <row r="216" customFormat="false" ht="15.75" hidden="false" customHeight="true" outlineLevel="0" collapsed="false">
      <c r="A216" s="55" t="n">
        <v>1619</v>
      </c>
      <c r="B216" s="55" t="s">
        <v>431</v>
      </c>
      <c r="C216" s="55" t="s">
        <v>432</v>
      </c>
      <c r="D216" s="55" t="s">
        <v>1980</v>
      </c>
      <c r="E216" s="55" t="s">
        <v>1980</v>
      </c>
      <c r="F216" s="55" t="s">
        <v>1194</v>
      </c>
      <c r="G216" s="55" t="s">
        <v>1195</v>
      </c>
      <c r="H216" s="55" t="s">
        <v>1248</v>
      </c>
      <c r="I216" s="55" t="s">
        <v>420</v>
      </c>
      <c r="J216" s="55" t="s">
        <v>1981</v>
      </c>
      <c r="K216" s="55" t="s">
        <v>433</v>
      </c>
      <c r="L216" s="55" t="n">
        <v>0.5</v>
      </c>
      <c r="M216" s="55" t="n">
        <v>1.375</v>
      </c>
      <c r="N216" s="55" t="s">
        <v>141</v>
      </c>
      <c r="O216" s="55"/>
      <c r="P216" s="55"/>
      <c r="Q216" s="55"/>
      <c r="R216" s="55" t="n">
        <v>15</v>
      </c>
      <c r="S216" s="55" t="n">
        <v>84</v>
      </c>
      <c r="T216" s="55"/>
      <c r="U216" s="55" t="s">
        <v>432</v>
      </c>
      <c r="V216" s="55" t="s">
        <v>1982</v>
      </c>
      <c r="W216" s="55" t="s">
        <v>1500</v>
      </c>
      <c r="X216" s="4"/>
      <c r="Y216" s="4"/>
      <c r="Z216" s="4"/>
    </row>
    <row r="217" customFormat="false" ht="15.75" hidden="false" customHeight="true" outlineLevel="0" collapsed="false">
      <c r="A217" s="55" t="n">
        <v>1527</v>
      </c>
      <c r="B217" s="55" t="s">
        <v>143</v>
      </c>
      <c r="C217" s="55" t="s">
        <v>144</v>
      </c>
      <c r="D217" s="55" t="s">
        <v>1983</v>
      </c>
      <c r="E217" s="55" t="s">
        <v>1983</v>
      </c>
      <c r="F217" s="55" t="s">
        <v>1194</v>
      </c>
      <c r="G217" s="55" t="s">
        <v>1195</v>
      </c>
      <c r="H217" s="55" t="s">
        <v>1248</v>
      </c>
      <c r="I217" s="55" t="s">
        <v>145</v>
      </c>
      <c r="J217" s="55" t="s">
        <v>1984</v>
      </c>
      <c r="K217" s="55" t="s">
        <v>146</v>
      </c>
      <c r="L217" s="55" t="n">
        <v>0.75</v>
      </c>
      <c r="M217" s="55" t="n">
        <v>1.25</v>
      </c>
      <c r="N217" s="55" t="s">
        <v>141</v>
      </c>
      <c r="O217" s="55"/>
      <c r="P217" s="55"/>
      <c r="Q217" s="55"/>
      <c r="R217" s="55" t="n">
        <v>31</v>
      </c>
      <c r="S217" s="55" t="n">
        <v>344</v>
      </c>
      <c r="T217" s="55"/>
      <c r="U217" s="55" t="s">
        <v>1985</v>
      </c>
      <c r="V217" s="55" t="s">
        <v>1986</v>
      </c>
      <c r="W217" s="55" t="s">
        <v>1500</v>
      </c>
      <c r="X217" s="4"/>
      <c r="Y217" s="4"/>
      <c r="Z217" s="4"/>
    </row>
    <row r="218" customFormat="false" ht="15.75" hidden="false" customHeight="true" outlineLevel="0" collapsed="false">
      <c r="A218" s="55" t="n">
        <v>1942</v>
      </c>
      <c r="B218" s="55"/>
      <c r="C218" s="55" t="s">
        <v>880</v>
      </c>
      <c r="D218" s="55" t="s">
        <v>1987</v>
      </c>
      <c r="E218" s="55" t="s">
        <v>1987</v>
      </c>
      <c r="F218" s="55" t="s">
        <v>1194</v>
      </c>
      <c r="G218" s="55" t="s">
        <v>1195</v>
      </c>
      <c r="H218" s="55" t="s">
        <v>1196</v>
      </c>
      <c r="I218" s="55" t="s">
        <v>881</v>
      </c>
      <c r="J218" s="55" t="s">
        <v>1988</v>
      </c>
      <c r="K218" s="55" t="s">
        <v>879</v>
      </c>
      <c r="L218" s="55"/>
      <c r="M218" s="55"/>
      <c r="N218" s="55" t="s">
        <v>732</v>
      </c>
      <c r="O218" s="55"/>
      <c r="P218" s="55" t="s">
        <v>1539</v>
      </c>
      <c r="Q218" s="55"/>
      <c r="R218" s="55" t="n">
        <v>14</v>
      </c>
      <c r="S218" s="55" t="n">
        <v>271</v>
      </c>
      <c r="T218" s="55"/>
      <c r="U218" s="55" t="s">
        <v>880</v>
      </c>
      <c r="V218" s="55" t="s">
        <v>1201</v>
      </c>
      <c r="W218" s="55" t="s">
        <v>1989</v>
      </c>
      <c r="X218" s="4"/>
      <c r="Y218" s="4"/>
      <c r="Z218" s="4"/>
    </row>
    <row r="219" customFormat="false" ht="15.75" hidden="false" customHeight="true" outlineLevel="0" collapsed="false">
      <c r="A219" s="55" t="n">
        <v>1790</v>
      </c>
      <c r="B219" s="55" t="s">
        <v>898</v>
      </c>
      <c r="C219" s="55" t="s">
        <v>899</v>
      </c>
      <c r="D219" s="55" t="s">
        <v>1990</v>
      </c>
      <c r="E219" s="55" t="s">
        <v>1990</v>
      </c>
      <c r="F219" s="55" t="s">
        <v>1194</v>
      </c>
      <c r="G219" s="55" t="s">
        <v>1195</v>
      </c>
      <c r="H219" s="55" t="s">
        <v>1196</v>
      </c>
      <c r="I219" s="55" t="s">
        <v>886</v>
      </c>
      <c r="J219" s="55" t="s">
        <v>1991</v>
      </c>
      <c r="K219" s="55" t="s">
        <v>889</v>
      </c>
      <c r="L219" s="55"/>
      <c r="M219" s="55"/>
      <c r="N219" s="55" t="s">
        <v>732</v>
      </c>
      <c r="O219" s="55"/>
      <c r="P219" s="55" t="s">
        <v>1539</v>
      </c>
      <c r="Q219" s="55"/>
      <c r="R219" s="55" t="n">
        <v>0</v>
      </c>
      <c r="S219" s="55" t="n">
        <v>119</v>
      </c>
      <c r="T219" s="55"/>
      <c r="U219" s="55" t="s">
        <v>899</v>
      </c>
      <c r="V219" s="55" t="s">
        <v>1201</v>
      </c>
      <c r="W219" s="55" t="s">
        <v>1992</v>
      </c>
      <c r="X219" s="4"/>
      <c r="Y219" s="4"/>
      <c r="Z219" s="4"/>
    </row>
    <row r="220" customFormat="false" ht="15.75" hidden="false" customHeight="true" outlineLevel="0" collapsed="false">
      <c r="A220" s="55" t="n">
        <v>1785</v>
      </c>
      <c r="B220" s="55" t="s">
        <v>896</v>
      </c>
      <c r="C220" s="55" t="s">
        <v>897</v>
      </c>
      <c r="D220" s="55" t="s">
        <v>1993</v>
      </c>
      <c r="E220" s="55" t="s">
        <v>1993</v>
      </c>
      <c r="F220" s="55" t="s">
        <v>1194</v>
      </c>
      <c r="G220" s="55" t="s">
        <v>1195</v>
      </c>
      <c r="H220" s="55" t="s">
        <v>1196</v>
      </c>
      <c r="I220" s="55" t="s">
        <v>886</v>
      </c>
      <c r="J220" s="55" t="s">
        <v>1994</v>
      </c>
      <c r="K220" s="55" t="s">
        <v>889</v>
      </c>
      <c r="L220" s="55"/>
      <c r="M220" s="55"/>
      <c r="N220" s="55" t="s">
        <v>732</v>
      </c>
      <c r="O220" s="55"/>
      <c r="P220" s="55" t="s">
        <v>1539</v>
      </c>
      <c r="Q220" s="55"/>
      <c r="R220" s="55" t="n">
        <v>0</v>
      </c>
      <c r="S220" s="55" t="n">
        <v>75</v>
      </c>
      <c r="T220" s="55"/>
      <c r="U220" s="55" t="s">
        <v>897</v>
      </c>
      <c r="V220" s="55" t="s">
        <v>1995</v>
      </c>
      <c r="W220" s="55" t="s">
        <v>1992</v>
      </c>
      <c r="X220" s="4"/>
      <c r="Y220" s="4"/>
      <c r="Z220" s="4"/>
    </row>
    <row r="221" customFormat="false" ht="15.75" hidden="false" customHeight="true" outlineLevel="0" collapsed="false">
      <c r="A221" s="55" t="n">
        <v>1784</v>
      </c>
      <c r="B221" s="55" t="s">
        <v>892</v>
      </c>
      <c r="C221" s="55" t="s">
        <v>893</v>
      </c>
      <c r="D221" s="55" t="s">
        <v>1996</v>
      </c>
      <c r="E221" s="55" t="s">
        <v>1996</v>
      </c>
      <c r="F221" s="55" t="s">
        <v>1194</v>
      </c>
      <c r="G221" s="55" t="s">
        <v>1195</v>
      </c>
      <c r="H221" s="55" t="s">
        <v>1196</v>
      </c>
      <c r="I221" s="55" t="s">
        <v>886</v>
      </c>
      <c r="J221" s="55" t="s">
        <v>1997</v>
      </c>
      <c r="K221" s="55" t="s">
        <v>889</v>
      </c>
      <c r="L221" s="55"/>
      <c r="M221" s="55"/>
      <c r="N221" s="55" t="s">
        <v>732</v>
      </c>
      <c r="O221" s="55"/>
      <c r="P221" s="55" t="s">
        <v>1539</v>
      </c>
      <c r="Q221" s="55"/>
      <c r="R221" s="55" t="n">
        <v>0</v>
      </c>
      <c r="S221" s="55" t="n">
        <v>83</v>
      </c>
      <c r="T221" s="55"/>
      <c r="U221" s="55" t="s">
        <v>893</v>
      </c>
      <c r="V221" s="55" t="s">
        <v>1998</v>
      </c>
      <c r="W221" s="55" t="s">
        <v>1992</v>
      </c>
      <c r="X221" s="4"/>
      <c r="Y221" s="4"/>
      <c r="Z221" s="4"/>
    </row>
    <row r="222" customFormat="false" ht="15.75" hidden="false" customHeight="true" outlineLevel="0" collapsed="false">
      <c r="A222" s="55" t="n">
        <v>1795</v>
      </c>
      <c r="B222" s="55" t="s">
        <v>920</v>
      </c>
      <c r="C222" s="55" t="s">
        <v>921</v>
      </c>
      <c r="D222" s="55" t="s">
        <v>1999</v>
      </c>
      <c r="E222" s="55" t="s">
        <v>1999</v>
      </c>
      <c r="F222" s="55" t="s">
        <v>1194</v>
      </c>
      <c r="G222" s="55" t="s">
        <v>1195</v>
      </c>
      <c r="H222" s="55" t="s">
        <v>1196</v>
      </c>
      <c r="I222" s="55" t="s">
        <v>886</v>
      </c>
      <c r="J222" s="55" t="s">
        <v>2000</v>
      </c>
      <c r="K222" s="55" t="s">
        <v>889</v>
      </c>
      <c r="L222" s="55"/>
      <c r="M222" s="55"/>
      <c r="N222" s="55" t="s">
        <v>732</v>
      </c>
      <c r="O222" s="55"/>
      <c r="P222" s="55" t="s">
        <v>1539</v>
      </c>
      <c r="Q222" s="55"/>
      <c r="R222" s="55" t="n">
        <v>0</v>
      </c>
      <c r="S222" s="55" t="n">
        <v>325</v>
      </c>
      <c r="T222" s="55"/>
      <c r="U222" s="55" t="s">
        <v>921</v>
      </c>
      <c r="V222" s="55" t="s">
        <v>1201</v>
      </c>
      <c r="W222" s="55" t="s">
        <v>1992</v>
      </c>
      <c r="X222" s="4"/>
      <c r="Y222" s="4"/>
      <c r="Z222" s="4"/>
    </row>
    <row r="223" customFormat="false" ht="15.75" hidden="false" customHeight="true" outlineLevel="0" collapsed="false">
      <c r="A223" s="55" t="n">
        <v>1793</v>
      </c>
      <c r="B223" s="55" t="s">
        <v>912</v>
      </c>
      <c r="C223" s="55" t="s">
        <v>913</v>
      </c>
      <c r="D223" s="55" t="s">
        <v>2001</v>
      </c>
      <c r="E223" s="55" t="s">
        <v>2001</v>
      </c>
      <c r="F223" s="55" t="s">
        <v>1194</v>
      </c>
      <c r="G223" s="55" t="s">
        <v>1195</v>
      </c>
      <c r="H223" s="55" t="s">
        <v>1196</v>
      </c>
      <c r="I223" s="55" t="s">
        <v>886</v>
      </c>
      <c r="J223" s="55" t="s">
        <v>2002</v>
      </c>
      <c r="K223" s="55" t="s">
        <v>889</v>
      </c>
      <c r="L223" s="55"/>
      <c r="M223" s="55"/>
      <c r="N223" s="55" t="s">
        <v>732</v>
      </c>
      <c r="O223" s="55"/>
      <c r="P223" s="55" t="s">
        <v>1539</v>
      </c>
      <c r="Q223" s="55"/>
      <c r="R223" s="55" t="n">
        <v>0</v>
      </c>
      <c r="S223" s="55" t="n">
        <v>308</v>
      </c>
      <c r="T223" s="55"/>
      <c r="U223" s="55" t="s">
        <v>2003</v>
      </c>
      <c r="V223" s="55" t="s">
        <v>2004</v>
      </c>
      <c r="W223" s="55" t="s">
        <v>1992</v>
      </c>
      <c r="X223" s="4"/>
      <c r="Y223" s="4"/>
      <c r="Z223" s="4"/>
    </row>
    <row r="224" customFormat="false" ht="15.75" hidden="false" customHeight="true" outlineLevel="0" collapsed="false">
      <c r="A224" s="55" t="n">
        <v>1794</v>
      </c>
      <c r="B224" s="55" t="s">
        <v>918</v>
      </c>
      <c r="C224" s="55" t="s">
        <v>919</v>
      </c>
      <c r="D224" s="55" t="s">
        <v>2005</v>
      </c>
      <c r="E224" s="55" t="s">
        <v>2005</v>
      </c>
      <c r="F224" s="55" t="s">
        <v>1194</v>
      </c>
      <c r="G224" s="55" t="s">
        <v>1195</v>
      </c>
      <c r="H224" s="55" t="s">
        <v>1196</v>
      </c>
      <c r="I224" s="55" t="s">
        <v>886</v>
      </c>
      <c r="J224" s="55" t="s">
        <v>2006</v>
      </c>
      <c r="K224" s="55" t="s">
        <v>889</v>
      </c>
      <c r="L224" s="55"/>
      <c r="M224" s="55"/>
      <c r="N224" s="55" t="s">
        <v>732</v>
      </c>
      <c r="O224" s="55"/>
      <c r="P224" s="55" t="s">
        <v>1539</v>
      </c>
      <c r="Q224" s="55"/>
      <c r="R224" s="55" t="n">
        <v>0</v>
      </c>
      <c r="S224" s="55" t="n">
        <v>248</v>
      </c>
      <c r="T224" s="55"/>
      <c r="U224" s="55" t="s">
        <v>2007</v>
      </c>
      <c r="V224" s="55" t="s">
        <v>2008</v>
      </c>
      <c r="W224" s="55" t="s">
        <v>1992</v>
      </c>
      <c r="X224" s="4"/>
      <c r="Y224" s="4"/>
      <c r="Z224" s="4"/>
    </row>
    <row r="225" customFormat="false" ht="15.75" hidden="false" customHeight="true" outlineLevel="0" collapsed="false">
      <c r="A225" s="55" t="n">
        <v>1796</v>
      </c>
      <c r="B225" s="55" t="s">
        <v>924</v>
      </c>
      <c r="C225" s="55" t="s">
        <v>925</v>
      </c>
      <c r="D225" s="55" t="s">
        <v>2009</v>
      </c>
      <c r="E225" s="55" t="s">
        <v>2009</v>
      </c>
      <c r="F225" s="55" t="s">
        <v>1194</v>
      </c>
      <c r="G225" s="55" t="s">
        <v>1195</v>
      </c>
      <c r="H225" s="55" t="s">
        <v>1196</v>
      </c>
      <c r="I225" s="55" t="s">
        <v>886</v>
      </c>
      <c r="J225" s="55" t="s">
        <v>2010</v>
      </c>
      <c r="K225" s="55" t="s">
        <v>889</v>
      </c>
      <c r="L225" s="55"/>
      <c r="M225" s="55"/>
      <c r="N225" s="55" t="s">
        <v>732</v>
      </c>
      <c r="O225" s="55"/>
      <c r="P225" s="55" t="s">
        <v>1539</v>
      </c>
      <c r="Q225" s="55"/>
      <c r="R225" s="55" t="n">
        <v>0</v>
      </c>
      <c r="S225" s="55" t="n">
        <v>98</v>
      </c>
      <c r="T225" s="55"/>
      <c r="U225" s="55" t="s">
        <v>2007</v>
      </c>
      <c r="V225" s="55" t="s">
        <v>2011</v>
      </c>
      <c r="W225" s="55" t="s">
        <v>1992</v>
      </c>
      <c r="X225" s="4"/>
      <c r="Y225" s="4"/>
      <c r="Z225" s="4"/>
    </row>
    <row r="226" customFormat="false" ht="15.75" hidden="false" customHeight="true" outlineLevel="0" collapsed="false">
      <c r="A226" s="55" t="n">
        <v>1721</v>
      </c>
      <c r="B226" s="55" t="s">
        <v>594</v>
      </c>
      <c r="C226" s="55" t="s">
        <v>595</v>
      </c>
      <c r="D226" s="55" t="s">
        <v>2012</v>
      </c>
      <c r="E226" s="55" t="s">
        <v>2012</v>
      </c>
      <c r="F226" s="55" t="s">
        <v>1194</v>
      </c>
      <c r="G226" s="55" t="s">
        <v>1195</v>
      </c>
      <c r="H226" s="55" t="s">
        <v>1248</v>
      </c>
      <c r="I226" s="55" t="s">
        <v>578</v>
      </c>
      <c r="J226" s="55" t="s">
        <v>2013</v>
      </c>
      <c r="K226" s="55" t="s">
        <v>596</v>
      </c>
      <c r="L226" s="55" t="n">
        <v>0.5</v>
      </c>
      <c r="M226" s="55" t="n">
        <v>0.75</v>
      </c>
      <c r="N226" s="55" t="s">
        <v>141</v>
      </c>
      <c r="O226" s="55"/>
      <c r="P226" s="55"/>
      <c r="Q226" s="55"/>
      <c r="R226" s="55" t="n">
        <v>0</v>
      </c>
      <c r="S226" s="55" t="n">
        <v>138</v>
      </c>
      <c r="T226" s="55"/>
      <c r="U226" s="55" t="s">
        <v>595</v>
      </c>
      <c r="V226" s="55" t="s">
        <v>1503</v>
      </c>
      <c r="W226" s="55" t="s">
        <v>1992</v>
      </c>
      <c r="X226" s="4"/>
      <c r="Y226" s="4"/>
      <c r="Z226" s="4"/>
    </row>
    <row r="227" customFormat="false" ht="15.75" hidden="false" customHeight="true" outlineLevel="0" collapsed="false">
      <c r="A227" s="55" t="n">
        <v>1788</v>
      </c>
      <c r="B227" s="55" t="s">
        <v>908</v>
      </c>
      <c r="C227" s="55" t="s">
        <v>909</v>
      </c>
      <c r="D227" s="55" t="s">
        <v>2014</v>
      </c>
      <c r="E227" s="55" t="s">
        <v>2014</v>
      </c>
      <c r="F227" s="55" t="s">
        <v>1194</v>
      </c>
      <c r="G227" s="55" t="s">
        <v>1195</v>
      </c>
      <c r="H227" s="55" t="s">
        <v>1196</v>
      </c>
      <c r="I227" s="55" t="s">
        <v>886</v>
      </c>
      <c r="J227" s="55" t="s">
        <v>2015</v>
      </c>
      <c r="K227" s="55" t="s">
        <v>889</v>
      </c>
      <c r="L227" s="55"/>
      <c r="M227" s="55"/>
      <c r="N227" s="55" t="s">
        <v>732</v>
      </c>
      <c r="O227" s="55"/>
      <c r="P227" s="55" t="s">
        <v>1539</v>
      </c>
      <c r="Q227" s="55"/>
      <c r="R227" s="55" t="n">
        <v>0</v>
      </c>
      <c r="S227" s="55" t="n">
        <v>104</v>
      </c>
      <c r="T227" s="55"/>
      <c r="U227" s="55" t="s">
        <v>909</v>
      </c>
      <c r="V227" s="55" t="s">
        <v>2016</v>
      </c>
      <c r="W227" s="55" t="s">
        <v>1992</v>
      </c>
      <c r="X227" s="4"/>
      <c r="Y227" s="4"/>
      <c r="Z227" s="4"/>
    </row>
    <row r="228" customFormat="false" ht="15.75" hidden="false" customHeight="true" outlineLevel="0" collapsed="false">
      <c r="A228" s="55" t="n">
        <v>1792</v>
      </c>
      <c r="B228" s="55" t="s">
        <v>910</v>
      </c>
      <c r="C228" s="55" t="s">
        <v>911</v>
      </c>
      <c r="D228" s="55" t="s">
        <v>2017</v>
      </c>
      <c r="E228" s="55" t="s">
        <v>2017</v>
      </c>
      <c r="F228" s="55" t="s">
        <v>1194</v>
      </c>
      <c r="G228" s="55" t="s">
        <v>1195</v>
      </c>
      <c r="H228" s="55" t="s">
        <v>1196</v>
      </c>
      <c r="I228" s="55" t="s">
        <v>886</v>
      </c>
      <c r="J228" s="55" t="s">
        <v>2018</v>
      </c>
      <c r="K228" s="55" t="s">
        <v>889</v>
      </c>
      <c r="L228" s="55"/>
      <c r="M228" s="55"/>
      <c r="N228" s="55" t="s">
        <v>732</v>
      </c>
      <c r="O228" s="55"/>
      <c r="P228" s="55" t="s">
        <v>1539</v>
      </c>
      <c r="Q228" s="55"/>
      <c r="R228" s="55" t="n">
        <v>0</v>
      </c>
      <c r="S228" s="55" t="n">
        <v>357</v>
      </c>
      <c r="T228" s="55"/>
      <c r="U228" s="55" t="s">
        <v>911</v>
      </c>
      <c r="V228" s="55" t="s">
        <v>1201</v>
      </c>
      <c r="W228" s="55" t="s">
        <v>1992</v>
      </c>
      <c r="X228" s="4"/>
      <c r="Y228" s="4"/>
      <c r="Z228" s="4"/>
    </row>
    <row r="229" customFormat="false" ht="15.75" hidden="false" customHeight="true" outlineLevel="0" collapsed="false">
      <c r="A229" s="55" t="n">
        <v>1787</v>
      </c>
      <c r="B229" s="55" t="s">
        <v>916</v>
      </c>
      <c r="C229" s="55" t="s">
        <v>917</v>
      </c>
      <c r="D229" s="55" t="s">
        <v>2019</v>
      </c>
      <c r="E229" s="55" t="s">
        <v>2019</v>
      </c>
      <c r="F229" s="55" t="s">
        <v>1194</v>
      </c>
      <c r="G229" s="55" t="s">
        <v>1195</v>
      </c>
      <c r="H229" s="55" t="s">
        <v>1196</v>
      </c>
      <c r="I229" s="55" t="s">
        <v>886</v>
      </c>
      <c r="J229" s="55" t="s">
        <v>2020</v>
      </c>
      <c r="K229" s="55" t="s">
        <v>889</v>
      </c>
      <c r="L229" s="55"/>
      <c r="M229" s="55"/>
      <c r="N229" s="55" t="s">
        <v>732</v>
      </c>
      <c r="O229" s="55"/>
      <c r="P229" s="55" t="s">
        <v>1539</v>
      </c>
      <c r="Q229" s="55"/>
      <c r="R229" s="55" t="n">
        <v>0</v>
      </c>
      <c r="S229" s="55" t="n">
        <v>64</v>
      </c>
      <c r="T229" s="55"/>
      <c r="U229" s="55" t="s">
        <v>917</v>
      </c>
      <c r="V229" s="55" t="s">
        <v>2021</v>
      </c>
      <c r="W229" s="55" t="s">
        <v>1992</v>
      </c>
      <c r="X229" s="4"/>
      <c r="Y229" s="4"/>
      <c r="Z229" s="4"/>
    </row>
    <row r="230" customFormat="false" ht="15.75" hidden="false" customHeight="true" outlineLevel="0" collapsed="false">
      <c r="A230" s="55" t="n">
        <v>1487</v>
      </c>
      <c r="B230" s="55" t="s">
        <v>1165</v>
      </c>
      <c r="C230" s="55" t="s">
        <v>1168</v>
      </c>
      <c r="D230" s="55" t="s">
        <v>2022</v>
      </c>
      <c r="E230" s="55"/>
      <c r="F230" s="55" t="s">
        <v>1194</v>
      </c>
      <c r="G230" s="55" t="s">
        <v>1194</v>
      </c>
      <c r="H230" s="55" t="s">
        <v>2023</v>
      </c>
      <c r="I230" s="55"/>
      <c r="J230" s="55" t="s">
        <v>2024</v>
      </c>
      <c r="K230" s="55" t="s">
        <v>1167</v>
      </c>
      <c r="L230" s="55" t="n">
        <v>0.75</v>
      </c>
      <c r="M230" s="55" t="n">
        <v>3</v>
      </c>
      <c r="N230" s="55" t="s">
        <v>141</v>
      </c>
      <c r="O230" s="55"/>
      <c r="P230" s="55"/>
      <c r="Q230" s="55"/>
      <c r="R230" s="55" t="n">
        <v>0</v>
      </c>
      <c r="S230" s="55" t="n">
        <v>0</v>
      </c>
      <c r="T230" s="55"/>
      <c r="U230" s="55"/>
      <c r="V230" s="55"/>
      <c r="W230" s="55" t="s">
        <v>2025</v>
      </c>
      <c r="X230" s="4"/>
      <c r="Y230" s="4"/>
      <c r="Z230" s="4"/>
    </row>
    <row r="231" customFormat="false" ht="15.75" hidden="false" customHeight="true" outlineLevel="0" collapsed="false">
      <c r="A231" s="55" t="n">
        <v>1723</v>
      </c>
      <c r="B231" s="55" t="s">
        <v>1165</v>
      </c>
      <c r="C231" s="55" t="s">
        <v>1166</v>
      </c>
      <c r="D231" s="55" t="s">
        <v>2022</v>
      </c>
      <c r="E231" s="55" t="s">
        <v>2026</v>
      </c>
      <c r="F231" s="55" t="s">
        <v>1195</v>
      </c>
      <c r="G231" s="55" t="s">
        <v>1195</v>
      </c>
      <c r="H231" s="55" t="s">
        <v>2023</v>
      </c>
      <c r="I231" s="55"/>
      <c r="J231" s="55" t="s">
        <v>2024</v>
      </c>
      <c r="K231" s="55" t="s">
        <v>1167</v>
      </c>
      <c r="L231" s="55" t="n">
        <v>0.75</v>
      </c>
      <c r="M231" s="55" t="n">
        <v>3</v>
      </c>
      <c r="N231" s="55" t="s">
        <v>141</v>
      </c>
      <c r="O231" s="55"/>
      <c r="P231" s="55"/>
      <c r="Q231" s="55"/>
      <c r="R231" s="55" t="n">
        <v>0</v>
      </c>
      <c r="S231" s="55" t="n">
        <v>0</v>
      </c>
      <c r="T231" s="55"/>
      <c r="U231" s="55" t="s">
        <v>1166</v>
      </c>
      <c r="V231" s="55" t="s">
        <v>1503</v>
      </c>
      <c r="W231" s="55" t="s">
        <v>2027</v>
      </c>
      <c r="X231" s="4"/>
      <c r="Y231" s="4"/>
      <c r="Z231" s="4"/>
    </row>
    <row r="232" customFormat="false" ht="15.75" hidden="false" customHeight="true" outlineLevel="0" collapsed="false">
      <c r="A232" s="55" t="n">
        <v>1941</v>
      </c>
      <c r="B232" s="55"/>
      <c r="C232" s="55" t="s">
        <v>877</v>
      </c>
      <c r="D232" s="55" t="s">
        <v>2028</v>
      </c>
      <c r="E232" s="55" t="s">
        <v>2028</v>
      </c>
      <c r="F232" s="55" t="s">
        <v>1194</v>
      </c>
      <c r="G232" s="55" t="s">
        <v>1195</v>
      </c>
      <c r="H232" s="55" t="s">
        <v>1196</v>
      </c>
      <c r="I232" s="55" t="s">
        <v>878</v>
      </c>
      <c r="J232" s="55" t="s">
        <v>2029</v>
      </c>
      <c r="K232" s="55" t="s">
        <v>879</v>
      </c>
      <c r="L232" s="55"/>
      <c r="M232" s="55"/>
      <c r="N232" s="55" t="s">
        <v>732</v>
      </c>
      <c r="O232" s="55"/>
      <c r="P232" s="55" t="s">
        <v>1539</v>
      </c>
      <c r="Q232" s="55"/>
      <c r="R232" s="55" t="n">
        <v>0</v>
      </c>
      <c r="S232" s="55" t="n">
        <v>206</v>
      </c>
      <c r="T232" s="55"/>
      <c r="U232" s="55" t="s">
        <v>877</v>
      </c>
      <c r="V232" s="55" t="s">
        <v>1201</v>
      </c>
      <c r="W232" s="55" t="s">
        <v>2030</v>
      </c>
      <c r="X232" s="4"/>
      <c r="Y232" s="4"/>
      <c r="Z232" s="4"/>
    </row>
    <row r="233" customFormat="false" ht="15.75" hidden="false" customHeight="true" outlineLevel="0" collapsed="false">
      <c r="A233" s="55" t="n">
        <v>1936</v>
      </c>
      <c r="B233" s="55"/>
      <c r="C233" s="55" t="s">
        <v>935</v>
      </c>
      <c r="D233" s="55" t="s">
        <v>2031</v>
      </c>
      <c r="E233" s="55"/>
      <c r="F233" s="55" t="s">
        <v>1194</v>
      </c>
      <c r="G233" s="55" t="s">
        <v>1194</v>
      </c>
      <c r="H233" s="55" t="s">
        <v>1196</v>
      </c>
      <c r="I233" s="55" t="s">
        <v>934</v>
      </c>
      <c r="J233" s="55" t="s">
        <v>2032</v>
      </c>
      <c r="K233" s="55" t="s">
        <v>889</v>
      </c>
      <c r="L233" s="55"/>
      <c r="M233" s="55"/>
      <c r="N233" s="55" t="s">
        <v>732</v>
      </c>
      <c r="O233" s="55"/>
      <c r="P233" s="55" t="s">
        <v>1539</v>
      </c>
      <c r="Q233" s="55"/>
      <c r="R233" s="55" t="n">
        <v>0</v>
      </c>
      <c r="S233" s="55" t="n">
        <v>76</v>
      </c>
      <c r="T233" s="55"/>
      <c r="U233" s="55"/>
      <c r="V233" s="55"/>
      <c r="W233" s="55" t="s">
        <v>2033</v>
      </c>
      <c r="X233" s="4"/>
      <c r="Y233" s="4"/>
      <c r="Z233" s="4"/>
    </row>
    <row r="234" customFormat="false" ht="15.75" hidden="false" customHeight="true" outlineLevel="0" collapsed="false">
      <c r="A234" s="55" t="n">
        <v>1884</v>
      </c>
      <c r="B234" s="55"/>
      <c r="C234" s="55" t="s">
        <v>759</v>
      </c>
      <c r="D234" s="55" t="s">
        <v>2034</v>
      </c>
      <c r="E234" s="55"/>
      <c r="F234" s="55" t="s">
        <v>1194</v>
      </c>
      <c r="G234" s="55" t="s">
        <v>1194</v>
      </c>
      <c r="H234" s="55" t="s">
        <v>1196</v>
      </c>
      <c r="I234" s="55" t="s">
        <v>738</v>
      </c>
      <c r="J234" s="55" t="s">
        <v>2035</v>
      </c>
      <c r="K234" s="55" t="s">
        <v>739</v>
      </c>
      <c r="L234" s="55"/>
      <c r="M234" s="55"/>
      <c r="N234" s="55" t="s">
        <v>732</v>
      </c>
      <c r="O234" s="55"/>
      <c r="P234" s="55" t="s">
        <v>1539</v>
      </c>
      <c r="Q234" s="55"/>
      <c r="R234" s="55" t="n">
        <v>0</v>
      </c>
      <c r="S234" s="55" t="n">
        <v>75</v>
      </c>
      <c r="T234" s="55"/>
      <c r="U234" s="55"/>
      <c r="V234" s="55"/>
      <c r="W234" s="55" t="s">
        <v>2033</v>
      </c>
      <c r="X234" s="4"/>
      <c r="Y234" s="4"/>
      <c r="Z234" s="4"/>
    </row>
    <row r="235" customFormat="false" ht="15.75" hidden="false" customHeight="true" outlineLevel="0" collapsed="false">
      <c r="A235" s="55" t="n">
        <v>1874</v>
      </c>
      <c r="B235" s="55"/>
      <c r="C235" s="55" t="s">
        <v>753</v>
      </c>
      <c r="D235" s="55" t="s">
        <v>2036</v>
      </c>
      <c r="E235" s="55" t="s">
        <v>2037</v>
      </c>
      <c r="F235" s="55" t="s">
        <v>1195</v>
      </c>
      <c r="G235" s="55" t="s">
        <v>1195</v>
      </c>
      <c r="H235" s="55" t="s">
        <v>1196</v>
      </c>
      <c r="I235" s="55" t="s">
        <v>738</v>
      </c>
      <c r="J235" s="55" t="s">
        <v>2038</v>
      </c>
      <c r="K235" s="55" t="s">
        <v>739</v>
      </c>
      <c r="L235" s="55"/>
      <c r="M235" s="55"/>
      <c r="N235" s="55" t="s">
        <v>732</v>
      </c>
      <c r="O235" s="55"/>
      <c r="P235" s="55" t="s">
        <v>1539</v>
      </c>
      <c r="Q235" s="55"/>
      <c r="R235" s="55" t="n">
        <v>0</v>
      </c>
      <c r="S235" s="55" t="n">
        <v>23</v>
      </c>
      <c r="T235" s="55"/>
      <c r="U235" s="55" t="s">
        <v>753</v>
      </c>
      <c r="V235" s="55" t="s">
        <v>1201</v>
      </c>
      <c r="W235" s="55" t="s">
        <v>2039</v>
      </c>
      <c r="X235" s="4"/>
      <c r="Y235" s="4"/>
      <c r="Z235" s="4"/>
    </row>
    <row r="236" customFormat="false" ht="15.75" hidden="false" customHeight="true" outlineLevel="0" collapsed="false">
      <c r="A236" s="55" t="n">
        <v>1860</v>
      </c>
      <c r="B236" s="55"/>
      <c r="C236" s="55" t="s">
        <v>743</v>
      </c>
      <c r="D236" s="55" t="s">
        <v>2040</v>
      </c>
      <c r="E236" s="55" t="s">
        <v>2041</v>
      </c>
      <c r="F236" s="55" t="s">
        <v>1195</v>
      </c>
      <c r="G236" s="55" t="s">
        <v>1195</v>
      </c>
      <c r="H236" s="55" t="s">
        <v>1196</v>
      </c>
      <c r="I236" s="55" t="s">
        <v>738</v>
      </c>
      <c r="J236" s="55" t="s">
        <v>2042</v>
      </c>
      <c r="K236" s="55" t="s">
        <v>739</v>
      </c>
      <c r="L236" s="55"/>
      <c r="M236" s="55"/>
      <c r="N236" s="55" t="s">
        <v>732</v>
      </c>
      <c r="O236" s="55"/>
      <c r="P236" s="55" t="s">
        <v>1539</v>
      </c>
      <c r="Q236" s="55"/>
      <c r="R236" s="55" t="n">
        <v>0</v>
      </c>
      <c r="S236" s="55" t="n">
        <v>13</v>
      </c>
      <c r="T236" s="55"/>
      <c r="U236" s="55" t="s">
        <v>743</v>
      </c>
      <c r="V236" s="55" t="s">
        <v>1201</v>
      </c>
      <c r="W236" s="55" t="s">
        <v>2039</v>
      </c>
      <c r="X236" s="4"/>
      <c r="Y236" s="4"/>
      <c r="Z236" s="4"/>
    </row>
    <row r="237" customFormat="false" ht="15.75" hidden="false" customHeight="true" outlineLevel="0" collapsed="false">
      <c r="A237" s="55" t="n">
        <v>1858</v>
      </c>
      <c r="B237" s="55"/>
      <c r="C237" s="55" t="s">
        <v>761</v>
      </c>
      <c r="D237" s="55" t="s">
        <v>2043</v>
      </c>
      <c r="E237" s="55" t="s">
        <v>2044</v>
      </c>
      <c r="F237" s="55" t="s">
        <v>1195</v>
      </c>
      <c r="G237" s="55" t="s">
        <v>1195</v>
      </c>
      <c r="H237" s="55" t="s">
        <v>1196</v>
      </c>
      <c r="I237" s="55" t="s">
        <v>738</v>
      </c>
      <c r="J237" s="55" t="s">
        <v>2045</v>
      </c>
      <c r="K237" s="55" t="s">
        <v>739</v>
      </c>
      <c r="L237" s="55"/>
      <c r="M237" s="55"/>
      <c r="N237" s="55" t="s">
        <v>732</v>
      </c>
      <c r="O237" s="55"/>
      <c r="P237" s="55" t="s">
        <v>1539</v>
      </c>
      <c r="Q237" s="55"/>
      <c r="R237" s="55" t="n">
        <v>0</v>
      </c>
      <c r="S237" s="55" t="n">
        <v>128</v>
      </c>
      <c r="T237" s="55"/>
      <c r="U237" s="55" t="s">
        <v>761</v>
      </c>
      <c r="V237" s="55" t="s">
        <v>1201</v>
      </c>
      <c r="W237" s="55" t="s">
        <v>2039</v>
      </c>
      <c r="X237" s="4"/>
      <c r="Y237" s="4"/>
      <c r="Z237" s="4"/>
    </row>
    <row r="238" customFormat="false" ht="15.75" hidden="false" customHeight="true" outlineLevel="0" collapsed="false">
      <c r="A238" s="55" t="n">
        <v>1857</v>
      </c>
      <c r="B238" s="55"/>
      <c r="C238" s="55" t="s">
        <v>742</v>
      </c>
      <c r="D238" s="55" t="s">
        <v>2046</v>
      </c>
      <c r="E238" s="55" t="s">
        <v>2047</v>
      </c>
      <c r="F238" s="55" t="s">
        <v>1195</v>
      </c>
      <c r="G238" s="55" t="s">
        <v>1195</v>
      </c>
      <c r="H238" s="55" t="s">
        <v>1196</v>
      </c>
      <c r="I238" s="55" t="s">
        <v>738</v>
      </c>
      <c r="J238" s="55" t="s">
        <v>2048</v>
      </c>
      <c r="K238" s="55" t="s">
        <v>739</v>
      </c>
      <c r="L238" s="55"/>
      <c r="M238" s="55"/>
      <c r="N238" s="55" t="s">
        <v>732</v>
      </c>
      <c r="O238" s="55"/>
      <c r="P238" s="55" t="s">
        <v>1539</v>
      </c>
      <c r="Q238" s="55"/>
      <c r="R238" s="55" t="n">
        <v>0</v>
      </c>
      <c r="S238" s="55" t="n">
        <v>61</v>
      </c>
      <c r="T238" s="55"/>
      <c r="U238" s="55" t="s">
        <v>742</v>
      </c>
      <c r="V238" s="55" t="s">
        <v>1201</v>
      </c>
      <c r="W238" s="55" t="s">
        <v>2039</v>
      </c>
      <c r="X238" s="4"/>
      <c r="Y238" s="4"/>
      <c r="Z238" s="4"/>
    </row>
    <row r="239" customFormat="false" ht="15.75" hidden="false" customHeight="true" outlineLevel="0" collapsed="false">
      <c r="A239" s="55" t="n">
        <v>1875</v>
      </c>
      <c r="B239" s="55"/>
      <c r="C239" s="55" t="s">
        <v>753</v>
      </c>
      <c r="D239" s="55" t="s">
        <v>2049</v>
      </c>
      <c r="E239" s="55" t="s">
        <v>2050</v>
      </c>
      <c r="F239" s="55" t="s">
        <v>1195</v>
      </c>
      <c r="G239" s="55" t="s">
        <v>1195</v>
      </c>
      <c r="H239" s="55" t="s">
        <v>1196</v>
      </c>
      <c r="I239" s="55" t="s">
        <v>738</v>
      </c>
      <c r="J239" s="55" t="s">
        <v>2051</v>
      </c>
      <c r="K239" s="55" t="s">
        <v>739</v>
      </c>
      <c r="L239" s="55"/>
      <c r="M239" s="55"/>
      <c r="N239" s="55" t="s">
        <v>732</v>
      </c>
      <c r="O239" s="55"/>
      <c r="P239" s="55" t="s">
        <v>1539</v>
      </c>
      <c r="Q239" s="55"/>
      <c r="R239" s="55" t="n">
        <v>0</v>
      </c>
      <c r="S239" s="55" t="n">
        <v>32</v>
      </c>
      <c r="T239" s="55"/>
      <c r="U239" s="55" t="s">
        <v>753</v>
      </c>
      <c r="V239" s="55" t="s">
        <v>1201</v>
      </c>
      <c r="W239" s="55" t="s">
        <v>2039</v>
      </c>
      <c r="X239" s="4"/>
      <c r="Y239" s="4"/>
      <c r="Z239" s="4"/>
    </row>
    <row r="240" customFormat="false" ht="15.75" hidden="false" customHeight="true" outlineLevel="0" collapsed="false">
      <c r="A240" s="55" t="n">
        <v>1876</v>
      </c>
      <c r="B240" s="55"/>
      <c r="C240" s="55" t="s">
        <v>741</v>
      </c>
      <c r="D240" s="55" t="s">
        <v>2052</v>
      </c>
      <c r="E240" s="55" t="s">
        <v>2053</v>
      </c>
      <c r="F240" s="55" t="s">
        <v>1195</v>
      </c>
      <c r="G240" s="55" t="s">
        <v>1195</v>
      </c>
      <c r="H240" s="55" t="s">
        <v>1196</v>
      </c>
      <c r="I240" s="55" t="s">
        <v>738</v>
      </c>
      <c r="J240" s="55" t="s">
        <v>2054</v>
      </c>
      <c r="K240" s="55" t="s">
        <v>739</v>
      </c>
      <c r="L240" s="55"/>
      <c r="M240" s="55"/>
      <c r="N240" s="55" t="s">
        <v>732</v>
      </c>
      <c r="O240" s="55"/>
      <c r="P240" s="55" t="s">
        <v>1539</v>
      </c>
      <c r="Q240" s="55"/>
      <c r="R240" s="55" t="n">
        <v>0</v>
      </c>
      <c r="S240" s="55" t="n">
        <v>16</v>
      </c>
      <c r="T240" s="55"/>
      <c r="U240" s="55" t="s">
        <v>2055</v>
      </c>
      <c r="V240" s="55" t="s">
        <v>2056</v>
      </c>
      <c r="W240" s="55" t="s">
        <v>2039</v>
      </c>
      <c r="X240" s="4"/>
      <c r="Y240" s="4"/>
      <c r="Z240" s="4"/>
    </row>
    <row r="241" customFormat="false" ht="15.75" hidden="false" customHeight="true" outlineLevel="0" collapsed="false">
      <c r="A241" s="55" t="n">
        <v>1877</v>
      </c>
      <c r="B241" s="55"/>
      <c r="C241" s="55" t="s">
        <v>754</v>
      </c>
      <c r="D241" s="55" t="s">
        <v>2057</v>
      </c>
      <c r="E241" s="55" t="s">
        <v>2058</v>
      </c>
      <c r="F241" s="55" t="s">
        <v>1195</v>
      </c>
      <c r="G241" s="55" t="s">
        <v>1195</v>
      </c>
      <c r="H241" s="55" t="s">
        <v>1196</v>
      </c>
      <c r="I241" s="55" t="s">
        <v>738</v>
      </c>
      <c r="J241" s="55" t="s">
        <v>2059</v>
      </c>
      <c r="K241" s="55" t="s">
        <v>739</v>
      </c>
      <c r="L241" s="55"/>
      <c r="M241" s="55"/>
      <c r="N241" s="55" t="s">
        <v>732</v>
      </c>
      <c r="O241" s="55"/>
      <c r="P241" s="55" t="s">
        <v>1539</v>
      </c>
      <c r="Q241" s="55"/>
      <c r="R241" s="55" t="n">
        <v>0</v>
      </c>
      <c r="S241" s="55" t="n">
        <v>11</v>
      </c>
      <c r="T241" s="55"/>
      <c r="U241" s="55" t="s">
        <v>754</v>
      </c>
      <c r="V241" s="55" t="s">
        <v>1201</v>
      </c>
      <c r="W241" s="55" t="s">
        <v>2039</v>
      </c>
      <c r="X241" s="4"/>
      <c r="Y241" s="4"/>
      <c r="Z241" s="4"/>
    </row>
    <row r="242" customFormat="false" ht="15.75" hidden="false" customHeight="true" outlineLevel="0" collapsed="false">
      <c r="A242" s="55" t="n">
        <v>1879</v>
      </c>
      <c r="B242" s="55"/>
      <c r="C242" s="55" t="s">
        <v>756</v>
      </c>
      <c r="D242" s="55" t="s">
        <v>2060</v>
      </c>
      <c r="E242" s="55" t="s">
        <v>2061</v>
      </c>
      <c r="F242" s="55" t="s">
        <v>1195</v>
      </c>
      <c r="G242" s="55" t="s">
        <v>1195</v>
      </c>
      <c r="H242" s="55" t="s">
        <v>1196</v>
      </c>
      <c r="I242" s="55" t="s">
        <v>738</v>
      </c>
      <c r="J242" s="55" t="s">
        <v>2062</v>
      </c>
      <c r="K242" s="55" t="s">
        <v>739</v>
      </c>
      <c r="L242" s="55"/>
      <c r="M242" s="55"/>
      <c r="N242" s="55" t="s">
        <v>732</v>
      </c>
      <c r="O242" s="55"/>
      <c r="P242" s="55" t="s">
        <v>1539</v>
      </c>
      <c r="Q242" s="55"/>
      <c r="R242" s="55" t="n">
        <v>0</v>
      </c>
      <c r="S242" s="55" t="n">
        <v>9</v>
      </c>
      <c r="T242" s="55"/>
      <c r="U242" s="55" t="s">
        <v>756</v>
      </c>
      <c r="V242" s="55" t="s">
        <v>1201</v>
      </c>
      <c r="W242" s="55" t="s">
        <v>2039</v>
      </c>
      <c r="X242" s="4"/>
      <c r="Y242" s="4"/>
      <c r="Z242" s="4"/>
    </row>
    <row r="243" customFormat="false" ht="15.75" hidden="false" customHeight="true" outlineLevel="0" collapsed="false">
      <c r="A243" s="55" t="n">
        <v>1861</v>
      </c>
      <c r="B243" s="55"/>
      <c r="C243" s="55" t="s">
        <v>743</v>
      </c>
      <c r="D243" s="55" t="s">
        <v>2063</v>
      </c>
      <c r="E243" s="55" t="s">
        <v>2064</v>
      </c>
      <c r="F243" s="55" t="s">
        <v>1195</v>
      </c>
      <c r="G243" s="55" t="s">
        <v>1195</v>
      </c>
      <c r="H243" s="55" t="s">
        <v>1196</v>
      </c>
      <c r="I243" s="55" t="s">
        <v>738</v>
      </c>
      <c r="J243" s="55" t="s">
        <v>2065</v>
      </c>
      <c r="K243" s="55" t="s">
        <v>739</v>
      </c>
      <c r="L243" s="55"/>
      <c r="M243" s="55"/>
      <c r="N243" s="55" t="s">
        <v>732</v>
      </c>
      <c r="O243" s="55"/>
      <c r="P243" s="55" t="s">
        <v>1539</v>
      </c>
      <c r="Q243" s="55"/>
      <c r="R243" s="55" t="n">
        <v>0</v>
      </c>
      <c r="S243" s="55" t="n">
        <v>11</v>
      </c>
      <c r="T243" s="55"/>
      <c r="U243" s="55" t="s">
        <v>743</v>
      </c>
      <c r="V243" s="55" t="s">
        <v>1201</v>
      </c>
      <c r="W243" s="55" t="s">
        <v>2039</v>
      </c>
      <c r="X243" s="4"/>
      <c r="Y243" s="4"/>
      <c r="Z243" s="4"/>
    </row>
    <row r="244" customFormat="false" ht="15.75" hidden="false" customHeight="true" outlineLevel="0" collapsed="false">
      <c r="A244" s="55" t="n">
        <v>1880</v>
      </c>
      <c r="B244" s="55"/>
      <c r="C244" s="55" t="s">
        <v>757</v>
      </c>
      <c r="D244" s="55" t="s">
        <v>2066</v>
      </c>
      <c r="E244" s="55" t="s">
        <v>2067</v>
      </c>
      <c r="F244" s="55" t="s">
        <v>1195</v>
      </c>
      <c r="G244" s="55" t="s">
        <v>1195</v>
      </c>
      <c r="H244" s="55" t="s">
        <v>1196</v>
      </c>
      <c r="I244" s="55" t="s">
        <v>738</v>
      </c>
      <c r="J244" s="55" t="s">
        <v>2068</v>
      </c>
      <c r="K244" s="55" t="s">
        <v>739</v>
      </c>
      <c r="L244" s="55"/>
      <c r="M244" s="55"/>
      <c r="N244" s="55" t="s">
        <v>732</v>
      </c>
      <c r="O244" s="55"/>
      <c r="P244" s="55" t="s">
        <v>1539</v>
      </c>
      <c r="Q244" s="55"/>
      <c r="R244" s="55" t="n">
        <v>0</v>
      </c>
      <c r="S244" s="55" t="n">
        <v>105</v>
      </c>
      <c r="T244" s="55"/>
      <c r="U244" s="55" t="s">
        <v>757</v>
      </c>
      <c r="V244" s="55" t="s">
        <v>1201</v>
      </c>
      <c r="W244" s="55" t="s">
        <v>2039</v>
      </c>
      <c r="X244" s="4"/>
      <c r="Y244" s="4"/>
      <c r="Z244" s="4"/>
    </row>
    <row r="245" customFormat="false" ht="15.75" hidden="false" customHeight="true" outlineLevel="0" collapsed="false">
      <c r="A245" s="55" t="n">
        <v>1883</v>
      </c>
      <c r="B245" s="55"/>
      <c r="C245" s="55" t="s">
        <v>758</v>
      </c>
      <c r="D245" s="55" t="s">
        <v>2069</v>
      </c>
      <c r="E245" s="55" t="s">
        <v>2070</v>
      </c>
      <c r="F245" s="55" t="s">
        <v>1195</v>
      </c>
      <c r="G245" s="55" t="s">
        <v>1195</v>
      </c>
      <c r="H245" s="55" t="s">
        <v>1196</v>
      </c>
      <c r="I245" s="55" t="s">
        <v>738</v>
      </c>
      <c r="J245" s="55" t="s">
        <v>2071</v>
      </c>
      <c r="K245" s="55" t="s">
        <v>739</v>
      </c>
      <c r="L245" s="55"/>
      <c r="M245" s="55"/>
      <c r="N245" s="55" t="s">
        <v>732</v>
      </c>
      <c r="O245" s="55"/>
      <c r="P245" s="55" t="s">
        <v>1539</v>
      </c>
      <c r="Q245" s="55"/>
      <c r="R245" s="55" t="n">
        <v>0</v>
      </c>
      <c r="S245" s="55" t="n">
        <v>28</v>
      </c>
      <c r="T245" s="55"/>
      <c r="U245" s="55" t="s">
        <v>758</v>
      </c>
      <c r="V245" s="55" t="s">
        <v>1201</v>
      </c>
      <c r="W245" s="55" t="s">
        <v>2039</v>
      </c>
      <c r="X245" s="4"/>
      <c r="Y245" s="4"/>
      <c r="Z245" s="4"/>
    </row>
    <row r="246" customFormat="false" ht="15.75" hidden="false" customHeight="true" outlineLevel="0" collapsed="false">
      <c r="A246" s="55" t="n">
        <v>1885</v>
      </c>
      <c r="B246" s="55"/>
      <c r="C246" s="55" t="s">
        <v>760</v>
      </c>
      <c r="D246" s="55" t="s">
        <v>2072</v>
      </c>
      <c r="E246" s="55" t="s">
        <v>2073</v>
      </c>
      <c r="F246" s="55" t="s">
        <v>1195</v>
      </c>
      <c r="G246" s="55" t="s">
        <v>1195</v>
      </c>
      <c r="H246" s="55" t="s">
        <v>1196</v>
      </c>
      <c r="I246" s="55" t="s">
        <v>738</v>
      </c>
      <c r="J246" s="55" t="s">
        <v>2074</v>
      </c>
      <c r="K246" s="55" t="s">
        <v>739</v>
      </c>
      <c r="L246" s="55"/>
      <c r="M246" s="55"/>
      <c r="N246" s="55" t="s">
        <v>732</v>
      </c>
      <c r="O246" s="55"/>
      <c r="P246" s="55" t="s">
        <v>1539</v>
      </c>
      <c r="Q246" s="55"/>
      <c r="R246" s="55" t="n">
        <v>0</v>
      </c>
      <c r="S246" s="55" t="n">
        <v>27</v>
      </c>
      <c r="T246" s="55"/>
      <c r="U246" s="55" t="s">
        <v>760</v>
      </c>
      <c r="V246" s="55" t="s">
        <v>1201</v>
      </c>
      <c r="W246" s="55" t="s">
        <v>2039</v>
      </c>
      <c r="X246" s="4"/>
      <c r="Y246" s="4"/>
      <c r="Z246" s="4"/>
    </row>
    <row r="247" customFormat="false" ht="15.75" hidden="false" customHeight="true" outlineLevel="0" collapsed="false">
      <c r="A247" s="55" t="n">
        <v>1873</v>
      </c>
      <c r="B247" s="55"/>
      <c r="C247" s="55" t="s">
        <v>762</v>
      </c>
      <c r="D247" s="55" t="s">
        <v>2075</v>
      </c>
      <c r="E247" s="55" t="s">
        <v>2076</v>
      </c>
      <c r="F247" s="55" t="s">
        <v>1195</v>
      </c>
      <c r="G247" s="55" t="s">
        <v>1195</v>
      </c>
      <c r="H247" s="55" t="s">
        <v>1196</v>
      </c>
      <c r="I247" s="55" t="s">
        <v>738</v>
      </c>
      <c r="J247" s="55" t="s">
        <v>2077</v>
      </c>
      <c r="K247" s="55" t="s">
        <v>739</v>
      </c>
      <c r="L247" s="55"/>
      <c r="M247" s="55"/>
      <c r="N247" s="55" t="s">
        <v>732</v>
      </c>
      <c r="O247" s="55"/>
      <c r="P247" s="55" t="s">
        <v>1539</v>
      </c>
      <c r="Q247" s="55"/>
      <c r="R247" s="55" t="n">
        <v>0</v>
      </c>
      <c r="S247" s="55" t="n">
        <v>19</v>
      </c>
      <c r="T247" s="55"/>
      <c r="U247" s="55" t="s">
        <v>2078</v>
      </c>
      <c r="V247" s="55" t="s">
        <v>2079</v>
      </c>
      <c r="W247" s="55" t="s">
        <v>2039</v>
      </c>
      <c r="X247" s="4"/>
      <c r="Y247" s="4"/>
      <c r="Z247" s="4"/>
    </row>
    <row r="248" customFormat="false" ht="15.75" hidden="false" customHeight="true" outlineLevel="0" collapsed="false">
      <c r="A248" s="55" t="n">
        <v>1878</v>
      </c>
      <c r="B248" s="55"/>
      <c r="C248" s="55" t="s">
        <v>755</v>
      </c>
      <c r="D248" s="55" t="s">
        <v>2080</v>
      </c>
      <c r="E248" s="55" t="s">
        <v>2081</v>
      </c>
      <c r="F248" s="55" t="s">
        <v>1195</v>
      </c>
      <c r="G248" s="55" t="s">
        <v>1195</v>
      </c>
      <c r="H248" s="55" t="s">
        <v>1196</v>
      </c>
      <c r="I248" s="55" t="s">
        <v>738</v>
      </c>
      <c r="J248" s="55" t="s">
        <v>2082</v>
      </c>
      <c r="K248" s="55" t="s">
        <v>739</v>
      </c>
      <c r="L248" s="55"/>
      <c r="M248" s="55"/>
      <c r="N248" s="55" t="s">
        <v>732</v>
      </c>
      <c r="O248" s="55"/>
      <c r="P248" s="55" t="s">
        <v>1539</v>
      </c>
      <c r="Q248" s="55"/>
      <c r="R248" s="55" t="n">
        <v>0</v>
      </c>
      <c r="S248" s="55" t="n">
        <v>8</v>
      </c>
      <c r="T248" s="55"/>
      <c r="U248" s="55" t="s">
        <v>755</v>
      </c>
      <c r="V248" s="55" t="s">
        <v>2083</v>
      </c>
      <c r="W248" s="55" t="s">
        <v>2039</v>
      </c>
      <c r="X248" s="4"/>
      <c r="Y248" s="4"/>
      <c r="Z248" s="4"/>
    </row>
    <row r="249" customFormat="false" ht="15.75" hidden="false" customHeight="true" outlineLevel="0" collapsed="false">
      <c r="A249" s="55" t="n">
        <v>1862</v>
      </c>
      <c r="B249" s="55"/>
      <c r="C249" s="55" t="s">
        <v>744</v>
      </c>
      <c r="D249" s="55" t="s">
        <v>2084</v>
      </c>
      <c r="E249" s="55" t="s">
        <v>2085</v>
      </c>
      <c r="F249" s="55" t="s">
        <v>1195</v>
      </c>
      <c r="G249" s="55" t="s">
        <v>1195</v>
      </c>
      <c r="H249" s="55" t="s">
        <v>1196</v>
      </c>
      <c r="I249" s="55" t="s">
        <v>738</v>
      </c>
      <c r="J249" s="55" t="s">
        <v>2086</v>
      </c>
      <c r="K249" s="55" t="s">
        <v>739</v>
      </c>
      <c r="L249" s="55"/>
      <c r="M249" s="55"/>
      <c r="N249" s="55" t="s">
        <v>732</v>
      </c>
      <c r="O249" s="55"/>
      <c r="P249" s="55" t="s">
        <v>1539</v>
      </c>
      <c r="Q249" s="55"/>
      <c r="R249" s="55" t="n">
        <v>0</v>
      </c>
      <c r="S249" s="55" t="n">
        <v>17</v>
      </c>
      <c r="T249" s="55"/>
      <c r="U249" s="55" t="s">
        <v>744</v>
      </c>
      <c r="V249" s="55" t="s">
        <v>1201</v>
      </c>
      <c r="W249" s="55" t="s">
        <v>2039</v>
      </c>
      <c r="X249" s="4"/>
      <c r="Y249" s="4"/>
      <c r="Z249" s="4"/>
    </row>
    <row r="250" customFormat="false" ht="15.75" hidden="false" customHeight="true" outlineLevel="0" collapsed="false">
      <c r="A250" s="55" t="n">
        <v>1859</v>
      </c>
      <c r="B250" s="55"/>
      <c r="C250" s="55" t="s">
        <v>737</v>
      </c>
      <c r="D250" s="55" t="s">
        <v>2087</v>
      </c>
      <c r="E250" s="55" t="s">
        <v>2088</v>
      </c>
      <c r="F250" s="55" t="s">
        <v>1195</v>
      </c>
      <c r="G250" s="55" t="s">
        <v>1195</v>
      </c>
      <c r="H250" s="55" t="s">
        <v>1196</v>
      </c>
      <c r="I250" s="55" t="s">
        <v>738</v>
      </c>
      <c r="J250" s="55" t="s">
        <v>2089</v>
      </c>
      <c r="K250" s="55" t="s">
        <v>739</v>
      </c>
      <c r="L250" s="55"/>
      <c r="M250" s="55"/>
      <c r="N250" s="55" t="s">
        <v>732</v>
      </c>
      <c r="O250" s="55"/>
      <c r="P250" s="55" t="s">
        <v>1539</v>
      </c>
      <c r="Q250" s="55"/>
      <c r="R250" s="55" t="n">
        <v>0</v>
      </c>
      <c r="S250" s="55" t="n">
        <v>53</v>
      </c>
      <c r="T250" s="55"/>
      <c r="U250" s="55" t="s">
        <v>2090</v>
      </c>
      <c r="V250" s="55" t="s">
        <v>2091</v>
      </c>
      <c r="W250" s="55" t="s">
        <v>2039</v>
      </c>
      <c r="X250" s="4"/>
      <c r="Y250" s="4"/>
      <c r="Z250" s="4"/>
    </row>
    <row r="251" customFormat="false" ht="15.75" hidden="false" customHeight="true" outlineLevel="0" collapsed="false">
      <c r="A251" s="55" t="n">
        <v>1864</v>
      </c>
      <c r="B251" s="55"/>
      <c r="C251" s="55" t="s">
        <v>746</v>
      </c>
      <c r="D251" s="55" t="s">
        <v>2092</v>
      </c>
      <c r="E251" s="55" t="s">
        <v>2093</v>
      </c>
      <c r="F251" s="55" t="s">
        <v>1195</v>
      </c>
      <c r="G251" s="55" t="s">
        <v>1195</v>
      </c>
      <c r="H251" s="55" t="s">
        <v>1196</v>
      </c>
      <c r="I251" s="55" t="s">
        <v>738</v>
      </c>
      <c r="J251" s="55" t="s">
        <v>2094</v>
      </c>
      <c r="K251" s="55" t="s">
        <v>739</v>
      </c>
      <c r="L251" s="55"/>
      <c r="M251" s="55"/>
      <c r="N251" s="55" t="s">
        <v>732</v>
      </c>
      <c r="O251" s="55"/>
      <c r="P251" s="55" t="s">
        <v>1539</v>
      </c>
      <c r="Q251" s="55"/>
      <c r="R251" s="55" t="n">
        <v>0</v>
      </c>
      <c r="S251" s="55" t="n">
        <v>32</v>
      </c>
      <c r="T251" s="55"/>
      <c r="U251" s="55" t="s">
        <v>746</v>
      </c>
      <c r="V251" s="55" t="s">
        <v>1201</v>
      </c>
      <c r="W251" s="55" t="s">
        <v>2039</v>
      </c>
      <c r="X251" s="4"/>
      <c r="Y251" s="4"/>
      <c r="Z251" s="4"/>
    </row>
    <row r="252" customFormat="false" ht="15.75" hidden="false" customHeight="true" outlineLevel="0" collapsed="false">
      <c r="A252" s="55" t="n">
        <v>1865</v>
      </c>
      <c r="B252" s="55"/>
      <c r="C252" s="55" t="s">
        <v>746</v>
      </c>
      <c r="D252" s="55" t="s">
        <v>2095</v>
      </c>
      <c r="E252" s="55" t="s">
        <v>2096</v>
      </c>
      <c r="F252" s="55" t="s">
        <v>1195</v>
      </c>
      <c r="G252" s="55" t="s">
        <v>1195</v>
      </c>
      <c r="H252" s="55" t="s">
        <v>1196</v>
      </c>
      <c r="I252" s="55" t="s">
        <v>738</v>
      </c>
      <c r="J252" s="55" t="s">
        <v>2097</v>
      </c>
      <c r="K252" s="55" t="s">
        <v>739</v>
      </c>
      <c r="L252" s="55"/>
      <c r="M252" s="55"/>
      <c r="N252" s="55" t="s">
        <v>732</v>
      </c>
      <c r="O252" s="55"/>
      <c r="P252" s="55" t="s">
        <v>1539</v>
      </c>
      <c r="Q252" s="55"/>
      <c r="R252" s="55" t="n">
        <v>0</v>
      </c>
      <c r="S252" s="55" t="n">
        <v>13</v>
      </c>
      <c r="T252" s="55"/>
      <c r="U252" s="55" t="s">
        <v>746</v>
      </c>
      <c r="V252" s="55" t="s">
        <v>1201</v>
      </c>
      <c r="W252" s="55" t="s">
        <v>2039</v>
      </c>
      <c r="X252" s="4"/>
      <c r="Y252" s="4"/>
      <c r="Z252" s="4"/>
    </row>
    <row r="253" customFormat="false" ht="15.75" hidden="false" customHeight="true" outlineLevel="0" collapsed="false">
      <c r="A253" s="55" t="n">
        <v>1866</v>
      </c>
      <c r="B253" s="55"/>
      <c r="C253" s="55" t="s">
        <v>747</v>
      </c>
      <c r="D253" s="55" t="s">
        <v>2098</v>
      </c>
      <c r="E253" s="55" t="s">
        <v>2099</v>
      </c>
      <c r="F253" s="55" t="s">
        <v>1195</v>
      </c>
      <c r="G253" s="55" t="s">
        <v>1195</v>
      </c>
      <c r="H253" s="55" t="s">
        <v>1196</v>
      </c>
      <c r="I253" s="55" t="s">
        <v>738</v>
      </c>
      <c r="J253" s="55" t="s">
        <v>2100</v>
      </c>
      <c r="K253" s="55" t="s">
        <v>739</v>
      </c>
      <c r="L253" s="55"/>
      <c r="M253" s="55"/>
      <c r="N253" s="55" t="s">
        <v>732</v>
      </c>
      <c r="O253" s="55"/>
      <c r="P253" s="55" t="s">
        <v>1539</v>
      </c>
      <c r="Q253" s="55"/>
      <c r="R253" s="55" t="n">
        <v>0</v>
      </c>
      <c r="S253" s="55" t="n">
        <v>23</v>
      </c>
      <c r="T253" s="55"/>
      <c r="U253" s="55" t="s">
        <v>747</v>
      </c>
      <c r="V253" s="55" t="s">
        <v>1201</v>
      </c>
      <c r="W253" s="55" t="s">
        <v>2039</v>
      </c>
      <c r="X253" s="4"/>
      <c r="Y253" s="4"/>
      <c r="Z253" s="4"/>
    </row>
    <row r="254" customFormat="false" ht="15.75" hidden="false" customHeight="true" outlineLevel="0" collapsed="false">
      <c r="A254" s="55" t="n">
        <v>1867</v>
      </c>
      <c r="B254" s="55"/>
      <c r="C254" s="55" t="s">
        <v>748</v>
      </c>
      <c r="D254" s="55" t="s">
        <v>2101</v>
      </c>
      <c r="E254" s="55" t="s">
        <v>2102</v>
      </c>
      <c r="F254" s="55" t="s">
        <v>1195</v>
      </c>
      <c r="G254" s="55" t="s">
        <v>1195</v>
      </c>
      <c r="H254" s="55" t="s">
        <v>1196</v>
      </c>
      <c r="I254" s="55" t="s">
        <v>738</v>
      </c>
      <c r="J254" s="55" t="s">
        <v>2103</v>
      </c>
      <c r="K254" s="55" t="s">
        <v>739</v>
      </c>
      <c r="L254" s="55"/>
      <c r="M254" s="55"/>
      <c r="N254" s="55" t="s">
        <v>732</v>
      </c>
      <c r="O254" s="55"/>
      <c r="P254" s="55" t="s">
        <v>1539</v>
      </c>
      <c r="Q254" s="55"/>
      <c r="R254" s="55" t="n">
        <v>0</v>
      </c>
      <c r="S254" s="55" t="n">
        <v>19</v>
      </c>
      <c r="T254" s="55"/>
      <c r="U254" s="55" t="s">
        <v>748</v>
      </c>
      <c r="V254" s="55" t="s">
        <v>1201</v>
      </c>
      <c r="W254" s="55" t="s">
        <v>2039</v>
      </c>
      <c r="X254" s="4"/>
      <c r="Y254" s="4"/>
      <c r="Z254" s="4"/>
    </row>
    <row r="255" customFormat="false" ht="15.75" hidden="false" customHeight="true" outlineLevel="0" collapsed="false">
      <c r="A255" s="55" t="n">
        <v>1937</v>
      </c>
      <c r="B255" s="55"/>
      <c r="C255" s="55" t="s">
        <v>933</v>
      </c>
      <c r="D255" s="55" t="s">
        <v>2104</v>
      </c>
      <c r="E255" s="55" t="s">
        <v>2105</v>
      </c>
      <c r="F255" s="55" t="s">
        <v>1195</v>
      </c>
      <c r="G255" s="55" t="s">
        <v>1195</v>
      </c>
      <c r="H255" s="55" t="s">
        <v>1196</v>
      </c>
      <c r="I255" s="55" t="s">
        <v>934</v>
      </c>
      <c r="J255" s="55" t="s">
        <v>2106</v>
      </c>
      <c r="K255" s="55" t="s">
        <v>889</v>
      </c>
      <c r="L255" s="55"/>
      <c r="M255" s="55"/>
      <c r="N255" s="55" t="s">
        <v>732</v>
      </c>
      <c r="O255" s="55"/>
      <c r="P255" s="55" t="s">
        <v>1539</v>
      </c>
      <c r="Q255" s="55"/>
      <c r="R255" s="55" t="n">
        <v>0</v>
      </c>
      <c r="S255" s="55" t="n">
        <v>39</v>
      </c>
      <c r="T255" s="55"/>
      <c r="U255" s="55" t="s">
        <v>933</v>
      </c>
      <c r="V255" s="55" t="s">
        <v>1201</v>
      </c>
      <c r="W255" s="55" t="s">
        <v>2039</v>
      </c>
      <c r="X255" s="4"/>
      <c r="Y255" s="4"/>
      <c r="Z255" s="4"/>
    </row>
    <row r="256" customFormat="false" ht="15.75" hidden="false" customHeight="true" outlineLevel="0" collapsed="false">
      <c r="A256" s="55" t="n">
        <v>1802</v>
      </c>
      <c r="B256" s="55"/>
      <c r="C256" s="55" t="s">
        <v>740</v>
      </c>
      <c r="D256" s="55" t="s">
        <v>2107</v>
      </c>
      <c r="E256" s="55" t="s">
        <v>2108</v>
      </c>
      <c r="F256" s="55" t="s">
        <v>1195</v>
      </c>
      <c r="G256" s="55" t="s">
        <v>1195</v>
      </c>
      <c r="H256" s="55" t="s">
        <v>1196</v>
      </c>
      <c r="I256" s="55" t="s">
        <v>738</v>
      </c>
      <c r="J256" s="55" t="s">
        <v>2109</v>
      </c>
      <c r="K256" s="55" t="s">
        <v>739</v>
      </c>
      <c r="L256" s="55"/>
      <c r="M256" s="55"/>
      <c r="N256" s="55" t="s">
        <v>732</v>
      </c>
      <c r="O256" s="55"/>
      <c r="P256" s="55" t="s">
        <v>1539</v>
      </c>
      <c r="Q256" s="55"/>
      <c r="R256" s="55" t="n">
        <v>0</v>
      </c>
      <c r="S256" s="55" t="n">
        <v>396</v>
      </c>
      <c r="T256" s="55"/>
      <c r="U256" s="55" t="s">
        <v>2110</v>
      </c>
      <c r="V256" s="55" t="s">
        <v>2111</v>
      </c>
      <c r="W256" s="55" t="s">
        <v>2039</v>
      </c>
      <c r="X256" s="4"/>
      <c r="Y256" s="4"/>
      <c r="Z256" s="4"/>
    </row>
    <row r="257" customFormat="false" ht="15.75" hidden="false" customHeight="true" outlineLevel="0" collapsed="false">
      <c r="A257" s="55" t="n">
        <v>1868</v>
      </c>
      <c r="B257" s="55"/>
      <c r="C257" s="55" t="s">
        <v>748</v>
      </c>
      <c r="D257" s="55" t="s">
        <v>2112</v>
      </c>
      <c r="E257" s="55" t="s">
        <v>2113</v>
      </c>
      <c r="F257" s="55" t="s">
        <v>1195</v>
      </c>
      <c r="G257" s="55" t="s">
        <v>1195</v>
      </c>
      <c r="H257" s="55" t="s">
        <v>1196</v>
      </c>
      <c r="I257" s="55" t="s">
        <v>738</v>
      </c>
      <c r="J257" s="55" t="s">
        <v>2114</v>
      </c>
      <c r="K257" s="55" t="s">
        <v>739</v>
      </c>
      <c r="L257" s="55"/>
      <c r="M257" s="55"/>
      <c r="N257" s="55" t="s">
        <v>732</v>
      </c>
      <c r="O257" s="55"/>
      <c r="P257" s="55" t="s">
        <v>1539</v>
      </c>
      <c r="Q257" s="55"/>
      <c r="R257" s="55" t="n">
        <v>0</v>
      </c>
      <c r="S257" s="55" t="n">
        <v>18</v>
      </c>
      <c r="T257" s="55"/>
      <c r="U257" s="55" t="s">
        <v>748</v>
      </c>
      <c r="V257" s="55" t="s">
        <v>1201</v>
      </c>
      <c r="W257" s="55" t="s">
        <v>2039</v>
      </c>
      <c r="X257" s="4"/>
      <c r="Y257" s="4"/>
      <c r="Z257" s="4"/>
    </row>
    <row r="258" customFormat="false" ht="15.75" hidden="false" customHeight="true" outlineLevel="0" collapsed="false">
      <c r="A258" s="55" t="n">
        <v>1869</v>
      </c>
      <c r="B258" s="55"/>
      <c r="C258" s="55" t="s">
        <v>749</v>
      </c>
      <c r="D258" s="55" t="s">
        <v>2115</v>
      </c>
      <c r="E258" s="55" t="s">
        <v>2116</v>
      </c>
      <c r="F258" s="55" t="s">
        <v>1195</v>
      </c>
      <c r="G258" s="55" t="s">
        <v>1195</v>
      </c>
      <c r="H258" s="55" t="s">
        <v>1196</v>
      </c>
      <c r="I258" s="55" t="s">
        <v>738</v>
      </c>
      <c r="J258" s="55" t="s">
        <v>2117</v>
      </c>
      <c r="K258" s="55" t="s">
        <v>739</v>
      </c>
      <c r="L258" s="55"/>
      <c r="M258" s="55"/>
      <c r="N258" s="55" t="s">
        <v>732</v>
      </c>
      <c r="O258" s="55"/>
      <c r="P258" s="55" t="s">
        <v>1539</v>
      </c>
      <c r="Q258" s="55"/>
      <c r="R258" s="55" t="n">
        <v>0</v>
      </c>
      <c r="S258" s="55" t="n">
        <v>25</v>
      </c>
      <c r="T258" s="55"/>
      <c r="U258" s="55" t="s">
        <v>749</v>
      </c>
      <c r="V258" s="55" t="s">
        <v>1201</v>
      </c>
      <c r="W258" s="55" t="s">
        <v>2039</v>
      </c>
      <c r="X258" s="4"/>
      <c r="Y258" s="4"/>
      <c r="Z258" s="4"/>
    </row>
    <row r="259" customFormat="false" ht="15.75" hidden="false" customHeight="true" outlineLevel="0" collapsed="false">
      <c r="A259" s="55" t="n">
        <v>1870</v>
      </c>
      <c r="B259" s="55"/>
      <c r="C259" s="55" t="s">
        <v>750</v>
      </c>
      <c r="D259" s="55" t="s">
        <v>2118</v>
      </c>
      <c r="E259" s="55" t="s">
        <v>2119</v>
      </c>
      <c r="F259" s="55" t="s">
        <v>1195</v>
      </c>
      <c r="G259" s="55" t="s">
        <v>1195</v>
      </c>
      <c r="H259" s="55" t="s">
        <v>1196</v>
      </c>
      <c r="I259" s="55" t="s">
        <v>738</v>
      </c>
      <c r="J259" s="55" t="s">
        <v>2120</v>
      </c>
      <c r="K259" s="55" t="s">
        <v>739</v>
      </c>
      <c r="L259" s="55"/>
      <c r="M259" s="55"/>
      <c r="N259" s="55" t="s">
        <v>732</v>
      </c>
      <c r="O259" s="55"/>
      <c r="P259" s="55" t="s">
        <v>1539</v>
      </c>
      <c r="Q259" s="55"/>
      <c r="R259" s="55" t="n">
        <v>0</v>
      </c>
      <c r="S259" s="55" t="n">
        <v>34</v>
      </c>
      <c r="T259" s="55"/>
      <c r="U259" s="55" t="s">
        <v>750</v>
      </c>
      <c r="V259" s="55" t="s">
        <v>1201</v>
      </c>
      <c r="W259" s="55" t="s">
        <v>2039</v>
      </c>
      <c r="X259" s="4"/>
      <c r="Y259" s="4"/>
      <c r="Z259" s="4"/>
    </row>
    <row r="260" customFormat="false" ht="15.75" hidden="false" customHeight="true" outlineLevel="0" collapsed="false">
      <c r="A260" s="55" t="n">
        <v>1871</v>
      </c>
      <c r="B260" s="55"/>
      <c r="C260" s="55" t="s">
        <v>751</v>
      </c>
      <c r="D260" s="55" t="s">
        <v>2121</v>
      </c>
      <c r="E260" s="55" t="s">
        <v>2122</v>
      </c>
      <c r="F260" s="55" t="s">
        <v>1195</v>
      </c>
      <c r="G260" s="55" t="s">
        <v>1195</v>
      </c>
      <c r="H260" s="55" t="s">
        <v>1196</v>
      </c>
      <c r="I260" s="55" t="s">
        <v>738</v>
      </c>
      <c r="J260" s="55" t="s">
        <v>2123</v>
      </c>
      <c r="K260" s="55" t="s">
        <v>739</v>
      </c>
      <c r="L260" s="55"/>
      <c r="M260" s="55"/>
      <c r="N260" s="55" t="s">
        <v>732</v>
      </c>
      <c r="O260" s="55"/>
      <c r="P260" s="55" t="s">
        <v>1539</v>
      </c>
      <c r="Q260" s="55"/>
      <c r="R260" s="55" t="n">
        <v>0</v>
      </c>
      <c r="S260" s="55" t="n">
        <v>17</v>
      </c>
      <c r="T260" s="55"/>
      <c r="U260" s="55" t="s">
        <v>751</v>
      </c>
      <c r="V260" s="55" t="s">
        <v>1201</v>
      </c>
      <c r="W260" s="55" t="s">
        <v>2039</v>
      </c>
      <c r="X260" s="4"/>
      <c r="Y260" s="4"/>
      <c r="Z260" s="4"/>
    </row>
    <row r="261" customFormat="false" ht="15.75" hidden="false" customHeight="true" outlineLevel="0" collapsed="false">
      <c r="A261" s="55" t="n">
        <v>1872</v>
      </c>
      <c r="B261" s="55"/>
      <c r="C261" s="55" t="s">
        <v>752</v>
      </c>
      <c r="D261" s="55" t="s">
        <v>2124</v>
      </c>
      <c r="E261" s="55" t="s">
        <v>2125</v>
      </c>
      <c r="F261" s="55" t="s">
        <v>1195</v>
      </c>
      <c r="G261" s="55" t="s">
        <v>1195</v>
      </c>
      <c r="H261" s="55" t="s">
        <v>1196</v>
      </c>
      <c r="I261" s="55" t="s">
        <v>738</v>
      </c>
      <c r="J261" s="55" t="s">
        <v>2126</v>
      </c>
      <c r="K261" s="55" t="s">
        <v>739</v>
      </c>
      <c r="L261" s="55"/>
      <c r="M261" s="55"/>
      <c r="N261" s="55" t="s">
        <v>732</v>
      </c>
      <c r="O261" s="55"/>
      <c r="P261" s="55" t="s">
        <v>1539</v>
      </c>
      <c r="Q261" s="55"/>
      <c r="R261" s="55" t="n">
        <v>0</v>
      </c>
      <c r="S261" s="55" t="n">
        <v>13</v>
      </c>
      <c r="T261" s="55"/>
      <c r="U261" s="55" t="s">
        <v>752</v>
      </c>
      <c r="V261" s="55" t="s">
        <v>1201</v>
      </c>
      <c r="W261" s="55" t="s">
        <v>2039</v>
      </c>
      <c r="X261" s="4"/>
      <c r="Y261" s="4"/>
      <c r="Z261" s="4"/>
    </row>
    <row r="262" customFormat="false" ht="15.75" hidden="false" customHeight="true" outlineLevel="0" collapsed="false">
      <c r="A262" s="55" t="n">
        <v>1863</v>
      </c>
      <c r="B262" s="55"/>
      <c r="C262" s="55" t="s">
        <v>745</v>
      </c>
      <c r="D262" s="55" t="s">
        <v>2127</v>
      </c>
      <c r="E262" s="55" t="s">
        <v>2128</v>
      </c>
      <c r="F262" s="55" t="s">
        <v>1195</v>
      </c>
      <c r="G262" s="55" t="s">
        <v>1195</v>
      </c>
      <c r="H262" s="55" t="s">
        <v>1196</v>
      </c>
      <c r="I262" s="55" t="s">
        <v>738</v>
      </c>
      <c r="J262" s="55" t="s">
        <v>2129</v>
      </c>
      <c r="K262" s="55" t="s">
        <v>739</v>
      </c>
      <c r="L262" s="55"/>
      <c r="M262" s="55"/>
      <c r="N262" s="55" t="s">
        <v>732</v>
      </c>
      <c r="O262" s="55"/>
      <c r="P262" s="55" t="s">
        <v>1539</v>
      </c>
      <c r="Q262" s="55"/>
      <c r="R262" s="55" t="n">
        <v>0</v>
      </c>
      <c r="S262" s="55" t="n">
        <v>81</v>
      </c>
      <c r="T262" s="55"/>
      <c r="U262" s="55" t="s">
        <v>745</v>
      </c>
      <c r="V262" s="55" t="s">
        <v>1201</v>
      </c>
      <c r="W262" s="55" t="s">
        <v>2039</v>
      </c>
      <c r="X262" s="4"/>
      <c r="Y262" s="4"/>
      <c r="Z262" s="4"/>
    </row>
    <row r="263" customFormat="false" ht="15.75" hidden="false" customHeight="true" outlineLevel="0" collapsed="false">
      <c r="A263" s="55" t="n">
        <v>1791</v>
      </c>
      <c r="B263" s="55" t="s">
        <v>904</v>
      </c>
      <c r="C263" s="55" t="s">
        <v>905</v>
      </c>
      <c r="D263" s="55" t="s">
        <v>2130</v>
      </c>
      <c r="E263" s="55"/>
      <c r="F263" s="55" t="s">
        <v>1194</v>
      </c>
      <c r="G263" s="55" t="s">
        <v>1194</v>
      </c>
      <c r="H263" s="55" t="s">
        <v>1196</v>
      </c>
      <c r="I263" s="55" t="s">
        <v>886</v>
      </c>
      <c r="J263" s="55" t="s">
        <v>2131</v>
      </c>
      <c r="K263" s="55" t="s">
        <v>889</v>
      </c>
      <c r="L263" s="55"/>
      <c r="M263" s="55"/>
      <c r="N263" s="55" t="s">
        <v>732</v>
      </c>
      <c r="O263" s="55"/>
      <c r="P263" s="55" t="s">
        <v>1539</v>
      </c>
      <c r="Q263" s="55"/>
      <c r="R263" s="55" t="n">
        <v>0</v>
      </c>
      <c r="S263" s="55" t="n">
        <v>76</v>
      </c>
      <c r="T263" s="55"/>
      <c r="U263" s="55"/>
      <c r="V263" s="55"/>
      <c r="W263" s="55" t="s">
        <v>2132</v>
      </c>
      <c r="X263" s="4"/>
      <c r="Y263" s="4"/>
      <c r="Z263" s="4"/>
    </row>
    <row r="264" customFormat="false" ht="15.75" hidden="false" customHeight="true" outlineLevel="0" collapsed="false">
      <c r="A264" s="55" t="n">
        <v>1722</v>
      </c>
      <c r="B264" s="55" t="s">
        <v>632</v>
      </c>
      <c r="C264" s="55" t="s">
        <v>633</v>
      </c>
      <c r="D264" s="55" t="s">
        <v>2133</v>
      </c>
      <c r="E264" s="55"/>
      <c r="F264" s="55" t="s">
        <v>1194</v>
      </c>
      <c r="G264" s="55" t="s">
        <v>1194</v>
      </c>
      <c r="H264" s="55" t="s">
        <v>1248</v>
      </c>
      <c r="I264" s="55" t="s">
        <v>599</v>
      </c>
      <c r="J264" s="55" t="s">
        <v>2134</v>
      </c>
      <c r="K264" s="55" t="s">
        <v>296</v>
      </c>
      <c r="L264" s="55" t="n">
        <v>0.75</v>
      </c>
      <c r="M264" s="55" t="n">
        <v>2.75</v>
      </c>
      <c r="N264" s="55" t="s">
        <v>141</v>
      </c>
      <c r="O264" s="55"/>
      <c r="P264" s="55"/>
      <c r="Q264" s="55"/>
      <c r="R264" s="55" t="n">
        <v>0</v>
      </c>
      <c r="S264" s="55" t="n">
        <v>124</v>
      </c>
      <c r="T264" s="55"/>
      <c r="U264" s="55"/>
      <c r="V264" s="55"/>
      <c r="W264" s="55" t="s">
        <v>2132</v>
      </c>
      <c r="X264" s="4"/>
      <c r="Y264" s="4"/>
      <c r="Z264" s="4"/>
    </row>
    <row r="265" customFormat="false" ht="15.75" hidden="false" customHeight="true" outlineLevel="0" collapsed="false">
      <c r="A265" s="55" t="n">
        <v>1786</v>
      </c>
      <c r="B265" s="55" t="s">
        <v>902</v>
      </c>
      <c r="C265" s="55" t="s">
        <v>903</v>
      </c>
      <c r="D265" s="55" t="s">
        <v>2135</v>
      </c>
      <c r="E265" s="55"/>
      <c r="F265" s="55" t="s">
        <v>1194</v>
      </c>
      <c r="G265" s="55" t="s">
        <v>1194</v>
      </c>
      <c r="H265" s="55" t="s">
        <v>1196</v>
      </c>
      <c r="I265" s="55" t="s">
        <v>886</v>
      </c>
      <c r="J265" s="55" t="s">
        <v>2136</v>
      </c>
      <c r="K265" s="55" t="s">
        <v>889</v>
      </c>
      <c r="L265" s="55"/>
      <c r="M265" s="55"/>
      <c r="N265" s="55" t="s">
        <v>732</v>
      </c>
      <c r="O265" s="55"/>
      <c r="P265" s="55" t="s">
        <v>1539</v>
      </c>
      <c r="Q265" s="55"/>
      <c r="R265" s="55" t="n">
        <v>0</v>
      </c>
      <c r="S265" s="55" t="n">
        <v>68</v>
      </c>
      <c r="T265" s="55"/>
      <c r="U265" s="55"/>
      <c r="V265" s="55"/>
      <c r="W265" s="55" t="s">
        <v>2132</v>
      </c>
      <c r="X265" s="4"/>
      <c r="Y265" s="4"/>
      <c r="Z265" s="4"/>
    </row>
    <row r="266" customFormat="false" ht="15.75" hidden="false" customHeight="true" outlineLevel="0" collapsed="false">
      <c r="A266" s="55" t="n">
        <v>1886</v>
      </c>
      <c r="B266" s="55" t="s">
        <v>936</v>
      </c>
      <c r="C266" s="55" t="s">
        <v>937</v>
      </c>
      <c r="D266" s="55" t="s">
        <v>2137</v>
      </c>
      <c r="E266" s="55" t="s">
        <v>2138</v>
      </c>
      <c r="F266" s="55" t="s">
        <v>1195</v>
      </c>
      <c r="G266" s="55" t="s">
        <v>1195</v>
      </c>
      <c r="H266" s="55" t="s">
        <v>1196</v>
      </c>
      <c r="I266" s="55" t="s">
        <v>934</v>
      </c>
      <c r="J266" s="55" t="s">
        <v>2139</v>
      </c>
      <c r="K266" s="55" t="s">
        <v>889</v>
      </c>
      <c r="L266" s="55"/>
      <c r="M266" s="55"/>
      <c r="N266" s="55" t="s">
        <v>732</v>
      </c>
      <c r="O266" s="55"/>
      <c r="P266" s="55" t="s">
        <v>1539</v>
      </c>
      <c r="Q266" s="55"/>
      <c r="R266" s="55" t="n">
        <v>0</v>
      </c>
      <c r="S266" s="55" t="n">
        <v>118</v>
      </c>
      <c r="T266" s="55"/>
      <c r="U266" s="55" t="s">
        <v>937</v>
      </c>
      <c r="V266" s="55" t="s">
        <v>1201</v>
      </c>
      <c r="W266" s="55" t="s">
        <v>2140</v>
      </c>
      <c r="X266" s="4"/>
      <c r="Y266" s="4"/>
      <c r="Z266" s="4"/>
    </row>
    <row r="267" customFormat="false" ht="15.75" hidden="false" customHeight="true" outlineLevel="0" collapsed="false">
      <c r="A267" s="55" t="n">
        <v>1887</v>
      </c>
      <c r="B267" s="55" t="s">
        <v>938</v>
      </c>
      <c r="C267" s="55" t="s">
        <v>939</v>
      </c>
      <c r="D267" s="55" t="s">
        <v>2141</v>
      </c>
      <c r="E267" s="55" t="s">
        <v>2142</v>
      </c>
      <c r="F267" s="55" t="s">
        <v>1195</v>
      </c>
      <c r="G267" s="55" t="s">
        <v>1195</v>
      </c>
      <c r="H267" s="55" t="s">
        <v>1196</v>
      </c>
      <c r="I267" s="55" t="s">
        <v>934</v>
      </c>
      <c r="J267" s="55" t="s">
        <v>2143</v>
      </c>
      <c r="K267" s="55" t="s">
        <v>889</v>
      </c>
      <c r="L267" s="55"/>
      <c r="M267" s="55"/>
      <c r="N267" s="55" t="s">
        <v>732</v>
      </c>
      <c r="O267" s="55"/>
      <c r="P267" s="55" t="s">
        <v>1539</v>
      </c>
      <c r="Q267" s="55"/>
      <c r="R267" s="55" t="n">
        <v>0</v>
      </c>
      <c r="S267" s="55" t="n">
        <v>19</v>
      </c>
      <c r="T267" s="55"/>
      <c r="U267" s="55" t="s">
        <v>939</v>
      </c>
      <c r="V267" s="55" t="s">
        <v>1201</v>
      </c>
      <c r="W267" s="55" t="s">
        <v>2140</v>
      </c>
      <c r="X267" s="4"/>
      <c r="Y267" s="4"/>
      <c r="Z267" s="4"/>
    </row>
    <row r="268" customFormat="false" ht="15.75" hidden="false" customHeight="true" outlineLevel="0" collapsed="false">
      <c r="A268" s="55" t="n">
        <v>1888</v>
      </c>
      <c r="B268" s="55" t="s">
        <v>940</v>
      </c>
      <c r="C268" s="55" t="s">
        <v>941</v>
      </c>
      <c r="D268" s="55" t="s">
        <v>2144</v>
      </c>
      <c r="E268" s="55" t="s">
        <v>2145</v>
      </c>
      <c r="F268" s="55" t="s">
        <v>1195</v>
      </c>
      <c r="G268" s="55" t="s">
        <v>1195</v>
      </c>
      <c r="H268" s="55" t="s">
        <v>1196</v>
      </c>
      <c r="I268" s="55" t="s">
        <v>934</v>
      </c>
      <c r="J268" s="55" t="s">
        <v>2146</v>
      </c>
      <c r="K268" s="55" t="s">
        <v>889</v>
      </c>
      <c r="L268" s="55"/>
      <c r="M268" s="55"/>
      <c r="N268" s="55" t="s">
        <v>732</v>
      </c>
      <c r="O268" s="55"/>
      <c r="P268" s="55" t="s">
        <v>1539</v>
      </c>
      <c r="Q268" s="55"/>
      <c r="R268" s="55" t="n">
        <v>0</v>
      </c>
      <c r="S268" s="55" t="n">
        <v>16</v>
      </c>
      <c r="T268" s="55"/>
      <c r="U268" s="55" t="s">
        <v>941</v>
      </c>
      <c r="V268" s="55" t="s">
        <v>1201</v>
      </c>
      <c r="W268" s="55" t="s">
        <v>2140</v>
      </c>
      <c r="X268" s="4"/>
      <c r="Y268" s="4"/>
      <c r="Z268" s="4"/>
    </row>
    <row r="269" customFormat="false" ht="15.75" hidden="false" customHeight="true" outlineLevel="0" collapsed="false">
      <c r="A269" s="55" t="n">
        <v>1889</v>
      </c>
      <c r="B269" s="55" t="s">
        <v>942</v>
      </c>
      <c r="C269" s="55" t="s">
        <v>943</v>
      </c>
      <c r="D269" s="55" t="s">
        <v>2147</v>
      </c>
      <c r="E269" s="55" t="s">
        <v>2148</v>
      </c>
      <c r="F269" s="55" t="s">
        <v>1195</v>
      </c>
      <c r="G269" s="55" t="s">
        <v>1195</v>
      </c>
      <c r="H269" s="55" t="s">
        <v>1196</v>
      </c>
      <c r="I269" s="55" t="s">
        <v>934</v>
      </c>
      <c r="J269" s="55" t="s">
        <v>2149</v>
      </c>
      <c r="K269" s="55" t="s">
        <v>889</v>
      </c>
      <c r="L269" s="55"/>
      <c r="M269" s="55"/>
      <c r="N269" s="55" t="s">
        <v>732</v>
      </c>
      <c r="O269" s="55"/>
      <c r="P269" s="55" t="s">
        <v>1539</v>
      </c>
      <c r="Q269" s="55"/>
      <c r="R269" s="55" t="n">
        <v>0</v>
      </c>
      <c r="S269" s="55" t="n">
        <v>121</v>
      </c>
      <c r="T269" s="55"/>
      <c r="U269" s="55" t="s">
        <v>943</v>
      </c>
      <c r="V269" s="55" t="s">
        <v>1201</v>
      </c>
      <c r="W269" s="55" t="s">
        <v>2140</v>
      </c>
      <c r="X269" s="4"/>
      <c r="Y269" s="4"/>
      <c r="Z269" s="4"/>
    </row>
    <row r="270" customFormat="false" ht="15.75" hidden="false" customHeight="true" outlineLevel="0" collapsed="false">
      <c r="A270" s="55" t="n">
        <v>1890</v>
      </c>
      <c r="B270" s="55" t="s">
        <v>944</v>
      </c>
      <c r="C270" s="55" t="s">
        <v>945</v>
      </c>
      <c r="D270" s="55" t="s">
        <v>2150</v>
      </c>
      <c r="E270" s="55" t="s">
        <v>2151</v>
      </c>
      <c r="F270" s="55" t="s">
        <v>1195</v>
      </c>
      <c r="G270" s="55" t="s">
        <v>1195</v>
      </c>
      <c r="H270" s="55" t="s">
        <v>1196</v>
      </c>
      <c r="I270" s="55" t="s">
        <v>934</v>
      </c>
      <c r="J270" s="55" t="s">
        <v>2152</v>
      </c>
      <c r="K270" s="55" t="s">
        <v>889</v>
      </c>
      <c r="L270" s="55"/>
      <c r="M270" s="55"/>
      <c r="N270" s="55" t="s">
        <v>732</v>
      </c>
      <c r="O270" s="55"/>
      <c r="P270" s="55" t="s">
        <v>1539</v>
      </c>
      <c r="Q270" s="55"/>
      <c r="R270" s="55" t="n">
        <v>0</v>
      </c>
      <c r="S270" s="55" t="n">
        <v>40</v>
      </c>
      <c r="T270" s="55"/>
      <c r="U270" s="55" t="s">
        <v>945</v>
      </c>
      <c r="V270" s="55" t="s">
        <v>1201</v>
      </c>
      <c r="W270" s="55" t="s">
        <v>2140</v>
      </c>
      <c r="X270" s="4"/>
      <c r="Y270" s="4"/>
      <c r="Z270" s="4"/>
    </row>
    <row r="271" customFormat="false" ht="15.75" hidden="false" customHeight="true" outlineLevel="0" collapsed="false">
      <c r="A271" s="55" t="n">
        <v>1891</v>
      </c>
      <c r="B271" s="55" t="s">
        <v>946</v>
      </c>
      <c r="C271" s="55" t="s">
        <v>947</v>
      </c>
      <c r="D271" s="55" t="s">
        <v>2153</v>
      </c>
      <c r="E271" s="55" t="s">
        <v>2154</v>
      </c>
      <c r="F271" s="55" t="s">
        <v>1195</v>
      </c>
      <c r="G271" s="55" t="s">
        <v>1195</v>
      </c>
      <c r="H271" s="55" t="s">
        <v>1196</v>
      </c>
      <c r="I271" s="55" t="s">
        <v>934</v>
      </c>
      <c r="J271" s="55" t="s">
        <v>2155</v>
      </c>
      <c r="K271" s="55" t="s">
        <v>889</v>
      </c>
      <c r="L271" s="55"/>
      <c r="M271" s="55"/>
      <c r="N271" s="55" t="s">
        <v>732</v>
      </c>
      <c r="O271" s="55"/>
      <c r="P271" s="55" t="s">
        <v>1539</v>
      </c>
      <c r="Q271" s="55"/>
      <c r="R271" s="55" t="n">
        <v>0</v>
      </c>
      <c r="S271" s="55" t="n">
        <v>39</v>
      </c>
      <c r="T271" s="55"/>
      <c r="U271" s="55" t="s">
        <v>947</v>
      </c>
      <c r="V271" s="55" t="s">
        <v>1201</v>
      </c>
      <c r="W271" s="55" t="s">
        <v>2140</v>
      </c>
      <c r="X271" s="4"/>
      <c r="Y271" s="4"/>
      <c r="Z271" s="4"/>
    </row>
    <row r="272" customFormat="false" ht="15.75" hidden="false" customHeight="true" outlineLevel="0" collapsed="false">
      <c r="A272" s="55" t="n">
        <v>1892</v>
      </c>
      <c r="B272" s="55" t="s">
        <v>948</v>
      </c>
      <c r="C272" s="55" t="s">
        <v>949</v>
      </c>
      <c r="D272" s="55" t="s">
        <v>2156</v>
      </c>
      <c r="E272" s="55" t="s">
        <v>2157</v>
      </c>
      <c r="F272" s="55" t="s">
        <v>1195</v>
      </c>
      <c r="G272" s="55" t="s">
        <v>1195</v>
      </c>
      <c r="H272" s="55" t="s">
        <v>1196</v>
      </c>
      <c r="I272" s="55" t="s">
        <v>934</v>
      </c>
      <c r="J272" s="55" t="s">
        <v>2158</v>
      </c>
      <c r="K272" s="55" t="s">
        <v>889</v>
      </c>
      <c r="L272" s="55"/>
      <c r="M272" s="55"/>
      <c r="N272" s="55" t="s">
        <v>732</v>
      </c>
      <c r="O272" s="55"/>
      <c r="P272" s="55" t="s">
        <v>1539</v>
      </c>
      <c r="Q272" s="55"/>
      <c r="R272" s="55" t="n">
        <v>0</v>
      </c>
      <c r="S272" s="55" t="n">
        <v>60</v>
      </c>
      <c r="T272" s="55"/>
      <c r="U272" s="55" t="s">
        <v>949</v>
      </c>
      <c r="V272" s="55" t="s">
        <v>1201</v>
      </c>
      <c r="W272" s="55" t="s">
        <v>2140</v>
      </c>
      <c r="X272" s="4"/>
      <c r="Y272" s="4"/>
      <c r="Z272" s="4"/>
    </row>
    <row r="273" customFormat="false" ht="15.75" hidden="false" customHeight="true" outlineLevel="0" collapsed="false">
      <c r="A273" s="55" t="n">
        <v>1896</v>
      </c>
      <c r="B273" s="55" t="s">
        <v>956</v>
      </c>
      <c r="C273" s="55" t="s">
        <v>957</v>
      </c>
      <c r="D273" s="55" t="s">
        <v>2159</v>
      </c>
      <c r="E273" s="55" t="s">
        <v>2160</v>
      </c>
      <c r="F273" s="55" t="s">
        <v>1195</v>
      </c>
      <c r="G273" s="55" t="s">
        <v>1195</v>
      </c>
      <c r="H273" s="55" t="s">
        <v>1196</v>
      </c>
      <c r="I273" s="55" t="s">
        <v>934</v>
      </c>
      <c r="J273" s="55" t="s">
        <v>2161</v>
      </c>
      <c r="K273" s="55" t="s">
        <v>889</v>
      </c>
      <c r="L273" s="55"/>
      <c r="M273" s="55"/>
      <c r="N273" s="55" t="s">
        <v>732</v>
      </c>
      <c r="O273" s="55"/>
      <c r="P273" s="55" t="s">
        <v>1539</v>
      </c>
      <c r="Q273" s="55"/>
      <c r="R273" s="55" t="n">
        <v>0</v>
      </c>
      <c r="S273" s="55" t="n">
        <v>21</v>
      </c>
      <c r="T273" s="55"/>
      <c r="U273" s="55" t="s">
        <v>957</v>
      </c>
      <c r="V273" s="55" t="s">
        <v>1201</v>
      </c>
      <c r="W273" s="55" t="s">
        <v>2140</v>
      </c>
      <c r="X273" s="4"/>
      <c r="Y273" s="4"/>
      <c r="Z273" s="4"/>
    </row>
    <row r="274" customFormat="false" ht="15.75" hidden="false" customHeight="true" outlineLevel="0" collapsed="false">
      <c r="A274" s="55" t="n">
        <v>1893</v>
      </c>
      <c r="B274" s="55" t="s">
        <v>950</v>
      </c>
      <c r="C274" s="55" t="s">
        <v>951</v>
      </c>
      <c r="D274" s="55" t="s">
        <v>2162</v>
      </c>
      <c r="E274" s="55" t="s">
        <v>2163</v>
      </c>
      <c r="F274" s="55" t="s">
        <v>1195</v>
      </c>
      <c r="G274" s="55" t="s">
        <v>1195</v>
      </c>
      <c r="H274" s="55" t="s">
        <v>1196</v>
      </c>
      <c r="I274" s="55" t="s">
        <v>934</v>
      </c>
      <c r="J274" s="55" t="s">
        <v>2164</v>
      </c>
      <c r="K274" s="55" t="s">
        <v>889</v>
      </c>
      <c r="L274" s="55"/>
      <c r="M274" s="55"/>
      <c r="N274" s="55" t="s">
        <v>732</v>
      </c>
      <c r="O274" s="55"/>
      <c r="P274" s="55" t="s">
        <v>1539</v>
      </c>
      <c r="Q274" s="55"/>
      <c r="R274" s="55" t="n">
        <v>0</v>
      </c>
      <c r="S274" s="55" t="n">
        <v>24</v>
      </c>
      <c r="T274" s="55"/>
      <c r="U274" s="55" t="s">
        <v>951</v>
      </c>
      <c r="V274" s="55" t="s">
        <v>1201</v>
      </c>
      <c r="W274" s="55" t="s">
        <v>2140</v>
      </c>
      <c r="X274" s="4"/>
      <c r="Y274" s="4"/>
      <c r="Z274" s="4"/>
    </row>
    <row r="275" customFormat="false" ht="15.75" hidden="false" customHeight="true" outlineLevel="0" collapsed="false">
      <c r="A275" s="55" t="n">
        <v>1894</v>
      </c>
      <c r="B275" s="55" t="s">
        <v>952</v>
      </c>
      <c r="C275" s="55" t="s">
        <v>953</v>
      </c>
      <c r="D275" s="55" t="s">
        <v>2165</v>
      </c>
      <c r="E275" s="55" t="s">
        <v>2166</v>
      </c>
      <c r="F275" s="55" t="s">
        <v>1195</v>
      </c>
      <c r="G275" s="55" t="s">
        <v>1195</v>
      </c>
      <c r="H275" s="55" t="s">
        <v>1196</v>
      </c>
      <c r="I275" s="55" t="s">
        <v>934</v>
      </c>
      <c r="J275" s="55" t="s">
        <v>2167</v>
      </c>
      <c r="K275" s="55" t="s">
        <v>889</v>
      </c>
      <c r="L275" s="55"/>
      <c r="M275" s="55"/>
      <c r="N275" s="55" t="s">
        <v>732</v>
      </c>
      <c r="O275" s="55"/>
      <c r="P275" s="55" t="s">
        <v>1539</v>
      </c>
      <c r="Q275" s="55"/>
      <c r="R275" s="55" t="n">
        <v>0</v>
      </c>
      <c r="S275" s="55" t="n">
        <v>21</v>
      </c>
      <c r="T275" s="55"/>
      <c r="U275" s="55" t="s">
        <v>953</v>
      </c>
      <c r="V275" s="55" t="s">
        <v>1201</v>
      </c>
      <c r="W275" s="55" t="s">
        <v>2140</v>
      </c>
      <c r="X275" s="4"/>
      <c r="Y275" s="4"/>
      <c r="Z275" s="4"/>
    </row>
    <row r="276" customFormat="false" ht="15.75" hidden="false" customHeight="true" outlineLevel="0" collapsed="false">
      <c r="A276" s="55" t="n">
        <v>1897</v>
      </c>
      <c r="B276" s="55" t="s">
        <v>958</v>
      </c>
      <c r="C276" s="55" t="s">
        <v>959</v>
      </c>
      <c r="D276" s="55" t="s">
        <v>2168</v>
      </c>
      <c r="E276" s="55" t="s">
        <v>2169</v>
      </c>
      <c r="F276" s="55" t="s">
        <v>1195</v>
      </c>
      <c r="G276" s="55" t="s">
        <v>1195</v>
      </c>
      <c r="H276" s="55" t="s">
        <v>1196</v>
      </c>
      <c r="I276" s="55" t="s">
        <v>934</v>
      </c>
      <c r="J276" s="55" t="s">
        <v>2170</v>
      </c>
      <c r="K276" s="55" t="s">
        <v>889</v>
      </c>
      <c r="L276" s="55"/>
      <c r="M276" s="55"/>
      <c r="N276" s="55" t="s">
        <v>732</v>
      </c>
      <c r="O276" s="55"/>
      <c r="P276" s="55" t="s">
        <v>1539</v>
      </c>
      <c r="Q276" s="55"/>
      <c r="R276" s="55" t="n">
        <v>0</v>
      </c>
      <c r="S276" s="55" t="n">
        <v>117</v>
      </c>
      <c r="T276" s="55"/>
      <c r="U276" s="55" t="s">
        <v>959</v>
      </c>
      <c r="V276" s="55" t="s">
        <v>1201</v>
      </c>
      <c r="W276" s="55" t="s">
        <v>2140</v>
      </c>
      <c r="X276" s="4"/>
      <c r="Y276" s="4"/>
      <c r="Z276" s="4"/>
    </row>
    <row r="277" customFormat="false" ht="15.75" hidden="false" customHeight="true" outlineLevel="0" collapsed="false">
      <c r="A277" s="55" t="n">
        <v>1930</v>
      </c>
      <c r="B277" s="55" t="s">
        <v>1024</v>
      </c>
      <c r="C277" s="55" t="s">
        <v>1025</v>
      </c>
      <c r="D277" s="55" t="s">
        <v>2171</v>
      </c>
      <c r="E277" s="55" t="s">
        <v>2172</v>
      </c>
      <c r="F277" s="55" t="s">
        <v>1195</v>
      </c>
      <c r="G277" s="55" t="s">
        <v>1195</v>
      </c>
      <c r="H277" s="55" t="s">
        <v>1196</v>
      </c>
      <c r="I277" s="55" t="s">
        <v>934</v>
      </c>
      <c r="J277" s="55" t="s">
        <v>2173</v>
      </c>
      <c r="K277" s="55" t="s">
        <v>889</v>
      </c>
      <c r="L277" s="55"/>
      <c r="M277" s="55"/>
      <c r="N277" s="55" t="s">
        <v>732</v>
      </c>
      <c r="O277" s="55"/>
      <c r="P277" s="55" t="s">
        <v>1539</v>
      </c>
      <c r="Q277" s="55"/>
      <c r="R277" s="55" t="n">
        <v>0</v>
      </c>
      <c r="S277" s="55" t="n">
        <v>14</v>
      </c>
      <c r="T277" s="55"/>
      <c r="U277" s="55" t="s">
        <v>1025</v>
      </c>
      <c r="V277" s="55" t="s">
        <v>1201</v>
      </c>
      <c r="W277" s="55" t="s">
        <v>2140</v>
      </c>
      <c r="X277" s="4"/>
      <c r="Y277" s="4"/>
      <c r="Z277" s="4"/>
    </row>
    <row r="278" customFormat="false" ht="15.75" hidden="false" customHeight="true" outlineLevel="0" collapsed="false">
      <c r="A278" s="55" t="n">
        <v>1899</v>
      </c>
      <c r="B278" s="55" t="s">
        <v>962</v>
      </c>
      <c r="C278" s="55" t="s">
        <v>963</v>
      </c>
      <c r="D278" s="55" t="s">
        <v>2174</v>
      </c>
      <c r="E278" s="55" t="s">
        <v>2175</v>
      </c>
      <c r="F278" s="55" t="s">
        <v>1195</v>
      </c>
      <c r="G278" s="55" t="s">
        <v>1195</v>
      </c>
      <c r="H278" s="55" t="s">
        <v>1196</v>
      </c>
      <c r="I278" s="55" t="s">
        <v>934</v>
      </c>
      <c r="J278" s="55" t="s">
        <v>2176</v>
      </c>
      <c r="K278" s="55" t="s">
        <v>889</v>
      </c>
      <c r="L278" s="55"/>
      <c r="M278" s="55"/>
      <c r="N278" s="55" t="s">
        <v>732</v>
      </c>
      <c r="O278" s="55"/>
      <c r="P278" s="55" t="s">
        <v>1539</v>
      </c>
      <c r="Q278" s="55"/>
      <c r="R278" s="55" t="n">
        <v>0</v>
      </c>
      <c r="S278" s="55" t="n">
        <v>11</v>
      </c>
      <c r="T278" s="55"/>
      <c r="U278" s="55" t="s">
        <v>963</v>
      </c>
      <c r="V278" s="55" t="s">
        <v>1201</v>
      </c>
      <c r="W278" s="55" t="s">
        <v>2140</v>
      </c>
      <c r="X278" s="4"/>
      <c r="Y278" s="4"/>
      <c r="Z278" s="4"/>
    </row>
    <row r="279" customFormat="false" ht="15.75" hidden="false" customHeight="true" outlineLevel="0" collapsed="false">
      <c r="A279" s="55" t="n">
        <v>1920</v>
      </c>
      <c r="B279" s="55" t="s">
        <v>1004</v>
      </c>
      <c r="C279" s="55" t="s">
        <v>1005</v>
      </c>
      <c r="D279" s="55" t="s">
        <v>2177</v>
      </c>
      <c r="E279" s="55" t="s">
        <v>2178</v>
      </c>
      <c r="F279" s="55" t="s">
        <v>1195</v>
      </c>
      <c r="G279" s="55" t="s">
        <v>1195</v>
      </c>
      <c r="H279" s="55" t="s">
        <v>1196</v>
      </c>
      <c r="I279" s="55" t="s">
        <v>934</v>
      </c>
      <c r="J279" s="55" t="s">
        <v>2179</v>
      </c>
      <c r="K279" s="55" t="s">
        <v>889</v>
      </c>
      <c r="L279" s="55"/>
      <c r="M279" s="55"/>
      <c r="N279" s="55" t="s">
        <v>732</v>
      </c>
      <c r="O279" s="55"/>
      <c r="P279" s="55" t="s">
        <v>1539</v>
      </c>
      <c r="Q279" s="55"/>
      <c r="R279" s="55" t="n">
        <v>0</v>
      </c>
      <c r="S279" s="55" t="n">
        <v>6</v>
      </c>
      <c r="T279" s="55"/>
      <c r="U279" s="55" t="s">
        <v>1005</v>
      </c>
      <c r="V279" s="55" t="s">
        <v>1201</v>
      </c>
      <c r="W279" s="55" t="s">
        <v>2140</v>
      </c>
      <c r="X279" s="4"/>
      <c r="Y279" s="4"/>
      <c r="Z279" s="4"/>
    </row>
    <row r="280" customFormat="false" ht="15.75" hidden="false" customHeight="true" outlineLevel="0" collapsed="false">
      <c r="A280" s="55" t="n">
        <v>1921</v>
      </c>
      <c r="B280" s="55" t="s">
        <v>1006</v>
      </c>
      <c r="C280" s="55" t="s">
        <v>1007</v>
      </c>
      <c r="D280" s="55" t="s">
        <v>2180</v>
      </c>
      <c r="E280" s="55" t="s">
        <v>2181</v>
      </c>
      <c r="F280" s="55" t="s">
        <v>1195</v>
      </c>
      <c r="G280" s="55" t="s">
        <v>1195</v>
      </c>
      <c r="H280" s="55" t="s">
        <v>1196</v>
      </c>
      <c r="I280" s="55" t="s">
        <v>934</v>
      </c>
      <c r="J280" s="55" t="s">
        <v>2182</v>
      </c>
      <c r="K280" s="55" t="s">
        <v>889</v>
      </c>
      <c r="L280" s="55"/>
      <c r="M280" s="55"/>
      <c r="N280" s="55" t="s">
        <v>732</v>
      </c>
      <c r="O280" s="55"/>
      <c r="P280" s="55" t="s">
        <v>1539</v>
      </c>
      <c r="Q280" s="55"/>
      <c r="R280" s="55" t="n">
        <v>0</v>
      </c>
      <c r="S280" s="55" t="n">
        <v>10</v>
      </c>
      <c r="T280" s="55"/>
      <c r="U280" s="55" t="s">
        <v>1007</v>
      </c>
      <c r="V280" s="55" t="s">
        <v>1201</v>
      </c>
      <c r="W280" s="55" t="s">
        <v>2140</v>
      </c>
      <c r="X280" s="4"/>
      <c r="Y280" s="4"/>
      <c r="Z280" s="4"/>
    </row>
    <row r="281" customFormat="false" ht="15.75" hidden="false" customHeight="true" outlineLevel="0" collapsed="false">
      <c r="A281" s="55" t="n">
        <v>1922</v>
      </c>
      <c r="B281" s="55" t="s">
        <v>1008</v>
      </c>
      <c r="C281" s="55" t="s">
        <v>1009</v>
      </c>
      <c r="D281" s="55" t="s">
        <v>2183</v>
      </c>
      <c r="E281" s="55" t="s">
        <v>2184</v>
      </c>
      <c r="F281" s="55" t="s">
        <v>1195</v>
      </c>
      <c r="G281" s="55" t="s">
        <v>1195</v>
      </c>
      <c r="H281" s="55" t="s">
        <v>1196</v>
      </c>
      <c r="I281" s="55" t="s">
        <v>934</v>
      </c>
      <c r="J281" s="55" t="s">
        <v>2185</v>
      </c>
      <c r="K281" s="55" t="s">
        <v>889</v>
      </c>
      <c r="L281" s="55"/>
      <c r="M281" s="55"/>
      <c r="N281" s="55" t="s">
        <v>732</v>
      </c>
      <c r="O281" s="55"/>
      <c r="P281" s="55" t="s">
        <v>1539</v>
      </c>
      <c r="Q281" s="55"/>
      <c r="R281" s="55" t="n">
        <v>0</v>
      </c>
      <c r="S281" s="55" t="n">
        <v>33</v>
      </c>
      <c r="T281" s="55"/>
      <c r="U281" s="55" t="s">
        <v>1009</v>
      </c>
      <c r="V281" s="55" t="s">
        <v>1201</v>
      </c>
      <c r="W281" s="55" t="s">
        <v>2140</v>
      </c>
      <c r="X281" s="4"/>
      <c r="Y281" s="4"/>
      <c r="Z281" s="4"/>
    </row>
    <row r="282" customFormat="false" ht="15.75" hidden="false" customHeight="true" outlineLevel="0" collapsed="false">
      <c r="A282" s="55" t="n">
        <v>1923</v>
      </c>
      <c r="B282" s="55" t="s">
        <v>1010</v>
      </c>
      <c r="C282" s="55" t="s">
        <v>1011</v>
      </c>
      <c r="D282" s="55" t="s">
        <v>2186</v>
      </c>
      <c r="E282" s="55" t="s">
        <v>2187</v>
      </c>
      <c r="F282" s="55" t="s">
        <v>1195</v>
      </c>
      <c r="G282" s="55" t="s">
        <v>1195</v>
      </c>
      <c r="H282" s="55" t="s">
        <v>1196</v>
      </c>
      <c r="I282" s="55" t="s">
        <v>934</v>
      </c>
      <c r="J282" s="55" t="s">
        <v>2188</v>
      </c>
      <c r="K282" s="55" t="s">
        <v>889</v>
      </c>
      <c r="L282" s="55"/>
      <c r="M282" s="55"/>
      <c r="N282" s="55" t="s">
        <v>732</v>
      </c>
      <c r="O282" s="55"/>
      <c r="P282" s="55" t="s">
        <v>1539</v>
      </c>
      <c r="Q282" s="55"/>
      <c r="R282" s="55" t="n">
        <v>0</v>
      </c>
      <c r="S282" s="55" t="n">
        <v>14</v>
      </c>
      <c r="T282" s="55"/>
      <c r="U282" s="55" t="s">
        <v>1011</v>
      </c>
      <c r="V282" s="55" t="s">
        <v>1201</v>
      </c>
      <c r="W282" s="55" t="s">
        <v>2140</v>
      </c>
      <c r="X282" s="4"/>
      <c r="Y282" s="4"/>
      <c r="Z282" s="4"/>
    </row>
    <row r="283" customFormat="false" ht="15.75" hidden="false" customHeight="true" outlineLevel="0" collapsed="false">
      <c r="A283" s="55" t="n">
        <v>1924</v>
      </c>
      <c r="B283" s="55" t="s">
        <v>1012</v>
      </c>
      <c r="C283" s="55" t="s">
        <v>1013</v>
      </c>
      <c r="D283" s="55" t="s">
        <v>2189</v>
      </c>
      <c r="E283" s="55" t="s">
        <v>2190</v>
      </c>
      <c r="F283" s="55" t="s">
        <v>1195</v>
      </c>
      <c r="G283" s="55" t="s">
        <v>1195</v>
      </c>
      <c r="H283" s="55" t="s">
        <v>1196</v>
      </c>
      <c r="I283" s="55" t="s">
        <v>934</v>
      </c>
      <c r="J283" s="55" t="s">
        <v>2191</v>
      </c>
      <c r="K283" s="55" t="s">
        <v>889</v>
      </c>
      <c r="L283" s="55"/>
      <c r="M283" s="55"/>
      <c r="N283" s="55" t="s">
        <v>732</v>
      </c>
      <c r="O283" s="55"/>
      <c r="P283" s="55" t="s">
        <v>1539</v>
      </c>
      <c r="Q283" s="55"/>
      <c r="R283" s="55" t="n">
        <v>0</v>
      </c>
      <c r="S283" s="55" t="n">
        <v>5</v>
      </c>
      <c r="T283" s="55"/>
      <c r="U283" s="55" t="s">
        <v>1013</v>
      </c>
      <c r="V283" s="55" t="s">
        <v>1201</v>
      </c>
      <c r="W283" s="55" t="s">
        <v>2140</v>
      </c>
      <c r="X283" s="4"/>
      <c r="Y283" s="4"/>
      <c r="Z283" s="4"/>
    </row>
    <row r="284" customFormat="false" ht="15.75" hidden="false" customHeight="true" outlineLevel="0" collapsed="false">
      <c r="A284" s="55" t="n">
        <v>1925</v>
      </c>
      <c r="B284" s="55" t="s">
        <v>1014</v>
      </c>
      <c r="C284" s="55" t="s">
        <v>1015</v>
      </c>
      <c r="D284" s="55" t="s">
        <v>2192</v>
      </c>
      <c r="E284" s="55" t="s">
        <v>2193</v>
      </c>
      <c r="F284" s="55" t="s">
        <v>1195</v>
      </c>
      <c r="G284" s="55" t="s">
        <v>1195</v>
      </c>
      <c r="H284" s="55" t="s">
        <v>1196</v>
      </c>
      <c r="I284" s="55" t="s">
        <v>934</v>
      </c>
      <c r="J284" s="55" t="s">
        <v>2194</v>
      </c>
      <c r="K284" s="55" t="s">
        <v>889</v>
      </c>
      <c r="L284" s="55"/>
      <c r="M284" s="55"/>
      <c r="N284" s="55" t="s">
        <v>732</v>
      </c>
      <c r="O284" s="55"/>
      <c r="P284" s="55" t="s">
        <v>1539</v>
      </c>
      <c r="Q284" s="55"/>
      <c r="R284" s="55" t="n">
        <v>0</v>
      </c>
      <c r="S284" s="55" t="n">
        <v>9</v>
      </c>
      <c r="T284" s="55"/>
      <c r="U284" s="55" t="s">
        <v>1015</v>
      </c>
      <c r="V284" s="55" t="s">
        <v>1201</v>
      </c>
      <c r="W284" s="55" t="s">
        <v>2140</v>
      </c>
      <c r="X284" s="4"/>
      <c r="Y284" s="4"/>
      <c r="Z284" s="4"/>
    </row>
    <row r="285" customFormat="false" ht="15.75" hidden="false" customHeight="true" outlineLevel="0" collapsed="false">
      <c r="A285" s="55" t="n">
        <v>1926</v>
      </c>
      <c r="B285" s="55" t="s">
        <v>1016</v>
      </c>
      <c r="C285" s="55" t="s">
        <v>1017</v>
      </c>
      <c r="D285" s="55" t="s">
        <v>2195</v>
      </c>
      <c r="E285" s="55" t="s">
        <v>2196</v>
      </c>
      <c r="F285" s="55" t="s">
        <v>1195</v>
      </c>
      <c r="G285" s="55" t="s">
        <v>1195</v>
      </c>
      <c r="H285" s="55" t="s">
        <v>1196</v>
      </c>
      <c r="I285" s="55" t="s">
        <v>934</v>
      </c>
      <c r="J285" s="55" t="s">
        <v>2197</v>
      </c>
      <c r="K285" s="55" t="s">
        <v>889</v>
      </c>
      <c r="L285" s="55"/>
      <c r="M285" s="55"/>
      <c r="N285" s="55" t="s">
        <v>732</v>
      </c>
      <c r="O285" s="55"/>
      <c r="P285" s="55" t="s">
        <v>1539</v>
      </c>
      <c r="Q285" s="55"/>
      <c r="R285" s="55" t="n">
        <v>0</v>
      </c>
      <c r="S285" s="55" t="n">
        <v>3</v>
      </c>
      <c r="T285" s="55"/>
      <c r="U285" s="55" t="s">
        <v>1017</v>
      </c>
      <c r="V285" s="55" t="s">
        <v>1201</v>
      </c>
      <c r="W285" s="55" t="s">
        <v>2140</v>
      </c>
      <c r="X285" s="4"/>
      <c r="Y285" s="4"/>
      <c r="Z285" s="4"/>
    </row>
    <row r="286" customFormat="false" ht="15.75" hidden="false" customHeight="true" outlineLevel="0" collapsed="false">
      <c r="A286" s="55" t="n">
        <v>1927</v>
      </c>
      <c r="B286" s="55" t="s">
        <v>1018</v>
      </c>
      <c r="C286" s="55" t="s">
        <v>1019</v>
      </c>
      <c r="D286" s="55" t="s">
        <v>2198</v>
      </c>
      <c r="E286" s="55" t="s">
        <v>2199</v>
      </c>
      <c r="F286" s="55" t="s">
        <v>1195</v>
      </c>
      <c r="G286" s="55" t="s">
        <v>1195</v>
      </c>
      <c r="H286" s="55" t="s">
        <v>1196</v>
      </c>
      <c r="I286" s="55" t="s">
        <v>934</v>
      </c>
      <c r="J286" s="55" t="s">
        <v>2200</v>
      </c>
      <c r="K286" s="55" t="s">
        <v>889</v>
      </c>
      <c r="L286" s="55"/>
      <c r="M286" s="55"/>
      <c r="N286" s="55" t="s">
        <v>732</v>
      </c>
      <c r="O286" s="55"/>
      <c r="P286" s="55" t="s">
        <v>1539</v>
      </c>
      <c r="Q286" s="55"/>
      <c r="R286" s="55" t="n">
        <v>0</v>
      </c>
      <c r="S286" s="55" t="n">
        <v>12</v>
      </c>
      <c r="T286" s="55"/>
      <c r="U286" s="55" t="s">
        <v>1019</v>
      </c>
      <c r="V286" s="55" t="s">
        <v>1201</v>
      </c>
      <c r="W286" s="55" t="s">
        <v>2140</v>
      </c>
      <c r="X286" s="4"/>
      <c r="Y286" s="4"/>
      <c r="Z286" s="4"/>
    </row>
    <row r="287" customFormat="false" ht="15.75" hidden="false" customHeight="true" outlineLevel="0" collapsed="false">
      <c r="A287" s="55" t="n">
        <v>1928</v>
      </c>
      <c r="B287" s="55" t="s">
        <v>1020</v>
      </c>
      <c r="C287" s="55" t="s">
        <v>1021</v>
      </c>
      <c r="D287" s="55" t="s">
        <v>2201</v>
      </c>
      <c r="E287" s="55" t="s">
        <v>2202</v>
      </c>
      <c r="F287" s="55" t="s">
        <v>1195</v>
      </c>
      <c r="G287" s="55" t="s">
        <v>1195</v>
      </c>
      <c r="H287" s="55" t="s">
        <v>1196</v>
      </c>
      <c r="I287" s="55" t="s">
        <v>934</v>
      </c>
      <c r="J287" s="55" t="s">
        <v>2203</v>
      </c>
      <c r="K287" s="55" t="s">
        <v>889</v>
      </c>
      <c r="L287" s="55"/>
      <c r="M287" s="55"/>
      <c r="N287" s="55" t="s">
        <v>732</v>
      </c>
      <c r="O287" s="55"/>
      <c r="P287" s="55" t="s">
        <v>1539</v>
      </c>
      <c r="Q287" s="55"/>
      <c r="R287" s="55" t="n">
        <v>0</v>
      </c>
      <c r="S287" s="55" t="n">
        <v>11</v>
      </c>
      <c r="T287" s="55"/>
      <c r="U287" s="55" t="s">
        <v>1021</v>
      </c>
      <c r="V287" s="55" t="s">
        <v>1201</v>
      </c>
      <c r="W287" s="55" t="s">
        <v>2140</v>
      </c>
      <c r="X287" s="4"/>
      <c r="Y287" s="4"/>
      <c r="Z287" s="4"/>
    </row>
    <row r="288" customFormat="false" ht="15.75" hidden="false" customHeight="true" outlineLevel="0" collapsed="false">
      <c r="A288" s="55" t="n">
        <v>1929</v>
      </c>
      <c r="B288" s="55" t="s">
        <v>1022</v>
      </c>
      <c r="C288" s="55" t="s">
        <v>1023</v>
      </c>
      <c r="D288" s="55" t="s">
        <v>2204</v>
      </c>
      <c r="E288" s="55" t="s">
        <v>2205</v>
      </c>
      <c r="F288" s="55" t="s">
        <v>1195</v>
      </c>
      <c r="G288" s="55" t="s">
        <v>1195</v>
      </c>
      <c r="H288" s="55" t="s">
        <v>1196</v>
      </c>
      <c r="I288" s="55" t="s">
        <v>934</v>
      </c>
      <c r="J288" s="55" t="s">
        <v>2206</v>
      </c>
      <c r="K288" s="55" t="s">
        <v>889</v>
      </c>
      <c r="L288" s="55"/>
      <c r="M288" s="55"/>
      <c r="N288" s="55" t="s">
        <v>732</v>
      </c>
      <c r="O288" s="55"/>
      <c r="P288" s="55" t="s">
        <v>1539</v>
      </c>
      <c r="Q288" s="55"/>
      <c r="R288" s="55" t="n">
        <v>0</v>
      </c>
      <c r="S288" s="55" t="n">
        <v>6</v>
      </c>
      <c r="T288" s="55"/>
      <c r="U288" s="55" t="s">
        <v>1023</v>
      </c>
      <c r="V288" s="55" t="s">
        <v>1201</v>
      </c>
      <c r="W288" s="55" t="s">
        <v>2140</v>
      </c>
      <c r="X288" s="4"/>
      <c r="Y288" s="4"/>
      <c r="Z288" s="4"/>
    </row>
    <row r="289" customFormat="false" ht="15.75" hidden="false" customHeight="true" outlineLevel="0" collapsed="false">
      <c r="A289" s="55" t="n">
        <v>1931</v>
      </c>
      <c r="B289" s="55" t="s">
        <v>1026</v>
      </c>
      <c r="C289" s="55" t="s">
        <v>1027</v>
      </c>
      <c r="D289" s="55" t="s">
        <v>2207</v>
      </c>
      <c r="E289" s="55" t="s">
        <v>2208</v>
      </c>
      <c r="F289" s="55" t="s">
        <v>1195</v>
      </c>
      <c r="G289" s="55" t="s">
        <v>1195</v>
      </c>
      <c r="H289" s="55" t="s">
        <v>1196</v>
      </c>
      <c r="I289" s="55" t="s">
        <v>934</v>
      </c>
      <c r="J289" s="55" t="s">
        <v>2209</v>
      </c>
      <c r="K289" s="55" t="s">
        <v>889</v>
      </c>
      <c r="L289" s="55"/>
      <c r="M289" s="55"/>
      <c r="N289" s="55" t="s">
        <v>732</v>
      </c>
      <c r="O289" s="55"/>
      <c r="P289" s="55" t="s">
        <v>1539</v>
      </c>
      <c r="Q289" s="55"/>
      <c r="R289" s="55" t="n">
        <v>0</v>
      </c>
      <c r="S289" s="55" t="n">
        <v>3</v>
      </c>
      <c r="T289" s="55"/>
      <c r="U289" s="55" t="s">
        <v>1027</v>
      </c>
      <c r="V289" s="55" t="s">
        <v>1201</v>
      </c>
      <c r="W289" s="55" t="s">
        <v>2140</v>
      </c>
      <c r="X289" s="4"/>
      <c r="Y289" s="4"/>
      <c r="Z289" s="4"/>
    </row>
    <row r="290" customFormat="false" ht="15.75" hidden="false" customHeight="true" outlineLevel="0" collapsed="false">
      <c r="A290" s="55" t="n">
        <v>1932</v>
      </c>
      <c r="B290" s="55" t="s">
        <v>1028</v>
      </c>
      <c r="C290" s="55" t="s">
        <v>1029</v>
      </c>
      <c r="D290" s="55" t="s">
        <v>2210</v>
      </c>
      <c r="E290" s="55" t="s">
        <v>2211</v>
      </c>
      <c r="F290" s="55" t="s">
        <v>1195</v>
      </c>
      <c r="G290" s="55" t="s">
        <v>1195</v>
      </c>
      <c r="H290" s="55" t="s">
        <v>1196</v>
      </c>
      <c r="I290" s="55" t="s">
        <v>934</v>
      </c>
      <c r="J290" s="55" t="s">
        <v>2212</v>
      </c>
      <c r="K290" s="55" t="s">
        <v>889</v>
      </c>
      <c r="L290" s="55"/>
      <c r="M290" s="55"/>
      <c r="N290" s="55" t="s">
        <v>732</v>
      </c>
      <c r="O290" s="55"/>
      <c r="P290" s="55" t="s">
        <v>1539</v>
      </c>
      <c r="Q290" s="55"/>
      <c r="R290" s="55" t="n">
        <v>0</v>
      </c>
      <c r="S290" s="55" t="n">
        <v>10</v>
      </c>
      <c r="T290" s="55"/>
      <c r="U290" s="55" t="s">
        <v>1029</v>
      </c>
      <c r="V290" s="55" t="s">
        <v>1201</v>
      </c>
      <c r="W290" s="55" t="s">
        <v>2140</v>
      </c>
      <c r="X290" s="4"/>
      <c r="Y290" s="4"/>
      <c r="Z290" s="4"/>
    </row>
    <row r="291" customFormat="false" ht="15.75" hidden="false" customHeight="true" outlineLevel="0" collapsed="false">
      <c r="A291" s="55" t="n">
        <v>1933</v>
      </c>
      <c r="B291" s="55" t="s">
        <v>1030</v>
      </c>
      <c r="C291" s="55" t="s">
        <v>1031</v>
      </c>
      <c r="D291" s="55" t="s">
        <v>2213</v>
      </c>
      <c r="E291" s="55" t="s">
        <v>2214</v>
      </c>
      <c r="F291" s="55" t="s">
        <v>1195</v>
      </c>
      <c r="G291" s="55" t="s">
        <v>1195</v>
      </c>
      <c r="H291" s="55" t="s">
        <v>1196</v>
      </c>
      <c r="I291" s="55" t="s">
        <v>934</v>
      </c>
      <c r="J291" s="55" t="s">
        <v>2215</v>
      </c>
      <c r="K291" s="55" t="s">
        <v>889</v>
      </c>
      <c r="L291" s="55"/>
      <c r="M291" s="55"/>
      <c r="N291" s="55" t="s">
        <v>732</v>
      </c>
      <c r="O291" s="55"/>
      <c r="P291" s="55" t="s">
        <v>1539</v>
      </c>
      <c r="Q291" s="55"/>
      <c r="R291" s="55" t="n">
        <v>0</v>
      </c>
      <c r="S291" s="55" t="n">
        <v>8</v>
      </c>
      <c r="T291" s="55"/>
      <c r="U291" s="55" t="s">
        <v>1031</v>
      </c>
      <c r="V291" s="55" t="s">
        <v>1201</v>
      </c>
      <c r="W291" s="55" t="s">
        <v>2140</v>
      </c>
      <c r="X291" s="4"/>
      <c r="Y291" s="4"/>
      <c r="Z291" s="4"/>
    </row>
    <row r="292" customFormat="false" ht="15.75" hidden="false" customHeight="true" outlineLevel="0" collapsed="false">
      <c r="A292" s="55" t="n">
        <v>1934</v>
      </c>
      <c r="B292" s="55" t="s">
        <v>1032</v>
      </c>
      <c r="C292" s="55" t="s">
        <v>1033</v>
      </c>
      <c r="D292" s="55" t="s">
        <v>2216</v>
      </c>
      <c r="E292" s="55" t="s">
        <v>2217</v>
      </c>
      <c r="F292" s="55" t="s">
        <v>1195</v>
      </c>
      <c r="G292" s="55" t="s">
        <v>1195</v>
      </c>
      <c r="H292" s="55" t="s">
        <v>1196</v>
      </c>
      <c r="I292" s="55" t="s">
        <v>934</v>
      </c>
      <c r="J292" s="55" t="s">
        <v>2218</v>
      </c>
      <c r="K292" s="55" t="s">
        <v>889</v>
      </c>
      <c r="L292" s="55"/>
      <c r="M292" s="55"/>
      <c r="N292" s="55" t="s">
        <v>732</v>
      </c>
      <c r="O292" s="55"/>
      <c r="P292" s="55" t="s">
        <v>1539</v>
      </c>
      <c r="Q292" s="55"/>
      <c r="R292" s="55" t="n">
        <v>0</v>
      </c>
      <c r="S292" s="55" t="n">
        <v>8</v>
      </c>
      <c r="T292" s="55"/>
      <c r="U292" s="55" t="s">
        <v>1033</v>
      </c>
      <c r="V292" s="55" t="s">
        <v>1201</v>
      </c>
      <c r="W292" s="55" t="s">
        <v>2140</v>
      </c>
      <c r="X292" s="4"/>
      <c r="Y292" s="4"/>
      <c r="Z292" s="4"/>
    </row>
    <row r="293" customFormat="false" ht="15.75" hidden="false" customHeight="true" outlineLevel="0" collapsed="false">
      <c r="A293" s="55" t="n">
        <v>1935</v>
      </c>
      <c r="B293" s="55" t="s">
        <v>1034</v>
      </c>
      <c r="C293" s="55" t="s">
        <v>1035</v>
      </c>
      <c r="D293" s="55" t="s">
        <v>2219</v>
      </c>
      <c r="E293" s="55" t="s">
        <v>2220</v>
      </c>
      <c r="F293" s="55" t="s">
        <v>1195</v>
      </c>
      <c r="G293" s="55" t="s">
        <v>1195</v>
      </c>
      <c r="H293" s="55" t="s">
        <v>1196</v>
      </c>
      <c r="I293" s="55" t="s">
        <v>934</v>
      </c>
      <c r="J293" s="55" t="s">
        <v>2221</v>
      </c>
      <c r="K293" s="55" t="s">
        <v>889</v>
      </c>
      <c r="L293" s="55"/>
      <c r="M293" s="55"/>
      <c r="N293" s="55" t="s">
        <v>732</v>
      </c>
      <c r="O293" s="55"/>
      <c r="P293" s="55" t="s">
        <v>1539</v>
      </c>
      <c r="Q293" s="55"/>
      <c r="R293" s="55" t="n">
        <v>0</v>
      </c>
      <c r="S293" s="55" t="n">
        <v>16</v>
      </c>
      <c r="T293" s="55"/>
      <c r="U293" s="55" t="s">
        <v>1035</v>
      </c>
      <c r="V293" s="55" t="s">
        <v>1201</v>
      </c>
      <c r="W293" s="55" t="s">
        <v>2140</v>
      </c>
      <c r="X293" s="4"/>
      <c r="Y293" s="4"/>
      <c r="Z293" s="4"/>
    </row>
    <row r="294" customFormat="false" ht="15.75" hidden="false" customHeight="true" outlineLevel="0" collapsed="false">
      <c r="A294" s="55" t="n">
        <v>1919</v>
      </c>
      <c r="B294" s="55" t="s">
        <v>1002</v>
      </c>
      <c r="C294" s="55" t="s">
        <v>1003</v>
      </c>
      <c r="D294" s="55" t="s">
        <v>2222</v>
      </c>
      <c r="E294" s="55" t="s">
        <v>2223</v>
      </c>
      <c r="F294" s="55" t="s">
        <v>1195</v>
      </c>
      <c r="G294" s="55" t="s">
        <v>1195</v>
      </c>
      <c r="H294" s="55" t="s">
        <v>1196</v>
      </c>
      <c r="I294" s="55" t="s">
        <v>934</v>
      </c>
      <c r="J294" s="55" t="s">
        <v>2224</v>
      </c>
      <c r="K294" s="55" t="s">
        <v>889</v>
      </c>
      <c r="L294" s="55"/>
      <c r="M294" s="55"/>
      <c r="N294" s="55" t="s">
        <v>732</v>
      </c>
      <c r="O294" s="55"/>
      <c r="P294" s="55" t="s">
        <v>1539</v>
      </c>
      <c r="Q294" s="55"/>
      <c r="R294" s="55" t="n">
        <v>0</v>
      </c>
      <c r="S294" s="55" t="n">
        <v>11</v>
      </c>
      <c r="T294" s="55"/>
      <c r="U294" s="55" t="s">
        <v>1003</v>
      </c>
      <c r="V294" s="55" t="s">
        <v>1201</v>
      </c>
      <c r="W294" s="55" t="s">
        <v>2140</v>
      </c>
      <c r="X294" s="4"/>
      <c r="Y294" s="4"/>
      <c r="Z294" s="4"/>
    </row>
    <row r="295" customFormat="false" ht="15.75" hidden="false" customHeight="true" outlineLevel="0" collapsed="false">
      <c r="A295" s="55" t="n">
        <v>1898</v>
      </c>
      <c r="B295" s="55" t="s">
        <v>960</v>
      </c>
      <c r="C295" s="55" t="s">
        <v>961</v>
      </c>
      <c r="D295" s="55" t="s">
        <v>2225</v>
      </c>
      <c r="E295" s="55" t="s">
        <v>2226</v>
      </c>
      <c r="F295" s="55" t="s">
        <v>1195</v>
      </c>
      <c r="G295" s="55" t="s">
        <v>1195</v>
      </c>
      <c r="H295" s="55" t="s">
        <v>1196</v>
      </c>
      <c r="I295" s="55" t="s">
        <v>934</v>
      </c>
      <c r="J295" s="55" t="s">
        <v>2227</v>
      </c>
      <c r="K295" s="55" t="s">
        <v>889</v>
      </c>
      <c r="L295" s="55"/>
      <c r="M295" s="55"/>
      <c r="N295" s="55" t="s">
        <v>732</v>
      </c>
      <c r="O295" s="55"/>
      <c r="P295" s="55" t="s">
        <v>1539</v>
      </c>
      <c r="Q295" s="55"/>
      <c r="R295" s="55" t="n">
        <v>0</v>
      </c>
      <c r="S295" s="55" t="n">
        <v>17</v>
      </c>
      <c r="T295" s="55"/>
      <c r="U295" s="55" t="s">
        <v>961</v>
      </c>
      <c r="V295" s="55" t="s">
        <v>1201</v>
      </c>
      <c r="W295" s="55" t="s">
        <v>2140</v>
      </c>
      <c r="X295" s="4"/>
      <c r="Y295" s="4"/>
      <c r="Z295" s="4"/>
    </row>
    <row r="296" customFormat="false" ht="15.75" hidden="false" customHeight="true" outlineLevel="0" collapsed="false">
      <c r="A296" s="55" t="n">
        <v>1918</v>
      </c>
      <c r="B296" s="55" t="s">
        <v>1000</v>
      </c>
      <c r="C296" s="55" t="s">
        <v>1001</v>
      </c>
      <c r="D296" s="55" t="s">
        <v>2228</v>
      </c>
      <c r="E296" s="55" t="s">
        <v>2229</v>
      </c>
      <c r="F296" s="55" t="s">
        <v>1195</v>
      </c>
      <c r="G296" s="55" t="s">
        <v>1195</v>
      </c>
      <c r="H296" s="55" t="s">
        <v>1196</v>
      </c>
      <c r="I296" s="55" t="s">
        <v>934</v>
      </c>
      <c r="J296" s="55" t="s">
        <v>2230</v>
      </c>
      <c r="K296" s="55" t="s">
        <v>889</v>
      </c>
      <c r="L296" s="55"/>
      <c r="M296" s="55"/>
      <c r="N296" s="55" t="s">
        <v>732</v>
      </c>
      <c r="O296" s="55"/>
      <c r="P296" s="55" t="s">
        <v>1539</v>
      </c>
      <c r="Q296" s="55"/>
      <c r="R296" s="55" t="n">
        <v>0</v>
      </c>
      <c r="S296" s="55" t="n">
        <v>64</v>
      </c>
      <c r="T296" s="55"/>
      <c r="U296" s="55" t="s">
        <v>1001</v>
      </c>
      <c r="V296" s="55" t="s">
        <v>1201</v>
      </c>
      <c r="W296" s="55" t="s">
        <v>2140</v>
      </c>
      <c r="X296" s="4"/>
      <c r="Y296" s="4"/>
      <c r="Z296" s="4"/>
    </row>
    <row r="297" customFormat="false" ht="15.75" hidden="false" customHeight="true" outlineLevel="0" collapsed="false">
      <c r="A297" s="55" t="n">
        <v>1916</v>
      </c>
      <c r="B297" s="55" t="s">
        <v>996</v>
      </c>
      <c r="C297" s="55" t="s">
        <v>997</v>
      </c>
      <c r="D297" s="55" t="s">
        <v>2231</v>
      </c>
      <c r="E297" s="55" t="s">
        <v>2232</v>
      </c>
      <c r="F297" s="55" t="s">
        <v>1195</v>
      </c>
      <c r="G297" s="55" t="s">
        <v>1195</v>
      </c>
      <c r="H297" s="55" t="s">
        <v>1196</v>
      </c>
      <c r="I297" s="55" t="s">
        <v>934</v>
      </c>
      <c r="J297" s="55" t="s">
        <v>2233</v>
      </c>
      <c r="K297" s="55" t="s">
        <v>889</v>
      </c>
      <c r="L297" s="55"/>
      <c r="M297" s="55"/>
      <c r="N297" s="55" t="s">
        <v>732</v>
      </c>
      <c r="O297" s="55"/>
      <c r="P297" s="55" t="s">
        <v>1539</v>
      </c>
      <c r="Q297" s="55"/>
      <c r="R297" s="55" t="n">
        <v>0</v>
      </c>
      <c r="S297" s="55" t="n">
        <v>23</v>
      </c>
      <c r="T297" s="55"/>
      <c r="U297" s="55" t="s">
        <v>997</v>
      </c>
      <c r="V297" s="55" t="s">
        <v>1201</v>
      </c>
      <c r="W297" s="55" t="s">
        <v>2140</v>
      </c>
      <c r="X297" s="4"/>
      <c r="Y297" s="4"/>
      <c r="Z297" s="4"/>
    </row>
    <row r="298" customFormat="false" ht="15.75" hidden="false" customHeight="true" outlineLevel="0" collapsed="false">
      <c r="A298" s="55" t="n">
        <v>1900</v>
      </c>
      <c r="B298" s="55" t="s">
        <v>964</v>
      </c>
      <c r="C298" s="55" t="s">
        <v>965</v>
      </c>
      <c r="D298" s="55" t="s">
        <v>2234</v>
      </c>
      <c r="E298" s="55" t="s">
        <v>2235</v>
      </c>
      <c r="F298" s="55" t="s">
        <v>1195</v>
      </c>
      <c r="G298" s="55" t="s">
        <v>1195</v>
      </c>
      <c r="H298" s="55" t="s">
        <v>1196</v>
      </c>
      <c r="I298" s="55" t="s">
        <v>934</v>
      </c>
      <c r="J298" s="55" t="s">
        <v>2236</v>
      </c>
      <c r="K298" s="55" t="s">
        <v>889</v>
      </c>
      <c r="L298" s="55"/>
      <c r="M298" s="55"/>
      <c r="N298" s="55" t="s">
        <v>732</v>
      </c>
      <c r="O298" s="55"/>
      <c r="P298" s="55" t="s">
        <v>1539</v>
      </c>
      <c r="Q298" s="55"/>
      <c r="R298" s="55" t="n">
        <v>0</v>
      </c>
      <c r="S298" s="55" t="n">
        <v>43</v>
      </c>
      <c r="T298" s="55"/>
      <c r="U298" s="55" t="s">
        <v>965</v>
      </c>
      <c r="V298" s="55" t="s">
        <v>1201</v>
      </c>
      <c r="W298" s="55" t="s">
        <v>2140</v>
      </c>
      <c r="X298" s="4"/>
      <c r="Y298" s="4"/>
      <c r="Z298" s="4"/>
    </row>
    <row r="299" customFormat="false" ht="15.75" hidden="false" customHeight="true" outlineLevel="0" collapsed="false">
      <c r="A299" s="55" t="n">
        <v>1901</v>
      </c>
      <c r="B299" s="55" t="s">
        <v>966</v>
      </c>
      <c r="C299" s="55" t="s">
        <v>967</v>
      </c>
      <c r="D299" s="55" t="s">
        <v>2237</v>
      </c>
      <c r="E299" s="55" t="s">
        <v>2238</v>
      </c>
      <c r="F299" s="55" t="s">
        <v>1195</v>
      </c>
      <c r="G299" s="55" t="s">
        <v>1195</v>
      </c>
      <c r="H299" s="55" t="s">
        <v>1196</v>
      </c>
      <c r="I299" s="55" t="s">
        <v>934</v>
      </c>
      <c r="J299" s="55" t="s">
        <v>2239</v>
      </c>
      <c r="K299" s="55" t="s">
        <v>889</v>
      </c>
      <c r="L299" s="55"/>
      <c r="M299" s="55"/>
      <c r="N299" s="55" t="s">
        <v>732</v>
      </c>
      <c r="O299" s="55"/>
      <c r="P299" s="55" t="s">
        <v>1539</v>
      </c>
      <c r="Q299" s="55"/>
      <c r="R299" s="55" t="n">
        <v>0</v>
      </c>
      <c r="S299" s="55" t="n">
        <v>39</v>
      </c>
      <c r="T299" s="55"/>
      <c r="U299" s="55" t="s">
        <v>967</v>
      </c>
      <c r="V299" s="55" t="s">
        <v>1201</v>
      </c>
      <c r="W299" s="55" t="s">
        <v>2140</v>
      </c>
      <c r="X299" s="4"/>
      <c r="Y299" s="4"/>
      <c r="Z299" s="4"/>
    </row>
    <row r="300" customFormat="false" ht="15.75" hidden="false" customHeight="true" outlineLevel="0" collapsed="false">
      <c r="A300" s="55" t="n">
        <v>1903</v>
      </c>
      <c r="B300" s="55" t="s">
        <v>970</v>
      </c>
      <c r="C300" s="55" t="s">
        <v>971</v>
      </c>
      <c r="D300" s="55" t="s">
        <v>2240</v>
      </c>
      <c r="E300" s="55" t="s">
        <v>2241</v>
      </c>
      <c r="F300" s="55" t="s">
        <v>1195</v>
      </c>
      <c r="G300" s="55" t="s">
        <v>1195</v>
      </c>
      <c r="H300" s="55" t="s">
        <v>1196</v>
      </c>
      <c r="I300" s="55" t="s">
        <v>934</v>
      </c>
      <c r="J300" s="55" t="s">
        <v>2242</v>
      </c>
      <c r="K300" s="55" t="s">
        <v>889</v>
      </c>
      <c r="L300" s="55"/>
      <c r="M300" s="55"/>
      <c r="N300" s="55" t="s">
        <v>732</v>
      </c>
      <c r="O300" s="55"/>
      <c r="P300" s="55" t="s">
        <v>1539</v>
      </c>
      <c r="Q300" s="55"/>
      <c r="R300" s="55" t="n">
        <v>0</v>
      </c>
      <c r="S300" s="55" t="n">
        <v>7</v>
      </c>
      <c r="T300" s="55"/>
      <c r="U300" s="55" t="s">
        <v>971</v>
      </c>
      <c r="V300" s="55" t="s">
        <v>1201</v>
      </c>
      <c r="W300" s="55" t="s">
        <v>2140</v>
      </c>
      <c r="X300" s="4"/>
      <c r="Y300" s="4"/>
      <c r="Z300" s="4"/>
    </row>
    <row r="301" customFormat="false" ht="15.75" hidden="false" customHeight="true" outlineLevel="0" collapsed="false">
      <c r="A301" s="55" t="n">
        <v>1904</v>
      </c>
      <c r="B301" s="55" t="s">
        <v>972</v>
      </c>
      <c r="C301" s="55" t="s">
        <v>973</v>
      </c>
      <c r="D301" s="55" t="s">
        <v>2243</v>
      </c>
      <c r="E301" s="55" t="s">
        <v>2244</v>
      </c>
      <c r="F301" s="55" t="s">
        <v>1195</v>
      </c>
      <c r="G301" s="55" t="s">
        <v>1195</v>
      </c>
      <c r="H301" s="55" t="s">
        <v>1196</v>
      </c>
      <c r="I301" s="55" t="s">
        <v>934</v>
      </c>
      <c r="J301" s="55" t="s">
        <v>2245</v>
      </c>
      <c r="K301" s="55" t="s">
        <v>889</v>
      </c>
      <c r="L301" s="55"/>
      <c r="M301" s="55"/>
      <c r="N301" s="55" t="s">
        <v>732</v>
      </c>
      <c r="O301" s="55"/>
      <c r="P301" s="55" t="s">
        <v>1539</v>
      </c>
      <c r="Q301" s="55"/>
      <c r="R301" s="55" t="n">
        <v>0</v>
      </c>
      <c r="S301" s="55" t="n">
        <v>5</v>
      </c>
      <c r="T301" s="55"/>
      <c r="U301" s="55" t="s">
        <v>973</v>
      </c>
      <c r="V301" s="55" t="s">
        <v>1201</v>
      </c>
      <c r="W301" s="55" t="s">
        <v>2140</v>
      </c>
      <c r="X301" s="4"/>
      <c r="Y301" s="4"/>
      <c r="Z301" s="4"/>
    </row>
    <row r="302" customFormat="false" ht="15.75" hidden="false" customHeight="true" outlineLevel="0" collapsed="false">
      <c r="A302" s="55" t="n">
        <v>1905</v>
      </c>
      <c r="B302" s="55" t="s">
        <v>974</v>
      </c>
      <c r="C302" s="55" t="s">
        <v>975</v>
      </c>
      <c r="D302" s="55" t="s">
        <v>2246</v>
      </c>
      <c r="E302" s="55" t="s">
        <v>2247</v>
      </c>
      <c r="F302" s="55" t="s">
        <v>1195</v>
      </c>
      <c r="G302" s="55" t="s">
        <v>1195</v>
      </c>
      <c r="H302" s="55" t="s">
        <v>1196</v>
      </c>
      <c r="I302" s="55" t="s">
        <v>934</v>
      </c>
      <c r="J302" s="55" t="s">
        <v>2248</v>
      </c>
      <c r="K302" s="55" t="s">
        <v>889</v>
      </c>
      <c r="L302" s="55"/>
      <c r="M302" s="55"/>
      <c r="N302" s="55" t="s">
        <v>732</v>
      </c>
      <c r="O302" s="55"/>
      <c r="P302" s="55" t="s">
        <v>1539</v>
      </c>
      <c r="Q302" s="55"/>
      <c r="R302" s="55" t="n">
        <v>0</v>
      </c>
      <c r="S302" s="55" t="n">
        <v>15</v>
      </c>
      <c r="T302" s="55"/>
      <c r="U302" s="55" t="s">
        <v>975</v>
      </c>
      <c r="V302" s="55" t="s">
        <v>1201</v>
      </c>
      <c r="W302" s="55" t="s">
        <v>2140</v>
      </c>
      <c r="X302" s="4"/>
      <c r="Y302" s="4"/>
      <c r="Z302" s="4"/>
    </row>
    <row r="303" customFormat="false" ht="15.75" hidden="false" customHeight="true" outlineLevel="0" collapsed="false">
      <c r="A303" s="55" t="n">
        <v>1906</v>
      </c>
      <c r="B303" s="55" t="s">
        <v>976</v>
      </c>
      <c r="C303" s="55" t="s">
        <v>977</v>
      </c>
      <c r="D303" s="55" t="s">
        <v>2249</v>
      </c>
      <c r="E303" s="55" t="s">
        <v>2250</v>
      </c>
      <c r="F303" s="55" t="s">
        <v>1195</v>
      </c>
      <c r="G303" s="55" t="s">
        <v>1195</v>
      </c>
      <c r="H303" s="55" t="s">
        <v>1196</v>
      </c>
      <c r="I303" s="55" t="s">
        <v>934</v>
      </c>
      <c r="J303" s="55" t="s">
        <v>2251</v>
      </c>
      <c r="K303" s="55" t="s">
        <v>889</v>
      </c>
      <c r="L303" s="55"/>
      <c r="M303" s="55"/>
      <c r="N303" s="55" t="s">
        <v>732</v>
      </c>
      <c r="O303" s="55"/>
      <c r="P303" s="55" t="s">
        <v>1539</v>
      </c>
      <c r="Q303" s="55"/>
      <c r="R303" s="55" t="n">
        <v>0</v>
      </c>
      <c r="S303" s="55" t="n">
        <v>5</v>
      </c>
      <c r="T303" s="55"/>
      <c r="U303" s="55" t="s">
        <v>977</v>
      </c>
      <c r="V303" s="55" t="s">
        <v>1201</v>
      </c>
      <c r="W303" s="55" t="s">
        <v>2140</v>
      </c>
      <c r="X303" s="4"/>
      <c r="Y303" s="4"/>
      <c r="Z303" s="4"/>
    </row>
    <row r="304" customFormat="false" ht="15.75" hidden="false" customHeight="true" outlineLevel="0" collapsed="false">
      <c r="A304" s="55" t="n">
        <v>1907</v>
      </c>
      <c r="B304" s="55" t="s">
        <v>978</v>
      </c>
      <c r="C304" s="55" t="s">
        <v>979</v>
      </c>
      <c r="D304" s="55" t="s">
        <v>2252</v>
      </c>
      <c r="E304" s="55" t="s">
        <v>2253</v>
      </c>
      <c r="F304" s="55" t="s">
        <v>1195</v>
      </c>
      <c r="G304" s="55" t="s">
        <v>1195</v>
      </c>
      <c r="H304" s="55" t="s">
        <v>1196</v>
      </c>
      <c r="I304" s="55" t="s">
        <v>934</v>
      </c>
      <c r="J304" s="55" t="s">
        <v>2254</v>
      </c>
      <c r="K304" s="55" t="s">
        <v>889</v>
      </c>
      <c r="L304" s="55"/>
      <c r="M304" s="55"/>
      <c r="N304" s="55" t="s">
        <v>732</v>
      </c>
      <c r="O304" s="55"/>
      <c r="P304" s="55" t="s">
        <v>1539</v>
      </c>
      <c r="Q304" s="55"/>
      <c r="R304" s="55" t="n">
        <v>0</v>
      </c>
      <c r="S304" s="55" t="n">
        <v>13</v>
      </c>
      <c r="T304" s="55"/>
      <c r="U304" s="55" t="s">
        <v>979</v>
      </c>
      <c r="V304" s="55" t="s">
        <v>1201</v>
      </c>
      <c r="W304" s="55" t="s">
        <v>2140</v>
      </c>
      <c r="X304" s="4"/>
      <c r="Y304" s="4"/>
      <c r="Z304" s="4"/>
    </row>
    <row r="305" customFormat="false" ht="15.75" hidden="false" customHeight="true" outlineLevel="0" collapsed="false">
      <c r="A305" s="55" t="n">
        <v>1908</v>
      </c>
      <c r="B305" s="55" t="s">
        <v>980</v>
      </c>
      <c r="C305" s="55" t="s">
        <v>981</v>
      </c>
      <c r="D305" s="55" t="s">
        <v>2255</v>
      </c>
      <c r="E305" s="55" t="s">
        <v>2256</v>
      </c>
      <c r="F305" s="55" t="s">
        <v>1195</v>
      </c>
      <c r="G305" s="55" t="s">
        <v>1195</v>
      </c>
      <c r="H305" s="55" t="s">
        <v>1196</v>
      </c>
      <c r="I305" s="55" t="s">
        <v>934</v>
      </c>
      <c r="J305" s="55" t="s">
        <v>2257</v>
      </c>
      <c r="K305" s="55" t="s">
        <v>889</v>
      </c>
      <c r="L305" s="55"/>
      <c r="M305" s="55"/>
      <c r="N305" s="55" t="s">
        <v>732</v>
      </c>
      <c r="O305" s="55"/>
      <c r="P305" s="55" t="s">
        <v>1539</v>
      </c>
      <c r="Q305" s="55"/>
      <c r="R305" s="55" t="n">
        <v>0</v>
      </c>
      <c r="S305" s="55" t="n">
        <v>56</v>
      </c>
      <c r="T305" s="55"/>
      <c r="U305" s="55" t="s">
        <v>981</v>
      </c>
      <c r="V305" s="55" t="s">
        <v>1201</v>
      </c>
      <c r="W305" s="55" t="s">
        <v>2140</v>
      </c>
      <c r="X305" s="4"/>
      <c r="Y305" s="4"/>
      <c r="Z305" s="4"/>
    </row>
    <row r="306" customFormat="false" ht="15.75" hidden="false" customHeight="true" outlineLevel="0" collapsed="false">
      <c r="A306" s="55" t="n">
        <v>1909</v>
      </c>
      <c r="B306" s="55" t="s">
        <v>982</v>
      </c>
      <c r="C306" s="55" t="s">
        <v>983</v>
      </c>
      <c r="D306" s="55" t="s">
        <v>2258</v>
      </c>
      <c r="E306" s="55" t="s">
        <v>2259</v>
      </c>
      <c r="F306" s="55" t="s">
        <v>1195</v>
      </c>
      <c r="G306" s="55" t="s">
        <v>1195</v>
      </c>
      <c r="H306" s="55" t="s">
        <v>1196</v>
      </c>
      <c r="I306" s="55" t="s">
        <v>934</v>
      </c>
      <c r="J306" s="55" t="s">
        <v>2260</v>
      </c>
      <c r="K306" s="55" t="s">
        <v>889</v>
      </c>
      <c r="L306" s="55"/>
      <c r="M306" s="55"/>
      <c r="N306" s="55" t="s">
        <v>732</v>
      </c>
      <c r="O306" s="55"/>
      <c r="P306" s="55" t="s">
        <v>1539</v>
      </c>
      <c r="Q306" s="55"/>
      <c r="R306" s="55" t="n">
        <v>0</v>
      </c>
      <c r="S306" s="55" t="n">
        <v>18</v>
      </c>
      <c r="T306" s="55"/>
      <c r="U306" s="55" t="s">
        <v>983</v>
      </c>
      <c r="V306" s="55" t="s">
        <v>1201</v>
      </c>
      <c r="W306" s="55" t="s">
        <v>2140</v>
      </c>
      <c r="X306" s="4"/>
      <c r="Y306" s="4"/>
      <c r="Z306" s="4"/>
    </row>
    <row r="307" customFormat="false" ht="15.75" hidden="false" customHeight="true" outlineLevel="0" collapsed="false">
      <c r="A307" s="55" t="n">
        <v>1910</v>
      </c>
      <c r="B307" s="55" t="s">
        <v>984</v>
      </c>
      <c r="C307" s="55" t="s">
        <v>985</v>
      </c>
      <c r="D307" s="55" t="s">
        <v>2261</v>
      </c>
      <c r="E307" s="55" t="s">
        <v>2262</v>
      </c>
      <c r="F307" s="55" t="s">
        <v>1195</v>
      </c>
      <c r="G307" s="55" t="s">
        <v>1195</v>
      </c>
      <c r="H307" s="55" t="s">
        <v>1196</v>
      </c>
      <c r="I307" s="55" t="s">
        <v>934</v>
      </c>
      <c r="J307" s="55" t="s">
        <v>2263</v>
      </c>
      <c r="K307" s="55" t="s">
        <v>889</v>
      </c>
      <c r="L307" s="55"/>
      <c r="M307" s="55"/>
      <c r="N307" s="55" t="s">
        <v>732</v>
      </c>
      <c r="O307" s="55"/>
      <c r="P307" s="55" t="s">
        <v>1539</v>
      </c>
      <c r="Q307" s="55"/>
      <c r="R307" s="55" t="n">
        <v>0</v>
      </c>
      <c r="S307" s="55" t="n">
        <v>10</v>
      </c>
      <c r="T307" s="55"/>
      <c r="U307" s="55" t="s">
        <v>985</v>
      </c>
      <c r="V307" s="55" t="s">
        <v>1201</v>
      </c>
      <c r="W307" s="55" t="s">
        <v>2140</v>
      </c>
      <c r="X307" s="4"/>
      <c r="Y307" s="4"/>
      <c r="Z307" s="4"/>
    </row>
    <row r="308" customFormat="false" ht="15.75" hidden="false" customHeight="true" outlineLevel="0" collapsed="false">
      <c r="A308" s="55" t="n">
        <v>1911</v>
      </c>
      <c r="B308" s="55" t="s">
        <v>986</v>
      </c>
      <c r="C308" s="55" t="s">
        <v>987</v>
      </c>
      <c r="D308" s="55" t="s">
        <v>2264</v>
      </c>
      <c r="E308" s="55" t="s">
        <v>2265</v>
      </c>
      <c r="F308" s="55" t="s">
        <v>1195</v>
      </c>
      <c r="G308" s="55" t="s">
        <v>1195</v>
      </c>
      <c r="H308" s="55" t="s">
        <v>1196</v>
      </c>
      <c r="I308" s="55" t="s">
        <v>934</v>
      </c>
      <c r="J308" s="55" t="s">
        <v>2266</v>
      </c>
      <c r="K308" s="55" t="s">
        <v>889</v>
      </c>
      <c r="L308" s="55"/>
      <c r="M308" s="55"/>
      <c r="N308" s="55" t="s">
        <v>732</v>
      </c>
      <c r="O308" s="55"/>
      <c r="P308" s="55" t="s">
        <v>1539</v>
      </c>
      <c r="Q308" s="55"/>
      <c r="R308" s="55" t="n">
        <v>0</v>
      </c>
      <c r="S308" s="55" t="n">
        <v>6</v>
      </c>
      <c r="T308" s="55"/>
      <c r="U308" s="55" t="s">
        <v>987</v>
      </c>
      <c r="V308" s="55" t="s">
        <v>1201</v>
      </c>
      <c r="W308" s="55" t="s">
        <v>2140</v>
      </c>
      <c r="X308" s="4"/>
      <c r="Y308" s="4"/>
      <c r="Z308" s="4"/>
    </row>
    <row r="309" customFormat="false" ht="15.75" hidden="false" customHeight="true" outlineLevel="0" collapsed="false">
      <c r="A309" s="55" t="n">
        <v>1912</v>
      </c>
      <c r="B309" s="55" t="s">
        <v>988</v>
      </c>
      <c r="C309" s="55" t="s">
        <v>989</v>
      </c>
      <c r="D309" s="55" t="s">
        <v>2267</v>
      </c>
      <c r="E309" s="55" t="s">
        <v>2268</v>
      </c>
      <c r="F309" s="55" t="s">
        <v>1195</v>
      </c>
      <c r="G309" s="55" t="s">
        <v>1195</v>
      </c>
      <c r="H309" s="55" t="s">
        <v>1196</v>
      </c>
      <c r="I309" s="55" t="s">
        <v>934</v>
      </c>
      <c r="J309" s="55" t="s">
        <v>2269</v>
      </c>
      <c r="K309" s="55" t="s">
        <v>889</v>
      </c>
      <c r="L309" s="55"/>
      <c r="M309" s="55"/>
      <c r="N309" s="55" t="s">
        <v>732</v>
      </c>
      <c r="O309" s="55"/>
      <c r="P309" s="55" t="s">
        <v>1539</v>
      </c>
      <c r="Q309" s="55"/>
      <c r="R309" s="55" t="n">
        <v>0</v>
      </c>
      <c r="S309" s="55" t="n">
        <v>29</v>
      </c>
      <c r="T309" s="55"/>
      <c r="U309" s="55" t="s">
        <v>989</v>
      </c>
      <c r="V309" s="55" t="s">
        <v>1201</v>
      </c>
      <c r="W309" s="55" t="s">
        <v>2140</v>
      </c>
      <c r="X309" s="4"/>
      <c r="Y309" s="4"/>
      <c r="Z309" s="4"/>
    </row>
    <row r="310" customFormat="false" ht="15.75" hidden="false" customHeight="true" outlineLevel="0" collapsed="false">
      <c r="A310" s="55" t="n">
        <v>1913</v>
      </c>
      <c r="B310" s="55" t="s">
        <v>990</v>
      </c>
      <c r="C310" s="55" t="s">
        <v>991</v>
      </c>
      <c r="D310" s="55" t="s">
        <v>2270</v>
      </c>
      <c r="E310" s="55" t="s">
        <v>2271</v>
      </c>
      <c r="F310" s="55" t="s">
        <v>1195</v>
      </c>
      <c r="G310" s="55" t="s">
        <v>1195</v>
      </c>
      <c r="H310" s="55" t="s">
        <v>1196</v>
      </c>
      <c r="I310" s="55" t="s">
        <v>934</v>
      </c>
      <c r="J310" s="55" t="s">
        <v>2272</v>
      </c>
      <c r="K310" s="55" t="s">
        <v>889</v>
      </c>
      <c r="L310" s="55"/>
      <c r="M310" s="55"/>
      <c r="N310" s="55" t="s">
        <v>732</v>
      </c>
      <c r="O310" s="55"/>
      <c r="P310" s="55" t="s">
        <v>1539</v>
      </c>
      <c r="Q310" s="55"/>
      <c r="R310" s="55" t="n">
        <v>0</v>
      </c>
      <c r="S310" s="55" t="n">
        <v>14</v>
      </c>
      <c r="T310" s="55"/>
      <c r="U310" s="55" t="s">
        <v>991</v>
      </c>
      <c r="V310" s="55" t="s">
        <v>1201</v>
      </c>
      <c r="W310" s="55" t="s">
        <v>2140</v>
      </c>
      <c r="X310" s="4"/>
      <c r="Y310" s="4"/>
      <c r="Z310" s="4"/>
    </row>
    <row r="311" customFormat="false" ht="15.75" hidden="false" customHeight="true" outlineLevel="0" collapsed="false">
      <c r="A311" s="55" t="n">
        <v>1914</v>
      </c>
      <c r="B311" s="55" t="s">
        <v>992</v>
      </c>
      <c r="C311" s="55" t="s">
        <v>993</v>
      </c>
      <c r="D311" s="55" t="s">
        <v>2273</v>
      </c>
      <c r="E311" s="55" t="s">
        <v>2274</v>
      </c>
      <c r="F311" s="55" t="s">
        <v>1195</v>
      </c>
      <c r="G311" s="55" t="s">
        <v>1195</v>
      </c>
      <c r="H311" s="55" t="s">
        <v>1196</v>
      </c>
      <c r="I311" s="55" t="s">
        <v>934</v>
      </c>
      <c r="J311" s="55" t="s">
        <v>2275</v>
      </c>
      <c r="K311" s="55" t="s">
        <v>889</v>
      </c>
      <c r="L311" s="55"/>
      <c r="M311" s="55"/>
      <c r="N311" s="55" t="s">
        <v>732</v>
      </c>
      <c r="O311" s="55"/>
      <c r="P311" s="55" t="s">
        <v>1539</v>
      </c>
      <c r="Q311" s="55"/>
      <c r="R311" s="55" t="n">
        <v>0</v>
      </c>
      <c r="S311" s="55" t="n">
        <v>6</v>
      </c>
      <c r="T311" s="55"/>
      <c r="U311" s="55" t="s">
        <v>993</v>
      </c>
      <c r="V311" s="55" t="s">
        <v>1201</v>
      </c>
      <c r="W311" s="55" t="s">
        <v>2140</v>
      </c>
      <c r="X311" s="4"/>
      <c r="Y311" s="4"/>
      <c r="Z311" s="4"/>
    </row>
    <row r="312" customFormat="false" ht="15.75" hidden="false" customHeight="true" outlineLevel="0" collapsed="false">
      <c r="A312" s="55" t="n">
        <v>1915</v>
      </c>
      <c r="B312" s="55" t="s">
        <v>994</v>
      </c>
      <c r="C312" s="55" t="s">
        <v>995</v>
      </c>
      <c r="D312" s="55" t="s">
        <v>2276</v>
      </c>
      <c r="E312" s="55" t="s">
        <v>2277</v>
      </c>
      <c r="F312" s="55" t="s">
        <v>1195</v>
      </c>
      <c r="G312" s="55" t="s">
        <v>1195</v>
      </c>
      <c r="H312" s="55" t="s">
        <v>1196</v>
      </c>
      <c r="I312" s="55" t="s">
        <v>934</v>
      </c>
      <c r="J312" s="55" t="s">
        <v>2278</v>
      </c>
      <c r="K312" s="55" t="s">
        <v>889</v>
      </c>
      <c r="L312" s="55"/>
      <c r="M312" s="55"/>
      <c r="N312" s="55" t="s">
        <v>732</v>
      </c>
      <c r="O312" s="55"/>
      <c r="P312" s="55" t="s">
        <v>1539</v>
      </c>
      <c r="Q312" s="55"/>
      <c r="R312" s="55" t="n">
        <v>0</v>
      </c>
      <c r="S312" s="55" t="n">
        <v>33</v>
      </c>
      <c r="T312" s="55"/>
      <c r="U312" s="55" t="s">
        <v>995</v>
      </c>
      <c r="V312" s="55" t="s">
        <v>1201</v>
      </c>
      <c r="W312" s="55" t="s">
        <v>2140</v>
      </c>
      <c r="X312" s="4"/>
      <c r="Y312" s="4"/>
      <c r="Z312" s="4"/>
    </row>
    <row r="313" customFormat="false" ht="15.75" hidden="false" customHeight="true" outlineLevel="0" collapsed="false">
      <c r="A313" s="55" t="n">
        <v>1917</v>
      </c>
      <c r="B313" s="55" t="s">
        <v>998</v>
      </c>
      <c r="C313" s="55" t="s">
        <v>999</v>
      </c>
      <c r="D313" s="55" t="s">
        <v>2279</v>
      </c>
      <c r="E313" s="55" t="s">
        <v>2280</v>
      </c>
      <c r="F313" s="55" t="s">
        <v>1195</v>
      </c>
      <c r="G313" s="55" t="s">
        <v>1195</v>
      </c>
      <c r="H313" s="55" t="s">
        <v>1196</v>
      </c>
      <c r="I313" s="55" t="s">
        <v>934</v>
      </c>
      <c r="J313" s="55" t="s">
        <v>2281</v>
      </c>
      <c r="K313" s="55" t="s">
        <v>889</v>
      </c>
      <c r="L313" s="55"/>
      <c r="M313" s="55"/>
      <c r="N313" s="55" t="s">
        <v>732</v>
      </c>
      <c r="O313" s="55"/>
      <c r="P313" s="55" t="s">
        <v>1539</v>
      </c>
      <c r="Q313" s="55"/>
      <c r="R313" s="55" t="n">
        <v>0</v>
      </c>
      <c r="S313" s="55" t="n">
        <v>19</v>
      </c>
      <c r="T313" s="55"/>
      <c r="U313" s="55" t="s">
        <v>999</v>
      </c>
      <c r="V313" s="55" t="s">
        <v>1201</v>
      </c>
      <c r="W313" s="55" t="s">
        <v>2140</v>
      </c>
      <c r="X313" s="4"/>
      <c r="Y313" s="4"/>
      <c r="Z313" s="4"/>
    </row>
    <row r="314" customFormat="false" ht="15.75" hidden="false" customHeight="true" outlineLevel="0" collapsed="false">
      <c r="A314" s="55" t="n">
        <v>1902</v>
      </c>
      <c r="B314" s="55" t="s">
        <v>968</v>
      </c>
      <c r="C314" s="55" t="s">
        <v>969</v>
      </c>
      <c r="D314" s="55" t="s">
        <v>2282</v>
      </c>
      <c r="E314" s="55" t="s">
        <v>2283</v>
      </c>
      <c r="F314" s="55" t="s">
        <v>1195</v>
      </c>
      <c r="G314" s="55" t="s">
        <v>1195</v>
      </c>
      <c r="H314" s="55" t="s">
        <v>1196</v>
      </c>
      <c r="I314" s="55" t="s">
        <v>934</v>
      </c>
      <c r="J314" s="55" t="s">
        <v>2284</v>
      </c>
      <c r="K314" s="55" t="s">
        <v>889</v>
      </c>
      <c r="L314" s="55"/>
      <c r="M314" s="55"/>
      <c r="N314" s="55" t="s">
        <v>732</v>
      </c>
      <c r="O314" s="55"/>
      <c r="P314" s="55" t="s">
        <v>1539</v>
      </c>
      <c r="Q314" s="55"/>
      <c r="R314" s="55" t="n">
        <v>0</v>
      </c>
      <c r="S314" s="55" t="n">
        <v>21</v>
      </c>
      <c r="T314" s="55"/>
      <c r="U314" s="55" t="s">
        <v>969</v>
      </c>
      <c r="V314" s="55" t="s">
        <v>1201</v>
      </c>
      <c r="W314" s="55" t="s">
        <v>2140</v>
      </c>
      <c r="X314" s="4"/>
      <c r="Y314" s="4"/>
      <c r="Z314" s="4"/>
    </row>
    <row r="315" customFormat="false" ht="15.75" hidden="false" customHeight="true" outlineLevel="0" collapsed="false">
      <c r="A315" s="55" t="n">
        <v>1814</v>
      </c>
      <c r="B315" s="55" t="s">
        <v>791</v>
      </c>
      <c r="C315" s="55" t="s">
        <v>792</v>
      </c>
      <c r="D315" s="55" t="s">
        <v>2285</v>
      </c>
      <c r="E315" s="55" t="s">
        <v>2286</v>
      </c>
      <c r="F315" s="55" t="s">
        <v>1195</v>
      </c>
      <c r="G315" s="55" t="s">
        <v>1195</v>
      </c>
      <c r="H315" s="55" t="s">
        <v>1196</v>
      </c>
      <c r="I315" s="55" t="s">
        <v>738</v>
      </c>
      <c r="J315" s="55" t="s">
        <v>2287</v>
      </c>
      <c r="K315" s="55" t="s">
        <v>739</v>
      </c>
      <c r="L315" s="55"/>
      <c r="M315" s="55"/>
      <c r="N315" s="55" t="s">
        <v>732</v>
      </c>
      <c r="O315" s="55"/>
      <c r="P315" s="55" t="s">
        <v>1539</v>
      </c>
      <c r="Q315" s="55"/>
      <c r="R315" s="55" t="n">
        <v>0</v>
      </c>
      <c r="S315" s="55" t="n">
        <v>18</v>
      </c>
      <c r="T315" s="55"/>
      <c r="U315" s="55" t="s">
        <v>792</v>
      </c>
      <c r="V315" s="55" t="s">
        <v>1201</v>
      </c>
      <c r="W315" s="55" t="s">
        <v>2140</v>
      </c>
      <c r="X315" s="4"/>
      <c r="Y315" s="4"/>
      <c r="Z315" s="4"/>
    </row>
    <row r="316" customFormat="false" ht="15.75" hidden="false" customHeight="true" outlineLevel="0" collapsed="false">
      <c r="A316" s="55" t="n">
        <v>1855</v>
      </c>
      <c r="B316" s="55" t="s">
        <v>873</v>
      </c>
      <c r="C316" s="55" t="s">
        <v>874</v>
      </c>
      <c r="D316" s="55" t="s">
        <v>2288</v>
      </c>
      <c r="E316" s="55" t="s">
        <v>2289</v>
      </c>
      <c r="F316" s="55" t="s">
        <v>1195</v>
      </c>
      <c r="G316" s="55" t="s">
        <v>1195</v>
      </c>
      <c r="H316" s="55" t="s">
        <v>1196</v>
      </c>
      <c r="I316" s="55" t="s">
        <v>738</v>
      </c>
      <c r="J316" s="55" t="s">
        <v>2290</v>
      </c>
      <c r="K316" s="55" t="s">
        <v>739</v>
      </c>
      <c r="L316" s="55"/>
      <c r="M316" s="55"/>
      <c r="N316" s="55" t="s">
        <v>732</v>
      </c>
      <c r="O316" s="55"/>
      <c r="P316" s="55" t="s">
        <v>1539</v>
      </c>
      <c r="Q316" s="55"/>
      <c r="R316" s="55" t="n">
        <v>0</v>
      </c>
      <c r="S316" s="55" t="n">
        <v>11</v>
      </c>
      <c r="T316" s="55"/>
      <c r="U316" s="55" t="s">
        <v>874</v>
      </c>
      <c r="V316" s="55" t="s">
        <v>1201</v>
      </c>
      <c r="W316" s="55" t="s">
        <v>2140</v>
      </c>
      <c r="X316" s="4"/>
      <c r="Y316" s="4"/>
      <c r="Z316" s="4"/>
    </row>
    <row r="317" customFormat="false" ht="15.75" hidden="false" customHeight="true" outlineLevel="0" collapsed="false">
      <c r="A317" s="55" t="n">
        <v>1827</v>
      </c>
      <c r="B317" s="55" t="s">
        <v>817</v>
      </c>
      <c r="C317" s="55" t="s">
        <v>818</v>
      </c>
      <c r="D317" s="55" t="s">
        <v>2291</v>
      </c>
      <c r="E317" s="55" t="s">
        <v>2292</v>
      </c>
      <c r="F317" s="55" t="s">
        <v>1195</v>
      </c>
      <c r="G317" s="55" t="s">
        <v>1195</v>
      </c>
      <c r="H317" s="55" t="s">
        <v>1196</v>
      </c>
      <c r="I317" s="55" t="s">
        <v>738</v>
      </c>
      <c r="J317" s="55" t="s">
        <v>2293</v>
      </c>
      <c r="K317" s="55" t="s">
        <v>739</v>
      </c>
      <c r="L317" s="55"/>
      <c r="M317" s="55"/>
      <c r="N317" s="55" t="s">
        <v>732</v>
      </c>
      <c r="O317" s="55"/>
      <c r="P317" s="55" t="s">
        <v>1539</v>
      </c>
      <c r="Q317" s="55"/>
      <c r="R317" s="55" t="n">
        <v>0</v>
      </c>
      <c r="S317" s="55" t="n">
        <v>26</v>
      </c>
      <c r="T317" s="55"/>
      <c r="U317" s="55" t="s">
        <v>818</v>
      </c>
      <c r="V317" s="55" t="s">
        <v>1201</v>
      </c>
      <c r="W317" s="55" t="s">
        <v>2140</v>
      </c>
      <c r="X317" s="4"/>
      <c r="Y317" s="4"/>
      <c r="Z317" s="4"/>
    </row>
    <row r="318" customFormat="false" ht="15.75" hidden="false" customHeight="true" outlineLevel="0" collapsed="false">
      <c r="A318" s="55" t="n">
        <v>1826</v>
      </c>
      <c r="B318" s="55" t="s">
        <v>815</v>
      </c>
      <c r="C318" s="55" t="s">
        <v>816</v>
      </c>
      <c r="D318" s="55" t="s">
        <v>2294</v>
      </c>
      <c r="E318" s="55" t="s">
        <v>2295</v>
      </c>
      <c r="F318" s="55" t="s">
        <v>1195</v>
      </c>
      <c r="G318" s="55" t="s">
        <v>1195</v>
      </c>
      <c r="H318" s="55" t="s">
        <v>1196</v>
      </c>
      <c r="I318" s="55" t="s">
        <v>738</v>
      </c>
      <c r="J318" s="55" t="s">
        <v>2296</v>
      </c>
      <c r="K318" s="55" t="s">
        <v>739</v>
      </c>
      <c r="L318" s="55"/>
      <c r="M318" s="55"/>
      <c r="N318" s="55" t="s">
        <v>732</v>
      </c>
      <c r="O318" s="55"/>
      <c r="P318" s="55" t="s">
        <v>1539</v>
      </c>
      <c r="Q318" s="55"/>
      <c r="R318" s="55" t="n">
        <v>0</v>
      </c>
      <c r="S318" s="55" t="n">
        <v>32</v>
      </c>
      <c r="T318" s="55"/>
      <c r="U318" s="55" t="s">
        <v>816</v>
      </c>
      <c r="V318" s="55" t="s">
        <v>1201</v>
      </c>
      <c r="W318" s="55" t="s">
        <v>2140</v>
      </c>
      <c r="X318" s="4"/>
      <c r="Y318" s="4"/>
      <c r="Z318" s="4"/>
    </row>
    <row r="319" customFormat="false" ht="15.75" hidden="false" customHeight="true" outlineLevel="0" collapsed="false">
      <c r="A319" s="55" t="n">
        <v>1825</v>
      </c>
      <c r="B319" s="55" t="s">
        <v>813</v>
      </c>
      <c r="C319" s="55" t="s">
        <v>814</v>
      </c>
      <c r="D319" s="55" t="s">
        <v>2297</v>
      </c>
      <c r="E319" s="55" t="s">
        <v>2298</v>
      </c>
      <c r="F319" s="55" t="s">
        <v>1195</v>
      </c>
      <c r="G319" s="55" t="s">
        <v>1195</v>
      </c>
      <c r="H319" s="55" t="s">
        <v>1196</v>
      </c>
      <c r="I319" s="55" t="s">
        <v>738</v>
      </c>
      <c r="J319" s="55" t="s">
        <v>2299</v>
      </c>
      <c r="K319" s="55" t="s">
        <v>739</v>
      </c>
      <c r="L319" s="55"/>
      <c r="M319" s="55"/>
      <c r="N319" s="55" t="s">
        <v>732</v>
      </c>
      <c r="O319" s="55"/>
      <c r="P319" s="55" t="s">
        <v>1539</v>
      </c>
      <c r="Q319" s="55"/>
      <c r="R319" s="55" t="n">
        <v>0</v>
      </c>
      <c r="S319" s="55" t="n">
        <v>9</v>
      </c>
      <c r="T319" s="55"/>
      <c r="U319" s="55" t="s">
        <v>814</v>
      </c>
      <c r="V319" s="55" t="s">
        <v>1201</v>
      </c>
      <c r="W319" s="55" t="s">
        <v>2140</v>
      </c>
      <c r="X319" s="4"/>
      <c r="Y319" s="4"/>
      <c r="Z319" s="4"/>
    </row>
    <row r="320" customFormat="false" ht="15.75" hidden="false" customHeight="true" outlineLevel="0" collapsed="false">
      <c r="A320" s="55" t="n">
        <v>1824</v>
      </c>
      <c r="B320" s="55" t="s">
        <v>811</v>
      </c>
      <c r="C320" s="55" t="s">
        <v>812</v>
      </c>
      <c r="D320" s="55" t="s">
        <v>2300</v>
      </c>
      <c r="E320" s="55" t="s">
        <v>2301</v>
      </c>
      <c r="F320" s="55" t="s">
        <v>1195</v>
      </c>
      <c r="G320" s="55" t="s">
        <v>1195</v>
      </c>
      <c r="H320" s="55" t="s">
        <v>1196</v>
      </c>
      <c r="I320" s="55" t="s">
        <v>738</v>
      </c>
      <c r="J320" s="55" t="s">
        <v>2302</v>
      </c>
      <c r="K320" s="55" t="s">
        <v>739</v>
      </c>
      <c r="L320" s="55"/>
      <c r="M320" s="55"/>
      <c r="N320" s="55" t="s">
        <v>732</v>
      </c>
      <c r="O320" s="55"/>
      <c r="P320" s="55" t="s">
        <v>1539</v>
      </c>
      <c r="Q320" s="55"/>
      <c r="R320" s="55" t="n">
        <v>0</v>
      </c>
      <c r="S320" s="55" t="n">
        <v>37</v>
      </c>
      <c r="T320" s="55"/>
      <c r="U320" s="55" t="s">
        <v>812</v>
      </c>
      <c r="V320" s="55" t="s">
        <v>1201</v>
      </c>
      <c r="W320" s="55" t="s">
        <v>2140</v>
      </c>
      <c r="X320" s="4"/>
      <c r="Y320" s="4"/>
      <c r="Z320" s="4"/>
    </row>
    <row r="321" customFormat="false" ht="15.75" hidden="false" customHeight="true" outlineLevel="0" collapsed="false">
      <c r="A321" s="55" t="n">
        <v>1823</v>
      </c>
      <c r="B321" s="55" t="s">
        <v>809</v>
      </c>
      <c r="C321" s="55" t="s">
        <v>810</v>
      </c>
      <c r="D321" s="55" t="s">
        <v>2303</v>
      </c>
      <c r="E321" s="55" t="s">
        <v>2304</v>
      </c>
      <c r="F321" s="55" t="s">
        <v>1195</v>
      </c>
      <c r="G321" s="55" t="s">
        <v>1195</v>
      </c>
      <c r="H321" s="55" t="s">
        <v>1196</v>
      </c>
      <c r="I321" s="55" t="s">
        <v>738</v>
      </c>
      <c r="J321" s="55" t="s">
        <v>2305</v>
      </c>
      <c r="K321" s="55" t="s">
        <v>739</v>
      </c>
      <c r="L321" s="55"/>
      <c r="M321" s="55"/>
      <c r="N321" s="55" t="s">
        <v>732</v>
      </c>
      <c r="O321" s="55"/>
      <c r="P321" s="55" t="s">
        <v>1539</v>
      </c>
      <c r="Q321" s="55"/>
      <c r="R321" s="55" t="n">
        <v>0</v>
      </c>
      <c r="S321" s="55" t="n">
        <v>94</v>
      </c>
      <c r="T321" s="55"/>
      <c r="U321" s="55" t="s">
        <v>810</v>
      </c>
      <c r="V321" s="55" t="s">
        <v>1201</v>
      </c>
      <c r="W321" s="55" t="s">
        <v>2140</v>
      </c>
      <c r="X321" s="4"/>
      <c r="Y321" s="4"/>
      <c r="Z321" s="4"/>
    </row>
    <row r="322" customFormat="false" ht="15.75" hidden="false" customHeight="true" outlineLevel="0" collapsed="false">
      <c r="A322" s="55" t="n">
        <v>1822</v>
      </c>
      <c r="B322" s="55" t="s">
        <v>807</v>
      </c>
      <c r="C322" s="55" t="s">
        <v>808</v>
      </c>
      <c r="D322" s="55" t="s">
        <v>2306</v>
      </c>
      <c r="E322" s="55" t="s">
        <v>2307</v>
      </c>
      <c r="F322" s="55" t="s">
        <v>1195</v>
      </c>
      <c r="G322" s="55" t="s">
        <v>1195</v>
      </c>
      <c r="H322" s="55" t="s">
        <v>1196</v>
      </c>
      <c r="I322" s="55" t="s">
        <v>738</v>
      </c>
      <c r="J322" s="55" t="s">
        <v>2308</v>
      </c>
      <c r="K322" s="55" t="s">
        <v>739</v>
      </c>
      <c r="L322" s="55"/>
      <c r="M322" s="55"/>
      <c r="N322" s="55" t="s">
        <v>732</v>
      </c>
      <c r="O322" s="55"/>
      <c r="P322" s="55" t="s">
        <v>1539</v>
      </c>
      <c r="Q322" s="55"/>
      <c r="R322" s="55" t="n">
        <v>0</v>
      </c>
      <c r="S322" s="55" t="n">
        <v>103</v>
      </c>
      <c r="T322" s="55"/>
      <c r="U322" s="55" t="s">
        <v>808</v>
      </c>
      <c r="V322" s="55" t="s">
        <v>1201</v>
      </c>
      <c r="W322" s="55" t="s">
        <v>2140</v>
      </c>
      <c r="X322" s="4"/>
      <c r="Y322" s="4"/>
      <c r="Z322" s="4"/>
    </row>
    <row r="323" customFormat="false" ht="15.75" hidden="false" customHeight="true" outlineLevel="0" collapsed="false">
      <c r="A323" s="55" t="n">
        <v>1821</v>
      </c>
      <c r="B323" s="55" t="s">
        <v>805</v>
      </c>
      <c r="C323" s="55" t="s">
        <v>806</v>
      </c>
      <c r="D323" s="55" t="s">
        <v>2309</v>
      </c>
      <c r="E323" s="55" t="s">
        <v>2310</v>
      </c>
      <c r="F323" s="55" t="s">
        <v>1195</v>
      </c>
      <c r="G323" s="55" t="s">
        <v>1195</v>
      </c>
      <c r="H323" s="55" t="s">
        <v>1196</v>
      </c>
      <c r="I323" s="55" t="s">
        <v>738</v>
      </c>
      <c r="J323" s="55" t="s">
        <v>2311</v>
      </c>
      <c r="K323" s="55" t="s">
        <v>739</v>
      </c>
      <c r="L323" s="55"/>
      <c r="M323" s="55"/>
      <c r="N323" s="55" t="s">
        <v>732</v>
      </c>
      <c r="O323" s="55"/>
      <c r="P323" s="55" t="s">
        <v>1539</v>
      </c>
      <c r="Q323" s="55"/>
      <c r="R323" s="55" t="n">
        <v>0</v>
      </c>
      <c r="S323" s="55" t="n">
        <v>10</v>
      </c>
      <c r="T323" s="55"/>
      <c r="U323" s="55" t="s">
        <v>806</v>
      </c>
      <c r="V323" s="55" t="s">
        <v>1201</v>
      </c>
      <c r="W323" s="55" t="s">
        <v>2140</v>
      </c>
      <c r="X323" s="4"/>
      <c r="Y323" s="4"/>
      <c r="Z323" s="4"/>
    </row>
    <row r="324" customFormat="false" ht="15.75" hidden="false" customHeight="true" outlineLevel="0" collapsed="false">
      <c r="A324" s="55" t="n">
        <v>1820</v>
      </c>
      <c r="B324" s="55" t="s">
        <v>803</v>
      </c>
      <c r="C324" s="55" t="s">
        <v>804</v>
      </c>
      <c r="D324" s="55" t="s">
        <v>2312</v>
      </c>
      <c r="E324" s="55" t="s">
        <v>2313</v>
      </c>
      <c r="F324" s="55" t="s">
        <v>1195</v>
      </c>
      <c r="G324" s="55" t="s">
        <v>1195</v>
      </c>
      <c r="H324" s="55" t="s">
        <v>1196</v>
      </c>
      <c r="I324" s="55" t="s">
        <v>738</v>
      </c>
      <c r="J324" s="55" t="s">
        <v>2314</v>
      </c>
      <c r="K324" s="55" t="s">
        <v>739</v>
      </c>
      <c r="L324" s="55"/>
      <c r="M324" s="55"/>
      <c r="N324" s="55" t="s">
        <v>732</v>
      </c>
      <c r="O324" s="55"/>
      <c r="P324" s="55" t="s">
        <v>1539</v>
      </c>
      <c r="Q324" s="55"/>
      <c r="R324" s="55" t="n">
        <v>0</v>
      </c>
      <c r="S324" s="55" t="n">
        <v>14</v>
      </c>
      <c r="T324" s="55"/>
      <c r="U324" s="55" t="s">
        <v>804</v>
      </c>
      <c r="V324" s="55" t="s">
        <v>1201</v>
      </c>
      <c r="W324" s="55" t="s">
        <v>2140</v>
      </c>
      <c r="X324" s="4"/>
      <c r="Y324" s="4"/>
      <c r="Z324" s="4"/>
    </row>
    <row r="325" customFormat="false" ht="15.75" hidden="false" customHeight="true" outlineLevel="0" collapsed="false">
      <c r="A325" s="55" t="n">
        <v>1819</v>
      </c>
      <c r="B325" s="55" t="s">
        <v>801</v>
      </c>
      <c r="C325" s="55" t="s">
        <v>802</v>
      </c>
      <c r="D325" s="55" t="s">
        <v>2315</v>
      </c>
      <c r="E325" s="55" t="s">
        <v>2316</v>
      </c>
      <c r="F325" s="55" t="s">
        <v>1195</v>
      </c>
      <c r="G325" s="55" t="s">
        <v>1195</v>
      </c>
      <c r="H325" s="55" t="s">
        <v>1196</v>
      </c>
      <c r="I325" s="55" t="s">
        <v>738</v>
      </c>
      <c r="J325" s="55" t="s">
        <v>2317</v>
      </c>
      <c r="K325" s="55" t="s">
        <v>739</v>
      </c>
      <c r="L325" s="55"/>
      <c r="M325" s="55"/>
      <c r="N325" s="55" t="s">
        <v>732</v>
      </c>
      <c r="O325" s="55"/>
      <c r="P325" s="55" t="s">
        <v>1539</v>
      </c>
      <c r="Q325" s="55"/>
      <c r="R325" s="55" t="n">
        <v>0</v>
      </c>
      <c r="S325" s="55" t="n">
        <v>27</v>
      </c>
      <c r="T325" s="55"/>
      <c r="U325" s="55" t="s">
        <v>802</v>
      </c>
      <c r="V325" s="55" t="s">
        <v>1201</v>
      </c>
      <c r="W325" s="55" t="s">
        <v>2140</v>
      </c>
      <c r="X325" s="4"/>
      <c r="Y325" s="4"/>
      <c r="Z325" s="4"/>
    </row>
    <row r="326" customFormat="false" ht="15.75" hidden="false" customHeight="true" outlineLevel="0" collapsed="false">
      <c r="A326" s="55" t="n">
        <v>1818</v>
      </c>
      <c r="B326" s="55" t="s">
        <v>799</v>
      </c>
      <c r="C326" s="55" t="s">
        <v>800</v>
      </c>
      <c r="D326" s="55" t="s">
        <v>2318</v>
      </c>
      <c r="E326" s="55" t="s">
        <v>2319</v>
      </c>
      <c r="F326" s="55" t="s">
        <v>1195</v>
      </c>
      <c r="G326" s="55" t="s">
        <v>1195</v>
      </c>
      <c r="H326" s="55" t="s">
        <v>1196</v>
      </c>
      <c r="I326" s="55" t="s">
        <v>738</v>
      </c>
      <c r="J326" s="55" t="s">
        <v>2320</v>
      </c>
      <c r="K326" s="55" t="s">
        <v>739</v>
      </c>
      <c r="L326" s="55"/>
      <c r="M326" s="55"/>
      <c r="N326" s="55" t="s">
        <v>732</v>
      </c>
      <c r="O326" s="55"/>
      <c r="P326" s="55" t="s">
        <v>1539</v>
      </c>
      <c r="Q326" s="55"/>
      <c r="R326" s="55" t="n">
        <v>0</v>
      </c>
      <c r="S326" s="55" t="n">
        <v>14</v>
      </c>
      <c r="T326" s="55"/>
      <c r="U326" s="55" t="s">
        <v>800</v>
      </c>
      <c r="V326" s="55" t="s">
        <v>1201</v>
      </c>
      <c r="W326" s="55" t="s">
        <v>2140</v>
      </c>
      <c r="X326" s="4"/>
      <c r="Y326" s="4"/>
      <c r="Z326" s="4"/>
    </row>
    <row r="327" customFormat="false" ht="15.75" hidden="false" customHeight="true" outlineLevel="0" collapsed="false">
      <c r="A327" s="55" t="n">
        <v>1816</v>
      </c>
      <c r="B327" s="55" t="s">
        <v>795</v>
      </c>
      <c r="C327" s="55" t="s">
        <v>796</v>
      </c>
      <c r="D327" s="55" t="s">
        <v>2321</v>
      </c>
      <c r="E327" s="55" t="s">
        <v>2322</v>
      </c>
      <c r="F327" s="55" t="s">
        <v>1195</v>
      </c>
      <c r="G327" s="55" t="s">
        <v>1195</v>
      </c>
      <c r="H327" s="55" t="s">
        <v>1196</v>
      </c>
      <c r="I327" s="55" t="s">
        <v>738</v>
      </c>
      <c r="J327" s="55" t="s">
        <v>2323</v>
      </c>
      <c r="K327" s="55" t="s">
        <v>739</v>
      </c>
      <c r="L327" s="55"/>
      <c r="M327" s="55"/>
      <c r="N327" s="55" t="s">
        <v>732</v>
      </c>
      <c r="O327" s="55"/>
      <c r="P327" s="55" t="s">
        <v>1539</v>
      </c>
      <c r="Q327" s="55"/>
      <c r="R327" s="55" t="n">
        <v>0</v>
      </c>
      <c r="S327" s="55" t="n">
        <v>45</v>
      </c>
      <c r="T327" s="55"/>
      <c r="U327" s="55" t="s">
        <v>796</v>
      </c>
      <c r="V327" s="55" t="s">
        <v>1201</v>
      </c>
      <c r="W327" s="55" t="s">
        <v>2140</v>
      </c>
      <c r="X327" s="4"/>
      <c r="Y327" s="4"/>
      <c r="Z327" s="4"/>
    </row>
    <row r="328" customFormat="false" ht="15.75" hidden="false" customHeight="true" outlineLevel="0" collapsed="false">
      <c r="A328" s="55" t="n">
        <v>1815</v>
      </c>
      <c r="B328" s="55" t="s">
        <v>793</v>
      </c>
      <c r="C328" s="55" t="s">
        <v>794</v>
      </c>
      <c r="D328" s="55" t="s">
        <v>2324</v>
      </c>
      <c r="E328" s="55" t="s">
        <v>2325</v>
      </c>
      <c r="F328" s="55" t="s">
        <v>1195</v>
      </c>
      <c r="G328" s="55" t="s">
        <v>1195</v>
      </c>
      <c r="H328" s="55" t="s">
        <v>1196</v>
      </c>
      <c r="I328" s="55" t="s">
        <v>738</v>
      </c>
      <c r="J328" s="55" t="s">
        <v>2326</v>
      </c>
      <c r="K328" s="55" t="s">
        <v>739</v>
      </c>
      <c r="L328" s="55"/>
      <c r="M328" s="55"/>
      <c r="N328" s="55" t="s">
        <v>732</v>
      </c>
      <c r="O328" s="55"/>
      <c r="P328" s="55" t="s">
        <v>1539</v>
      </c>
      <c r="Q328" s="55"/>
      <c r="R328" s="55" t="n">
        <v>0</v>
      </c>
      <c r="S328" s="55" t="n">
        <v>116</v>
      </c>
      <c r="T328" s="55"/>
      <c r="U328" s="55" t="s">
        <v>794</v>
      </c>
      <c r="V328" s="55" t="s">
        <v>1201</v>
      </c>
      <c r="W328" s="55" t="s">
        <v>2140</v>
      </c>
      <c r="X328" s="4"/>
      <c r="Y328" s="4"/>
      <c r="Z328" s="4"/>
    </row>
    <row r="329" customFormat="false" ht="15.75" hidden="false" customHeight="true" outlineLevel="0" collapsed="false">
      <c r="A329" s="55" t="n">
        <v>1813</v>
      </c>
      <c r="B329" s="55" t="s">
        <v>789</v>
      </c>
      <c r="C329" s="55" t="s">
        <v>790</v>
      </c>
      <c r="D329" s="55" t="s">
        <v>2327</v>
      </c>
      <c r="E329" s="55" t="s">
        <v>2328</v>
      </c>
      <c r="F329" s="55" t="s">
        <v>1195</v>
      </c>
      <c r="G329" s="55" t="s">
        <v>1195</v>
      </c>
      <c r="H329" s="55" t="s">
        <v>1196</v>
      </c>
      <c r="I329" s="55" t="s">
        <v>738</v>
      </c>
      <c r="J329" s="55" t="s">
        <v>2329</v>
      </c>
      <c r="K329" s="55" t="s">
        <v>739</v>
      </c>
      <c r="L329" s="55"/>
      <c r="M329" s="55"/>
      <c r="N329" s="55" t="s">
        <v>732</v>
      </c>
      <c r="O329" s="55"/>
      <c r="P329" s="55" t="s">
        <v>1539</v>
      </c>
      <c r="Q329" s="55"/>
      <c r="R329" s="55" t="n">
        <v>0</v>
      </c>
      <c r="S329" s="55" t="n">
        <v>20</v>
      </c>
      <c r="T329" s="55"/>
      <c r="U329" s="55" t="s">
        <v>790</v>
      </c>
      <c r="V329" s="55" t="s">
        <v>1201</v>
      </c>
      <c r="W329" s="55" t="s">
        <v>2140</v>
      </c>
      <c r="X329" s="4"/>
      <c r="Y329" s="4"/>
      <c r="Z329" s="4"/>
    </row>
    <row r="330" customFormat="false" ht="15.75" hidden="false" customHeight="true" outlineLevel="0" collapsed="false">
      <c r="A330" s="55" t="n">
        <v>1812</v>
      </c>
      <c r="B330" s="55" t="s">
        <v>787</v>
      </c>
      <c r="C330" s="55" t="s">
        <v>788</v>
      </c>
      <c r="D330" s="55" t="s">
        <v>2330</v>
      </c>
      <c r="E330" s="55" t="s">
        <v>2331</v>
      </c>
      <c r="F330" s="55" t="s">
        <v>1195</v>
      </c>
      <c r="G330" s="55" t="s">
        <v>1195</v>
      </c>
      <c r="H330" s="55" t="s">
        <v>1196</v>
      </c>
      <c r="I330" s="55" t="s">
        <v>738</v>
      </c>
      <c r="J330" s="55" t="s">
        <v>2332</v>
      </c>
      <c r="K330" s="55" t="s">
        <v>739</v>
      </c>
      <c r="L330" s="55"/>
      <c r="M330" s="55"/>
      <c r="N330" s="55" t="s">
        <v>732</v>
      </c>
      <c r="O330" s="55"/>
      <c r="P330" s="55" t="s">
        <v>1539</v>
      </c>
      <c r="Q330" s="55"/>
      <c r="R330" s="55" t="n">
        <v>0</v>
      </c>
      <c r="S330" s="55" t="n">
        <v>46</v>
      </c>
      <c r="T330" s="55"/>
      <c r="U330" s="55" t="s">
        <v>788</v>
      </c>
      <c r="V330" s="55" t="s">
        <v>1201</v>
      </c>
      <c r="W330" s="55" t="s">
        <v>2140</v>
      </c>
      <c r="X330" s="4"/>
      <c r="Y330" s="4"/>
      <c r="Z330" s="4"/>
    </row>
    <row r="331" customFormat="false" ht="15.75" hidden="false" customHeight="true" outlineLevel="0" collapsed="false">
      <c r="A331" s="55" t="n">
        <v>1811</v>
      </c>
      <c r="B331" s="55" t="s">
        <v>785</v>
      </c>
      <c r="C331" s="55" t="s">
        <v>786</v>
      </c>
      <c r="D331" s="55" t="s">
        <v>2333</v>
      </c>
      <c r="E331" s="55" t="s">
        <v>2334</v>
      </c>
      <c r="F331" s="55" t="s">
        <v>1195</v>
      </c>
      <c r="G331" s="55" t="s">
        <v>1195</v>
      </c>
      <c r="H331" s="55" t="s">
        <v>1196</v>
      </c>
      <c r="I331" s="55" t="s">
        <v>738</v>
      </c>
      <c r="J331" s="55" t="s">
        <v>2335</v>
      </c>
      <c r="K331" s="55" t="s">
        <v>739</v>
      </c>
      <c r="L331" s="55"/>
      <c r="M331" s="55"/>
      <c r="N331" s="55" t="s">
        <v>732</v>
      </c>
      <c r="O331" s="55"/>
      <c r="P331" s="55" t="s">
        <v>1539</v>
      </c>
      <c r="Q331" s="55"/>
      <c r="R331" s="55" t="n">
        <v>0</v>
      </c>
      <c r="S331" s="55" t="n">
        <v>30</v>
      </c>
      <c r="T331" s="55"/>
      <c r="U331" s="55" t="s">
        <v>786</v>
      </c>
      <c r="V331" s="55" t="s">
        <v>1201</v>
      </c>
      <c r="W331" s="55" t="s">
        <v>2140</v>
      </c>
      <c r="X331" s="4"/>
      <c r="Y331" s="4"/>
      <c r="Z331" s="4"/>
    </row>
    <row r="332" customFormat="false" ht="15.75" hidden="false" customHeight="true" outlineLevel="0" collapsed="false">
      <c r="A332" s="55" t="n">
        <v>1810</v>
      </c>
      <c r="B332" s="55" t="s">
        <v>783</v>
      </c>
      <c r="C332" s="55" t="s">
        <v>784</v>
      </c>
      <c r="D332" s="55" t="s">
        <v>2336</v>
      </c>
      <c r="E332" s="55" t="s">
        <v>2337</v>
      </c>
      <c r="F332" s="55" t="s">
        <v>1195</v>
      </c>
      <c r="G332" s="55" t="s">
        <v>1195</v>
      </c>
      <c r="H332" s="55" t="s">
        <v>1196</v>
      </c>
      <c r="I332" s="55" t="s">
        <v>738</v>
      </c>
      <c r="J332" s="55" t="s">
        <v>2338</v>
      </c>
      <c r="K332" s="55" t="s">
        <v>739</v>
      </c>
      <c r="L332" s="55"/>
      <c r="M332" s="55"/>
      <c r="N332" s="55" t="s">
        <v>732</v>
      </c>
      <c r="O332" s="55"/>
      <c r="P332" s="55" t="s">
        <v>1539</v>
      </c>
      <c r="Q332" s="55"/>
      <c r="R332" s="55" t="n">
        <v>0</v>
      </c>
      <c r="S332" s="55" t="n">
        <v>34</v>
      </c>
      <c r="T332" s="55"/>
      <c r="U332" s="55" t="s">
        <v>784</v>
      </c>
      <c r="V332" s="55" t="s">
        <v>1201</v>
      </c>
      <c r="W332" s="55" t="s">
        <v>2140</v>
      </c>
      <c r="X332" s="4"/>
      <c r="Y332" s="4"/>
      <c r="Z332" s="4"/>
    </row>
    <row r="333" customFormat="false" ht="15.75" hidden="false" customHeight="true" outlineLevel="0" collapsed="false">
      <c r="A333" s="55" t="n">
        <v>1809</v>
      </c>
      <c r="B333" s="55" t="s">
        <v>781</v>
      </c>
      <c r="C333" s="55" t="s">
        <v>782</v>
      </c>
      <c r="D333" s="55" t="s">
        <v>2339</v>
      </c>
      <c r="E333" s="55" t="s">
        <v>2340</v>
      </c>
      <c r="F333" s="55" t="s">
        <v>1195</v>
      </c>
      <c r="G333" s="55" t="s">
        <v>1195</v>
      </c>
      <c r="H333" s="55" t="s">
        <v>1196</v>
      </c>
      <c r="I333" s="55" t="s">
        <v>738</v>
      </c>
      <c r="J333" s="55" t="s">
        <v>2341</v>
      </c>
      <c r="K333" s="55" t="s">
        <v>739</v>
      </c>
      <c r="L333" s="55"/>
      <c r="M333" s="55"/>
      <c r="N333" s="55" t="s">
        <v>732</v>
      </c>
      <c r="O333" s="55"/>
      <c r="P333" s="55" t="s">
        <v>1539</v>
      </c>
      <c r="Q333" s="55"/>
      <c r="R333" s="55" t="n">
        <v>0</v>
      </c>
      <c r="S333" s="55" t="n">
        <v>98</v>
      </c>
      <c r="T333" s="55"/>
      <c r="U333" s="55" t="s">
        <v>2342</v>
      </c>
      <c r="V333" s="55" t="s">
        <v>2343</v>
      </c>
      <c r="W333" s="55" t="s">
        <v>2140</v>
      </c>
      <c r="X333" s="4"/>
      <c r="Y333" s="4"/>
      <c r="Z333" s="4"/>
    </row>
    <row r="334" customFormat="false" ht="15.75" hidden="false" customHeight="true" outlineLevel="0" collapsed="false">
      <c r="A334" s="55" t="n">
        <v>1808</v>
      </c>
      <c r="B334" s="55" t="s">
        <v>779</v>
      </c>
      <c r="C334" s="55" t="s">
        <v>780</v>
      </c>
      <c r="D334" s="55" t="s">
        <v>2344</v>
      </c>
      <c r="E334" s="55" t="s">
        <v>2345</v>
      </c>
      <c r="F334" s="55" t="s">
        <v>1195</v>
      </c>
      <c r="G334" s="55" t="s">
        <v>1195</v>
      </c>
      <c r="H334" s="55" t="s">
        <v>1196</v>
      </c>
      <c r="I334" s="55" t="s">
        <v>738</v>
      </c>
      <c r="J334" s="55" t="s">
        <v>2346</v>
      </c>
      <c r="K334" s="55" t="s">
        <v>739</v>
      </c>
      <c r="L334" s="55"/>
      <c r="M334" s="55"/>
      <c r="N334" s="55" t="s">
        <v>732</v>
      </c>
      <c r="O334" s="55"/>
      <c r="P334" s="55" t="s">
        <v>1539</v>
      </c>
      <c r="Q334" s="55"/>
      <c r="R334" s="55" t="n">
        <v>0</v>
      </c>
      <c r="S334" s="55" t="n">
        <v>26</v>
      </c>
      <c r="T334" s="55"/>
      <c r="U334" s="55" t="s">
        <v>780</v>
      </c>
      <c r="V334" s="55" t="s">
        <v>1201</v>
      </c>
      <c r="W334" s="55" t="s">
        <v>2140</v>
      </c>
      <c r="X334" s="4"/>
      <c r="Y334" s="4"/>
      <c r="Z334" s="4"/>
    </row>
    <row r="335" customFormat="false" ht="15.75" hidden="false" customHeight="true" outlineLevel="0" collapsed="false">
      <c r="A335" s="55" t="n">
        <v>1807</v>
      </c>
      <c r="B335" s="55" t="s">
        <v>777</v>
      </c>
      <c r="C335" s="55" t="s">
        <v>778</v>
      </c>
      <c r="D335" s="55" t="s">
        <v>2347</v>
      </c>
      <c r="E335" s="55" t="s">
        <v>2348</v>
      </c>
      <c r="F335" s="55" t="s">
        <v>1195</v>
      </c>
      <c r="G335" s="55" t="s">
        <v>1195</v>
      </c>
      <c r="H335" s="55" t="s">
        <v>1196</v>
      </c>
      <c r="I335" s="55" t="s">
        <v>738</v>
      </c>
      <c r="J335" s="55" t="s">
        <v>2349</v>
      </c>
      <c r="K335" s="55" t="s">
        <v>739</v>
      </c>
      <c r="L335" s="55"/>
      <c r="M335" s="55"/>
      <c r="N335" s="55" t="s">
        <v>732</v>
      </c>
      <c r="O335" s="55"/>
      <c r="P335" s="55" t="s">
        <v>1539</v>
      </c>
      <c r="Q335" s="55"/>
      <c r="R335" s="55" t="n">
        <v>0</v>
      </c>
      <c r="S335" s="55" t="n">
        <v>47</v>
      </c>
      <c r="T335" s="55"/>
      <c r="U335" s="55" t="s">
        <v>778</v>
      </c>
      <c r="V335" s="55" t="s">
        <v>1201</v>
      </c>
      <c r="W335" s="55" t="s">
        <v>2140</v>
      </c>
      <c r="X335" s="4"/>
      <c r="Y335" s="4"/>
      <c r="Z335" s="4"/>
    </row>
    <row r="336" customFormat="false" ht="15.75" hidden="false" customHeight="true" outlineLevel="0" collapsed="false">
      <c r="A336" s="55" t="n">
        <v>1805</v>
      </c>
      <c r="B336" s="55" t="s">
        <v>773</v>
      </c>
      <c r="C336" s="55" t="s">
        <v>774</v>
      </c>
      <c r="D336" s="55" t="s">
        <v>2350</v>
      </c>
      <c r="E336" s="55" t="s">
        <v>2351</v>
      </c>
      <c r="F336" s="55" t="s">
        <v>1195</v>
      </c>
      <c r="G336" s="55" t="s">
        <v>1195</v>
      </c>
      <c r="H336" s="55" t="s">
        <v>1196</v>
      </c>
      <c r="I336" s="55" t="s">
        <v>738</v>
      </c>
      <c r="J336" s="55" t="s">
        <v>2352</v>
      </c>
      <c r="K336" s="55" t="s">
        <v>739</v>
      </c>
      <c r="L336" s="55"/>
      <c r="M336" s="55"/>
      <c r="N336" s="55" t="s">
        <v>732</v>
      </c>
      <c r="O336" s="55"/>
      <c r="P336" s="55" t="s">
        <v>1539</v>
      </c>
      <c r="Q336" s="55"/>
      <c r="R336" s="55" t="n">
        <v>0</v>
      </c>
      <c r="S336" s="55" t="n">
        <v>40</v>
      </c>
      <c r="T336" s="55"/>
      <c r="U336" s="55" t="s">
        <v>2353</v>
      </c>
      <c r="V336" s="55" t="s">
        <v>2354</v>
      </c>
      <c r="W336" s="55" t="s">
        <v>2140</v>
      </c>
      <c r="X336" s="4"/>
      <c r="Y336" s="4"/>
      <c r="Z336" s="4"/>
    </row>
    <row r="337" customFormat="false" ht="15.75" hidden="false" customHeight="true" outlineLevel="0" collapsed="false">
      <c r="A337" s="55" t="n">
        <v>1804</v>
      </c>
      <c r="B337" s="55" t="s">
        <v>771</v>
      </c>
      <c r="C337" s="55" t="s">
        <v>772</v>
      </c>
      <c r="D337" s="55" t="s">
        <v>2355</v>
      </c>
      <c r="E337" s="55" t="s">
        <v>2356</v>
      </c>
      <c r="F337" s="55" t="s">
        <v>1195</v>
      </c>
      <c r="G337" s="55" t="s">
        <v>1195</v>
      </c>
      <c r="H337" s="55" t="s">
        <v>1196</v>
      </c>
      <c r="I337" s="55" t="s">
        <v>738</v>
      </c>
      <c r="J337" s="55" t="s">
        <v>2357</v>
      </c>
      <c r="K337" s="55" t="s">
        <v>739</v>
      </c>
      <c r="L337" s="55"/>
      <c r="M337" s="55"/>
      <c r="N337" s="55" t="s">
        <v>732</v>
      </c>
      <c r="O337" s="55"/>
      <c r="P337" s="55" t="s">
        <v>1539</v>
      </c>
      <c r="Q337" s="55"/>
      <c r="R337" s="55" t="n">
        <v>0</v>
      </c>
      <c r="S337" s="55" t="n">
        <v>105</v>
      </c>
      <c r="T337" s="55"/>
      <c r="U337" s="55" t="s">
        <v>2358</v>
      </c>
      <c r="V337" s="55" t="s">
        <v>2359</v>
      </c>
      <c r="W337" s="55" t="s">
        <v>2140</v>
      </c>
      <c r="X337" s="4"/>
      <c r="Y337" s="4"/>
      <c r="Z337" s="4"/>
    </row>
    <row r="338" customFormat="false" ht="15.75" hidden="false" customHeight="true" outlineLevel="0" collapsed="false">
      <c r="A338" s="55" t="n">
        <v>1801</v>
      </c>
      <c r="B338" s="55" t="s">
        <v>767</v>
      </c>
      <c r="C338" s="55" t="s">
        <v>768</v>
      </c>
      <c r="D338" s="55" t="s">
        <v>2360</v>
      </c>
      <c r="E338" s="55" t="s">
        <v>2361</v>
      </c>
      <c r="F338" s="55" t="s">
        <v>1195</v>
      </c>
      <c r="G338" s="55" t="s">
        <v>1195</v>
      </c>
      <c r="H338" s="55" t="s">
        <v>1196</v>
      </c>
      <c r="I338" s="55" t="s">
        <v>738</v>
      </c>
      <c r="J338" s="55" t="s">
        <v>2362</v>
      </c>
      <c r="K338" s="55" t="s">
        <v>739</v>
      </c>
      <c r="L338" s="55"/>
      <c r="M338" s="55"/>
      <c r="N338" s="55" t="s">
        <v>732</v>
      </c>
      <c r="O338" s="55"/>
      <c r="P338" s="55" t="s">
        <v>1539</v>
      </c>
      <c r="Q338" s="55"/>
      <c r="R338" s="55" t="n">
        <v>0</v>
      </c>
      <c r="S338" s="55" t="n">
        <v>150</v>
      </c>
      <c r="T338" s="55"/>
      <c r="U338" s="55" t="s">
        <v>2363</v>
      </c>
      <c r="V338" s="55" t="s">
        <v>2364</v>
      </c>
      <c r="W338" s="55" t="s">
        <v>2140</v>
      </c>
      <c r="X338" s="4"/>
      <c r="Y338" s="4"/>
      <c r="Z338" s="4"/>
    </row>
    <row r="339" customFormat="false" ht="15.75" hidden="false" customHeight="true" outlineLevel="0" collapsed="false">
      <c r="A339" s="55" t="n">
        <v>1856</v>
      </c>
      <c r="B339" s="55" t="s">
        <v>875</v>
      </c>
      <c r="C339" s="55" t="s">
        <v>876</v>
      </c>
      <c r="D339" s="55" t="s">
        <v>2365</v>
      </c>
      <c r="E339" s="55" t="s">
        <v>2366</v>
      </c>
      <c r="F339" s="55" t="s">
        <v>1195</v>
      </c>
      <c r="G339" s="55" t="s">
        <v>1195</v>
      </c>
      <c r="H339" s="55" t="s">
        <v>1196</v>
      </c>
      <c r="I339" s="55" t="s">
        <v>738</v>
      </c>
      <c r="J339" s="55" t="s">
        <v>2367</v>
      </c>
      <c r="K339" s="55" t="s">
        <v>739</v>
      </c>
      <c r="L339" s="55"/>
      <c r="M339" s="55"/>
      <c r="N339" s="55" t="s">
        <v>732</v>
      </c>
      <c r="O339" s="55"/>
      <c r="P339" s="55" t="s">
        <v>1539</v>
      </c>
      <c r="Q339" s="55"/>
      <c r="R339" s="55" t="n">
        <v>0</v>
      </c>
      <c r="S339" s="55" t="n">
        <v>20</v>
      </c>
      <c r="T339" s="55"/>
      <c r="U339" s="55" t="s">
        <v>876</v>
      </c>
      <c r="V339" s="55" t="s">
        <v>1201</v>
      </c>
      <c r="W339" s="55" t="s">
        <v>2140</v>
      </c>
      <c r="X339" s="4"/>
      <c r="Y339" s="4"/>
      <c r="Z339" s="4"/>
    </row>
    <row r="340" customFormat="false" ht="15.75" hidden="false" customHeight="true" outlineLevel="0" collapsed="false">
      <c r="A340" s="55" t="n">
        <v>1828</v>
      </c>
      <c r="B340" s="55" t="s">
        <v>819</v>
      </c>
      <c r="C340" s="55" t="s">
        <v>820</v>
      </c>
      <c r="D340" s="55" t="s">
        <v>2368</v>
      </c>
      <c r="E340" s="55" t="s">
        <v>2369</v>
      </c>
      <c r="F340" s="55" t="s">
        <v>1195</v>
      </c>
      <c r="G340" s="55" t="s">
        <v>1195</v>
      </c>
      <c r="H340" s="55" t="s">
        <v>1196</v>
      </c>
      <c r="I340" s="55" t="s">
        <v>738</v>
      </c>
      <c r="J340" s="55" t="s">
        <v>2370</v>
      </c>
      <c r="K340" s="55" t="s">
        <v>739</v>
      </c>
      <c r="L340" s="55"/>
      <c r="M340" s="55"/>
      <c r="N340" s="55" t="s">
        <v>732</v>
      </c>
      <c r="O340" s="55"/>
      <c r="P340" s="55" t="s">
        <v>1539</v>
      </c>
      <c r="Q340" s="55"/>
      <c r="R340" s="55" t="n">
        <v>0</v>
      </c>
      <c r="S340" s="55" t="n">
        <v>12</v>
      </c>
      <c r="T340" s="55"/>
      <c r="U340" s="55" t="s">
        <v>820</v>
      </c>
      <c r="V340" s="55" t="s">
        <v>1201</v>
      </c>
      <c r="W340" s="55" t="s">
        <v>2140</v>
      </c>
      <c r="X340" s="4"/>
      <c r="Y340" s="4"/>
      <c r="Z340" s="4"/>
    </row>
    <row r="341" customFormat="false" ht="15.75" hidden="false" customHeight="true" outlineLevel="0" collapsed="false">
      <c r="A341" s="55" t="n">
        <v>1829</v>
      </c>
      <c r="B341" s="55" t="s">
        <v>821</v>
      </c>
      <c r="C341" s="55" t="s">
        <v>822</v>
      </c>
      <c r="D341" s="55" t="s">
        <v>2371</v>
      </c>
      <c r="E341" s="55" t="s">
        <v>2372</v>
      </c>
      <c r="F341" s="55" t="s">
        <v>1195</v>
      </c>
      <c r="G341" s="55" t="s">
        <v>1195</v>
      </c>
      <c r="H341" s="55" t="s">
        <v>1196</v>
      </c>
      <c r="I341" s="55" t="s">
        <v>738</v>
      </c>
      <c r="J341" s="55" t="s">
        <v>2373</v>
      </c>
      <c r="K341" s="55" t="s">
        <v>739</v>
      </c>
      <c r="L341" s="55"/>
      <c r="M341" s="55"/>
      <c r="N341" s="55" t="s">
        <v>732</v>
      </c>
      <c r="O341" s="55"/>
      <c r="P341" s="55" t="s">
        <v>1539</v>
      </c>
      <c r="Q341" s="55"/>
      <c r="R341" s="55" t="n">
        <v>0</v>
      </c>
      <c r="S341" s="55" t="n">
        <v>11</v>
      </c>
      <c r="T341" s="55"/>
      <c r="U341" s="55" t="s">
        <v>822</v>
      </c>
      <c r="V341" s="55" t="s">
        <v>1201</v>
      </c>
      <c r="W341" s="55" t="s">
        <v>2140</v>
      </c>
      <c r="X341" s="4"/>
      <c r="Y341" s="4"/>
      <c r="Z341" s="4"/>
    </row>
    <row r="342" customFormat="false" ht="15.75" hidden="false" customHeight="true" outlineLevel="0" collapsed="false">
      <c r="A342" s="55" t="n">
        <v>1817</v>
      </c>
      <c r="B342" s="55" t="s">
        <v>797</v>
      </c>
      <c r="C342" s="55" t="s">
        <v>798</v>
      </c>
      <c r="D342" s="55" t="s">
        <v>2374</v>
      </c>
      <c r="E342" s="55" t="s">
        <v>2375</v>
      </c>
      <c r="F342" s="55" t="s">
        <v>1195</v>
      </c>
      <c r="G342" s="55" t="s">
        <v>1195</v>
      </c>
      <c r="H342" s="55" t="s">
        <v>1196</v>
      </c>
      <c r="I342" s="55" t="s">
        <v>738</v>
      </c>
      <c r="J342" s="55" t="s">
        <v>2376</v>
      </c>
      <c r="K342" s="55" t="s">
        <v>739</v>
      </c>
      <c r="L342" s="55"/>
      <c r="M342" s="55"/>
      <c r="N342" s="55" t="s">
        <v>732</v>
      </c>
      <c r="O342" s="55"/>
      <c r="P342" s="55" t="s">
        <v>1539</v>
      </c>
      <c r="Q342" s="55"/>
      <c r="R342" s="55" t="n">
        <v>0</v>
      </c>
      <c r="S342" s="55" t="n">
        <v>24</v>
      </c>
      <c r="T342" s="55"/>
      <c r="U342" s="55" t="s">
        <v>798</v>
      </c>
      <c r="V342" s="55" t="s">
        <v>1201</v>
      </c>
      <c r="W342" s="55" t="s">
        <v>2140</v>
      </c>
      <c r="X342" s="4"/>
      <c r="Y342" s="4"/>
      <c r="Z342" s="4"/>
    </row>
    <row r="343" customFormat="false" ht="15.75" hidden="false" customHeight="true" outlineLevel="0" collapsed="false">
      <c r="A343" s="55" t="n">
        <v>1831</v>
      </c>
      <c r="B343" s="55" t="s">
        <v>825</v>
      </c>
      <c r="C343" s="55" t="s">
        <v>826</v>
      </c>
      <c r="D343" s="55" t="s">
        <v>2377</v>
      </c>
      <c r="E343" s="55" t="s">
        <v>2378</v>
      </c>
      <c r="F343" s="55" t="s">
        <v>1195</v>
      </c>
      <c r="G343" s="55" t="s">
        <v>1195</v>
      </c>
      <c r="H343" s="55" t="s">
        <v>1196</v>
      </c>
      <c r="I343" s="55" t="s">
        <v>738</v>
      </c>
      <c r="J343" s="55" t="s">
        <v>2379</v>
      </c>
      <c r="K343" s="55" t="s">
        <v>739</v>
      </c>
      <c r="L343" s="55"/>
      <c r="M343" s="55"/>
      <c r="N343" s="55" t="s">
        <v>732</v>
      </c>
      <c r="O343" s="55"/>
      <c r="P343" s="55" t="s">
        <v>1539</v>
      </c>
      <c r="Q343" s="55"/>
      <c r="R343" s="55" t="n">
        <v>0</v>
      </c>
      <c r="S343" s="55" t="n">
        <v>51</v>
      </c>
      <c r="T343" s="55"/>
      <c r="U343" s="55" t="s">
        <v>826</v>
      </c>
      <c r="V343" s="55" t="s">
        <v>1201</v>
      </c>
      <c r="W343" s="55" t="s">
        <v>2140</v>
      </c>
      <c r="X343" s="4"/>
      <c r="Y343" s="4"/>
      <c r="Z343" s="4"/>
    </row>
    <row r="344" customFormat="false" ht="15.75" hidden="false" customHeight="true" outlineLevel="0" collapsed="false">
      <c r="A344" s="55" t="n">
        <v>1854</v>
      </c>
      <c r="B344" s="55" t="s">
        <v>871</v>
      </c>
      <c r="C344" s="55" t="s">
        <v>872</v>
      </c>
      <c r="D344" s="55" t="s">
        <v>2380</v>
      </c>
      <c r="E344" s="55" t="s">
        <v>2381</v>
      </c>
      <c r="F344" s="55" t="s">
        <v>1195</v>
      </c>
      <c r="G344" s="55" t="s">
        <v>1195</v>
      </c>
      <c r="H344" s="55" t="s">
        <v>1196</v>
      </c>
      <c r="I344" s="55" t="s">
        <v>738</v>
      </c>
      <c r="J344" s="55" t="s">
        <v>2382</v>
      </c>
      <c r="K344" s="55" t="s">
        <v>739</v>
      </c>
      <c r="L344" s="55"/>
      <c r="M344" s="55"/>
      <c r="N344" s="55" t="s">
        <v>732</v>
      </c>
      <c r="O344" s="55"/>
      <c r="P344" s="55" t="s">
        <v>1539</v>
      </c>
      <c r="Q344" s="55"/>
      <c r="R344" s="55" t="n">
        <v>0</v>
      </c>
      <c r="S344" s="55" t="n">
        <v>26</v>
      </c>
      <c r="T344" s="55"/>
      <c r="U344" s="55" t="s">
        <v>872</v>
      </c>
      <c r="V344" s="55" t="s">
        <v>1201</v>
      </c>
      <c r="W344" s="55" t="s">
        <v>2140</v>
      </c>
      <c r="X344" s="4"/>
      <c r="Y344" s="4"/>
      <c r="Z344" s="4"/>
    </row>
    <row r="345" customFormat="false" ht="15.75" hidden="false" customHeight="true" outlineLevel="0" collapsed="false">
      <c r="A345" s="55" t="n">
        <v>1830</v>
      </c>
      <c r="B345" s="55" t="s">
        <v>823</v>
      </c>
      <c r="C345" s="55" t="s">
        <v>824</v>
      </c>
      <c r="D345" s="55" t="s">
        <v>2383</v>
      </c>
      <c r="E345" s="55" t="s">
        <v>2384</v>
      </c>
      <c r="F345" s="55" t="s">
        <v>1195</v>
      </c>
      <c r="G345" s="55" t="s">
        <v>1195</v>
      </c>
      <c r="H345" s="55" t="s">
        <v>1196</v>
      </c>
      <c r="I345" s="55" t="s">
        <v>738</v>
      </c>
      <c r="J345" s="55" t="s">
        <v>2385</v>
      </c>
      <c r="K345" s="55" t="s">
        <v>739</v>
      </c>
      <c r="L345" s="55"/>
      <c r="M345" s="55"/>
      <c r="N345" s="55" t="s">
        <v>732</v>
      </c>
      <c r="O345" s="55"/>
      <c r="P345" s="55" t="s">
        <v>1539</v>
      </c>
      <c r="Q345" s="55"/>
      <c r="R345" s="55" t="n">
        <v>0</v>
      </c>
      <c r="S345" s="55" t="n">
        <v>49</v>
      </c>
      <c r="T345" s="55"/>
      <c r="U345" s="55" t="s">
        <v>824</v>
      </c>
      <c r="V345" s="55" t="s">
        <v>1201</v>
      </c>
      <c r="W345" s="55" t="s">
        <v>2140</v>
      </c>
      <c r="X345" s="4"/>
      <c r="Y345" s="4"/>
      <c r="Z345" s="4"/>
    </row>
    <row r="346" customFormat="false" ht="15.75" hidden="false" customHeight="true" outlineLevel="0" collapsed="false">
      <c r="A346" s="55" t="n">
        <v>1852</v>
      </c>
      <c r="B346" s="55" t="s">
        <v>867</v>
      </c>
      <c r="C346" s="55" t="s">
        <v>868</v>
      </c>
      <c r="D346" s="55" t="s">
        <v>2386</v>
      </c>
      <c r="E346" s="55" t="s">
        <v>2387</v>
      </c>
      <c r="F346" s="55" t="s">
        <v>1195</v>
      </c>
      <c r="G346" s="55" t="s">
        <v>1195</v>
      </c>
      <c r="H346" s="55" t="s">
        <v>1196</v>
      </c>
      <c r="I346" s="55" t="s">
        <v>738</v>
      </c>
      <c r="J346" s="55" t="s">
        <v>2388</v>
      </c>
      <c r="K346" s="55" t="s">
        <v>739</v>
      </c>
      <c r="L346" s="55"/>
      <c r="M346" s="55"/>
      <c r="N346" s="55" t="s">
        <v>732</v>
      </c>
      <c r="O346" s="55"/>
      <c r="P346" s="55" t="s">
        <v>1539</v>
      </c>
      <c r="Q346" s="55"/>
      <c r="R346" s="55" t="n">
        <v>0</v>
      </c>
      <c r="S346" s="55" t="n">
        <v>15</v>
      </c>
      <c r="T346" s="55"/>
      <c r="U346" s="55" t="s">
        <v>868</v>
      </c>
      <c r="V346" s="55" t="s">
        <v>1201</v>
      </c>
      <c r="W346" s="55" t="s">
        <v>2140</v>
      </c>
      <c r="X346" s="4"/>
      <c r="Y346" s="4"/>
      <c r="Z346" s="4"/>
    </row>
    <row r="347" customFormat="false" ht="15.75" hidden="false" customHeight="true" outlineLevel="0" collapsed="false">
      <c r="A347" s="55" t="n">
        <v>1851</v>
      </c>
      <c r="B347" s="55" t="s">
        <v>865</v>
      </c>
      <c r="C347" s="55" t="s">
        <v>866</v>
      </c>
      <c r="D347" s="55" t="s">
        <v>2389</v>
      </c>
      <c r="E347" s="55" t="s">
        <v>2390</v>
      </c>
      <c r="F347" s="55" t="s">
        <v>1195</v>
      </c>
      <c r="G347" s="55" t="s">
        <v>1195</v>
      </c>
      <c r="H347" s="55" t="s">
        <v>1196</v>
      </c>
      <c r="I347" s="55" t="s">
        <v>738</v>
      </c>
      <c r="J347" s="55" t="s">
        <v>2391</v>
      </c>
      <c r="K347" s="55" t="s">
        <v>739</v>
      </c>
      <c r="L347" s="55"/>
      <c r="M347" s="55"/>
      <c r="N347" s="55" t="s">
        <v>732</v>
      </c>
      <c r="O347" s="55"/>
      <c r="P347" s="55" t="s">
        <v>1539</v>
      </c>
      <c r="Q347" s="55"/>
      <c r="R347" s="55" t="n">
        <v>0</v>
      </c>
      <c r="S347" s="55" t="n">
        <v>12</v>
      </c>
      <c r="T347" s="55"/>
      <c r="U347" s="55" t="s">
        <v>866</v>
      </c>
      <c r="V347" s="55" t="s">
        <v>1201</v>
      </c>
      <c r="W347" s="55" t="s">
        <v>2140</v>
      </c>
      <c r="X347" s="4"/>
      <c r="Y347" s="4"/>
      <c r="Z347" s="4"/>
    </row>
    <row r="348" customFormat="false" ht="15.75" hidden="false" customHeight="true" outlineLevel="0" collapsed="false">
      <c r="A348" s="55" t="n">
        <v>1850</v>
      </c>
      <c r="B348" s="55" t="s">
        <v>863</v>
      </c>
      <c r="C348" s="55" t="s">
        <v>864</v>
      </c>
      <c r="D348" s="55" t="s">
        <v>2392</v>
      </c>
      <c r="E348" s="55" t="s">
        <v>2393</v>
      </c>
      <c r="F348" s="55" t="s">
        <v>1195</v>
      </c>
      <c r="G348" s="55" t="s">
        <v>1195</v>
      </c>
      <c r="H348" s="55" t="s">
        <v>1196</v>
      </c>
      <c r="I348" s="55" t="s">
        <v>738</v>
      </c>
      <c r="J348" s="55" t="s">
        <v>2394</v>
      </c>
      <c r="K348" s="55" t="s">
        <v>739</v>
      </c>
      <c r="L348" s="55"/>
      <c r="M348" s="55"/>
      <c r="N348" s="55" t="s">
        <v>732</v>
      </c>
      <c r="O348" s="55"/>
      <c r="P348" s="55" t="s">
        <v>1539</v>
      </c>
      <c r="Q348" s="55"/>
      <c r="R348" s="55" t="n">
        <v>0</v>
      </c>
      <c r="S348" s="55" t="n">
        <v>50</v>
      </c>
      <c r="T348" s="55"/>
      <c r="U348" s="55" t="s">
        <v>864</v>
      </c>
      <c r="V348" s="55" t="s">
        <v>1201</v>
      </c>
      <c r="W348" s="55" t="s">
        <v>2140</v>
      </c>
      <c r="X348" s="4"/>
      <c r="Y348" s="4"/>
      <c r="Z348" s="4"/>
    </row>
    <row r="349" customFormat="false" ht="15.75" hidden="false" customHeight="true" outlineLevel="0" collapsed="false">
      <c r="A349" s="55" t="n">
        <v>1849</v>
      </c>
      <c r="B349" s="55" t="s">
        <v>861</v>
      </c>
      <c r="C349" s="55" t="s">
        <v>862</v>
      </c>
      <c r="D349" s="55" t="s">
        <v>2395</v>
      </c>
      <c r="E349" s="55" t="s">
        <v>2396</v>
      </c>
      <c r="F349" s="55" t="s">
        <v>1195</v>
      </c>
      <c r="G349" s="55" t="s">
        <v>1195</v>
      </c>
      <c r="H349" s="55" t="s">
        <v>1196</v>
      </c>
      <c r="I349" s="55" t="s">
        <v>738</v>
      </c>
      <c r="J349" s="55" t="s">
        <v>2397</v>
      </c>
      <c r="K349" s="55" t="s">
        <v>739</v>
      </c>
      <c r="L349" s="55"/>
      <c r="M349" s="55"/>
      <c r="N349" s="55" t="s">
        <v>732</v>
      </c>
      <c r="O349" s="55"/>
      <c r="P349" s="55" t="s">
        <v>1539</v>
      </c>
      <c r="Q349" s="55"/>
      <c r="R349" s="55" t="n">
        <v>0</v>
      </c>
      <c r="S349" s="55" t="n">
        <v>8</v>
      </c>
      <c r="T349" s="55"/>
      <c r="U349" s="55" t="s">
        <v>862</v>
      </c>
      <c r="V349" s="55" t="s">
        <v>1201</v>
      </c>
      <c r="W349" s="55" t="s">
        <v>2140</v>
      </c>
      <c r="X349" s="4"/>
      <c r="Y349" s="4"/>
      <c r="Z349" s="4"/>
    </row>
    <row r="350" customFormat="false" ht="15.75" hidden="false" customHeight="true" outlineLevel="0" collapsed="false">
      <c r="A350" s="55" t="n">
        <v>1848</v>
      </c>
      <c r="B350" s="55" t="s">
        <v>859</v>
      </c>
      <c r="C350" s="55" t="s">
        <v>860</v>
      </c>
      <c r="D350" s="55" t="s">
        <v>2398</v>
      </c>
      <c r="E350" s="55" t="s">
        <v>2399</v>
      </c>
      <c r="F350" s="55" t="s">
        <v>1195</v>
      </c>
      <c r="G350" s="55" t="s">
        <v>1195</v>
      </c>
      <c r="H350" s="55" t="s">
        <v>1196</v>
      </c>
      <c r="I350" s="55" t="s">
        <v>738</v>
      </c>
      <c r="J350" s="55" t="s">
        <v>2400</v>
      </c>
      <c r="K350" s="55" t="s">
        <v>739</v>
      </c>
      <c r="L350" s="55"/>
      <c r="M350" s="55"/>
      <c r="N350" s="55" t="s">
        <v>732</v>
      </c>
      <c r="O350" s="55"/>
      <c r="P350" s="55" t="s">
        <v>1539</v>
      </c>
      <c r="Q350" s="55"/>
      <c r="R350" s="55" t="n">
        <v>0</v>
      </c>
      <c r="S350" s="55" t="n">
        <v>5</v>
      </c>
      <c r="T350" s="55"/>
      <c r="U350" s="55" t="s">
        <v>860</v>
      </c>
      <c r="V350" s="55" t="s">
        <v>1201</v>
      </c>
      <c r="W350" s="55" t="s">
        <v>2140</v>
      </c>
      <c r="X350" s="4"/>
      <c r="Y350" s="4"/>
      <c r="Z350" s="4"/>
    </row>
    <row r="351" customFormat="false" ht="15.75" hidden="false" customHeight="true" outlineLevel="0" collapsed="false">
      <c r="A351" s="55" t="n">
        <v>1847</v>
      </c>
      <c r="B351" s="55" t="s">
        <v>857</v>
      </c>
      <c r="C351" s="55" t="s">
        <v>858</v>
      </c>
      <c r="D351" s="55" t="s">
        <v>2401</v>
      </c>
      <c r="E351" s="55" t="s">
        <v>2402</v>
      </c>
      <c r="F351" s="55" t="s">
        <v>1195</v>
      </c>
      <c r="G351" s="55" t="s">
        <v>1195</v>
      </c>
      <c r="H351" s="55" t="s">
        <v>1196</v>
      </c>
      <c r="I351" s="55" t="s">
        <v>738</v>
      </c>
      <c r="J351" s="55" t="s">
        <v>2403</v>
      </c>
      <c r="K351" s="55" t="s">
        <v>739</v>
      </c>
      <c r="L351" s="55"/>
      <c r="M351" s="55"/>
      <c r="N351" s="55" t="s">
        <v>732</v>
      </c>
      <c r="O351" s="55"/>
      <c r="P351" s="55" t="s">
        <v>1539</v>
      </c>
      <c r="Q351" s="55"/>
      <c r="R351" s="55" t="n">
        <v>0</v>
      </c>
      <c r="S351" s="55" t="n">
        <v>9</v>
      </c>
      <c r="T351" s="55"/>
      <c r="U351" s="55" t="s">
        <v>858</v>
      </c>
      <c r="V351" s="55" t="s">
        <v>1201</v>
      </c>
      <c r="W351" s="55" t="s">
        <v>2140</v>
      </c>
      <c r="X351" s="4"/>
      <c r="Y351" s="4"/>
      <c r="Z351" s="4"/>
    </row>
    <row r="352" customFormat="false" ht="15.75" hidden="false" customHeight="true" outlineLevel="0" collapsed="false">
      <c r="A352" s="55" t="n">
        <v>1846</v>
      </c>
      <c r="B352" s="55" t="s">
        <v>855</v>
      </c>
      <c r="C352" s="55" t="s">
        <v>856</v>
      </c>
      <c r="D352" s="55" t="s">
        <v>2404</v>
      </c>
      <c r="E352" s="55" t="s">
        <v>2405</v>
      </c>
      <c r="F352" s="55" t="s">
        <v>1195</v>
      </c>
      <c r="G352" s="55" t="s">
        <v>1195</v>
      </c>
      <c r="H352" s="55" t="s">
        <v>1196</v>
      </c>
      <c r="I352" s="55" t="s">
        <v>738</v>
      </c>
      <c r="J352" s="55" t="s">
        <v>2406</v>
      </c>
      <c r="K352" s="55" t="s">
        <v>739</v>
      </c>
      <c r="L352" s="55"/>
      <c r="M352" s="55"/>
      <c r="N352" s="55" t="s">
        <v>732</v>
      </c>
      <c r="O352" s="55"/>
      <c r="P352" s="55" t="s">
        <v>1539</v>
      </c>
      <c r="Q352" s="55"/>
      <c r="R352" s="55" t="n">
        <v>0</v>
      </c>
      <c r="S352" s="55" t="n">
        <v>6</v>
      </c>
      <c r="T352" s="55"/>
      <c r="U352" s="55" t="s">
        <v>856</v>
      </c>
      <c r="V352" s="55" t="s">
        <v>1201</v>
      </c>
      <c r="W352" s="55" t="s">
        <v>2140</v>
      </c>
      <c r="X352" s="4"/>
      <c r="Y352" s="4"/>
      <c r="Z352" s="4"/>
    </row>
    <row r="353" customFormat="false" ht="15.75" hidden="false" customHeight="true" outlineLevel="0" collapsed="false">
      <c r="A353" s="55" t="n">
        <v>1845</v>
      </c>
      <c r="B353" s="55" t="s">
        <v>853</v>
      </c>
      <c r="C353" s="55" t="s">
        <v>854</v>
      </c>
      <c r="D353" s="55" t="s">
        <v>2407</v>
      </c>
      <c r="E353" s="55" t="s">
        <v>2408</v>
      </c>
      <c r="F353" s="55" t="s">
        <v>1195</v>
      </c>
      <c r="G353" s="55" t="s">
        <v>1195</v>
      </c>
      <c r="H353" s="55" t="s">
        <v>1196</v>
      </c>
      <c r="I353" s="55" t="s">
        <v>738</v>
      </c>
      <c r="J353" s="55" t="s">
        <v>2409</v>
      </c>
      <c r="K353" s="55" t="s">
        <v>739</v>
      </c>
      <c r="L353" s="55"/>
      <c r="M353" s="55"/>
      <c r="N353" s="55" t="s">
        <v>732</v>
      </c>
      <c r="O353" s="55"/>
      <c r="P353" s="55" t="s">
        <v>1539</v>
      </c>
      <c r="Q353" s="55"/>
      <c r="R353" s="55" t="n">
        <v>0</v>
      </c>
      <c r="S353" s="55" t="n">
        <v>7</v>
      </c>
      <c r="T353" s="55"/>
      <c r="U353" s="55" t="s">
        <v>854</v>
      </c>
      <c r="V353" s="55" t="s">
        <v>1201</v>
      </c>
      <c r="W353" s="55" t="s">
        <v>2140</v>
      </c>
      <c r="X353" s="4"/>
      <c r="Y353" s="4"/>
      <c r="Z353" s="4"/>
    </row>
    <row r="354" customFormat="false" ht="15.75" hidden="false" customHeight="true" outlineLevel="0" collapsed="false">
      <c r="A354" s="55" t="n">
        <v>1844</v>
      </c>
      <c r="B354" s="55" t="s">
        <v>851</v>
      </c>
      <c r="C354" s="55" t="s">
        <v>852</v>
      </c>
      <c r="D354" s="55" t="s">
        <v>2410</v>
      </c>
      <c r="E354" s="55" t="s">
        <v>2411</v>
      </c>
      <c r="F354" s="55" t="s">
        <v>1195</v>
      </c>
      <c r="G354" s="55" t="s">
        <v>1195</v>
      </c>
      <c r="H354" s="55" t="s">
        <v>1196</v>
      </c>
      <c r="I354" s="55" t="s">
        <v>738</v>
      </c>
      <c r="J354" s="55" t="s">
        <v>2412</v>
      </c>
      <c r="K354" s="55" t="s">
        <v>739</v>
      </c>
      <c r="L354" s="55"/>
      <c r="M354" s="55"/>
      <c r="N354" s="55" t="s">
        <v>732</v>
      </c>
      <c r="O354" s="55"/>
      <c r="P354" s="55" t="s">
        <v>1539</v>
      </c>
      <c r="Q354" s="55"/>
      <c r="R354" s="55" t="n">
        <v>0</v>
      </c>
      <c r="S354" s="55" t="n">
        <v>16</v>
      </c>
      <c r="T354" s="55"/>
      <c r="U354" s="55" t="s">
        <v>852</v>
      </c>
      <c r="V354" s="55" t="s">
        <v>1201</v>
      </c>
      <c r="W354" s="55" t="s">
        <v>2140</v>
      </c>
      <c r="X354" s="4"/>
      <c r="Y354" s="4"/>
      <c r="Z354" s="4"/>
    </row>
    <row r="355" customFormat="false" ht="15.75" hidden="false" customHeight="true" outlineLevel="0" collapsed="false">
      <c r="A355" s="55" t="n">
        <v>1843</v>
      </c>
      <c r="B355" s="55" t="s">
        <v>849</v>
      </c>
      <c r="C355" s="55" t="s">
        <v>850</v>
      </c>
      <c r="D355" s="55" t="s">
        <v>2413</v>
      </c>
      <c r="E355" s="55" t="s">
        <v>2414</v>
      </c>
      <c r="F355" s="55" t="s">
        <v>1195</v>
      </c>
      <c r="G355" s="55" t="s">
        <v>1195</v>
      </c>
      <c r="H355" s="55" t="s">
        <v>1196</v>
      </c>
      <c r="I355" s="55" t="s">
        <v>738</v>
      </c>
      <c r="J355" s="55" t="s">
        <v>2415</v>
      </c>
      <c r="K355" s="55" t="s">
        <v>739</v>
      </c>
      <c r="L355" s="55"/>
      <c r="M355" s="55"/>
      <c r="N355" s="55" t="s">
        <v>732</v>
      </c>
      <c r="O355" s="55"/>
      <c r="P355" s="55" t="s">
        <v>1539</v>
      </c>
      <c r="Q355" s="55"/>
      <c r="R355" s="55" t="n">
        <v>0</v>
      </c>
      <c r="S355" s="55" t="n">
        <v>7</v>
      </c>
      <c r="T355" s="55"/>
      <c r="U355" s="55" t="s">
        <v>850</v>
      </c>
      <c r="V355" s="55" t="s">
        <v>1201</v>
      </c>
      <c r="W355" s="55" t="s">
        <v>2140</v>
      </c>
      <c r="X355" s="4"/>
      <c r="Y355" s="4"/>
      <c r="Z355" s="4"/>
    </row>
    <row r="356" customFormat="false" ht="15.75" hidden="false" customHeight="true" outlineLevel="0" collapsed="false">
      <c r="A356" s="55" t="n">
        <v>1853</v>
      </c>
      <c r="B356" s="55" t="s">
        <v>869</v>
      </c>
      <c r="C356" s="55" t="s">
        <v>870</v>
      </c>
      <c r="D356" s="55" t="s">
        <v>2416</v>
      </c>
      <c r="E356" s="55" t="s">
        <v>2417</v>
      </c>
      <c r="F356" s="55" t="s">
        <v>1195</v>
      </c>
      <c r="G356" s="55" t="s">
        <v>1195</v>
      </c>
      <c r="H356" s="55" t="s">
        <v>1196</v>
      </c>
      <c r="I356" s="55" t="s">
        <v>738</v>
      </c>
      <c r="J356" s="55" t="s">
        <v>2418</v>
      </c>
      <c r="K356" s="55" t="s">
        <v>739</v>
      </c>
      <c r="L356" s="55"/>
      <c r="M356" s="55"/>
      <c r="N356" s="55" t="s">
        <v>732</v>
      </c>
      <c r="O356" s="55"/>
      <c r="P356" s="55" t="s">
        <v>1539</v>
      </c>
      <c r="Q356" s="55"/>
      <c r="R356" s="55" t="n">
        <v>0</v>
      </c>
      <c r="S356" s="55" t="n">
        <v>74</v>
      </c>
      <c r="T356" s="55"/>
      <c r="U356" s="55" t="s">
        <v>870</v>
      </c>
      <c r="V356" s="55" t="s">
        <v>1201</v>
      </c>
      <c r="W356" s="55" t="s">
        <v>2140</v>
      </c>
      <c r="X356" s="4"/>
      <c r="Y356" s="4"/>
      <c r="Z356" s="4"/>
    </row>
    <row r="357" customFormat="false" ht="15.75" hidden="false" customHeight="true" outlineLevel="0" collapsed="false">
      <c r="A357" s="55" t="n">
        <v>1834</v>
      </c>
      <c r="B357" s="55" t="s">
        <v>831</v>
      </c>
      <c r="C357" s="55" t="s">
        <v>832</v>
      </c>
      <c r="D357" s="55" t="s">
        <v>2419</v>
      </c>
      <c r="E357" s="55" t="s">
        <v>2420</v>
      </c>
      <c r="F357" s="55" t="s">
        <v>1195</v>
      </c>
      <c r="G357" s="55" t="s">
        <v>1195</v>
      </c>
      <c r="H357" s="55" t="s">
        <v>1196</v>
      </c>
      <c r="I357" s="55" t="s">
        <v>738</v>
      </c>
      <c r="J357" s="55" t="s">
        <v>2421</v>
      </c>
      <c r="K357" s="55" t="s">
        <v>739</v>
      </c>
      <c r="L357" s="55"/>
      <c r="M357" s="55"/>
      <c r="N357" s="55" t="s">
        <v>732</v>
      </c>
      <c r="O357" s="55"/>
      <c r="P357" s="55" t="s">
        <v>1539</v>
      </c>
      <c r="Q357" s="55"/>
      <c r="R357" s="55" t="n">
        <v>0</v>
      </c>
      <c r="S357" s="55" t="n">
        <v>30</v>
      </c>
      <c r="T357" s="55"/>
      <c r="U357" s="55" t="s">
        <v>832</v>
      </c>
      <c r="V357" s="55" t="s">
        <v>1201</v>
      </c>
      <c r="W357" s="55" t="s">
        <v>2140</v>
      </c>
      <c r="X357" s="4"/>
      <c r="Y357" s="4"/>
      <c r="Z357" s="4"/>
    </row>
    <row r="358" customFormat="false" ht="15.75" hidden="false" customHeight="true" outlineLevel="0" collapsed="false">
      <c r="A358" s="55" t="n">
        <v>1832</v>
      </c>
      <c r="B358" s="55" t="s">
        <v>827</v>
      </c>
      <c r="C358" s="55" t="s">
        <v>828</v>
      </c>
      <c r="D358" s="55" t="s">
        <v>2422</v>
      </c>
      <c r="E358" s="55" t="s">
        <v>2423</v>
      </c>
      <c r="F358" s="55" t="s">
        <v>1195</v>
      </c>
      <c r="G358" s="55" t="s">
        <v>1195</v>
      </c>
      <c r="H358" s="55" t="s">
        <v>1196</v>
      </c>
      <c r="I358" s="55" t="s">
        <v>738</v>
      </c>
      <c r="J358" s="55" t="s">
        <v>2424</v>
      </c>
      <c r="K358" s="55" t="s">
        <v>739</v>
      </c>
      <c r="L358" s="55"/>
      <c r="M358" s="55"/>
      <c r="N358" s="55" t="s">
        <v>732</v>
      </c>
      <c r="O358" s="55"/>
      <c r="P358" s="55" t="s">
        <v>1539</v>
      </c>
      <c r="Q358" s="55"/>
      <c r="R358" s="55" t="n">
        <v>0</v>
      </c>
      <c r="S358" s="55" t="n">
        <v>17</v>
      </c>
      <c r="T358" s="55"/>
      <c r="U358" s="55" t="s">
        <v>828</v>
      </c>
      <c r="V358" s="55" t="s">
        <v>1201</v>
      </c>
      <c r="W358" s="55" t="s">
        <v>2140</v>
      </c>
      <c r="X358" s="4"/>
      <c r="Y358" s="4"/>
      <c r="Z358" s="4"/>
    </row>
    <row r="359" customFormat="false" ht="15.75" hidden="false" customHeight="true" outlineLevel="0" collapsed="false">
      <c r="A359" s="55" t="n">
        <v>1841</v>
      </c>
      <c r="B359" s="55" t="s">
        <v>845</v>
      </c>
      <c r="C359" s="55" t="s">
        <v>846</v>
      </c>
      <c r="D359" s="55" t="s">
        <v>2425</v>
      </c>
      <c r="E359" s="55" t="s">
        <v>2426</v>
      </c>
      <c r="F359" s="55" t="s">
        <v>1195</v>
      </c>
      <c r="G359" s="55" t="s">
        <v>1195</v>
      </c>
      <c r="H359" s="55" t="s">
        <v>1196</v>
      </c>
      <c r="I359" s="55" t="s">
        <v>738</v>
      </c>
      <c r="J359" s="55" t="s">
        <v>2427</v>
      </c>
      <c r="K359" s="55" t="s">
        <v>739</v>
      </c>
      <c r="L359" s="55"/>
      <c r="M359" s="55"/>
      <c r="N359" s="55" t="s">
        <v>732</v>
      </c>
      <c r="O359" s="55"/>
      <c r="P359" s="55" t="s">
        <v>1539</v>
      </c>
      <c r="Q359" s="55"/>
      <c r="R359" s="55" t="n">
        <v>0</v>
      </c>
      <c r="S359" s="55" t="n">
        <v>44</v>
      </c>
      <c r="T359" s="55"/>
      <c r="U359" s="55" t="s">
        <v>846</v>
      </c>
      <c r="V359" s="55" t="s">
        <v>1201</v>
      </c>
      <c r="W359" s="55" t="s">
        <v>2140</v>
      </c>
      <c r="X359" s="4"/>
      <c r="Y359" s="4"/>
      <c r="Z359" s="4"/>
    </row>
    <row r="360" customFormat="false" ht="15.75" hidden="false" customHeight="true" outlineLevel="0" collapsed="false">
      <c r="A360" s="55" t="n">
        <v>1840</v>
      </c>
      <c r="B360" s="55" t="s">
        <v>843</v>
      </c>
      <c r="C360" s="55" t="s">
        <v>844</v>
      </c>
      <c r="D360" s="55" t="s">
        <v>2428</v>
      </c>
      <c r="E360" s="55" t="s">
        <v>2429</v>
      </c>
      <c r="F360" s="55" t="s">
        <v>1195</v>
      </c>
      <c r="G360" s="55" t="s">
        <v>1195</v>
      </c>
      <c r="H360" s="55" t="s">
        <v>1196</v>
      </c>
      <c r="I360" s="55" t="s">
        <v>738</v>
      </c>
      <c r="J360" s="55" t="s">
        <v>2430</v>
      </c>
      <c r="K360" s="55" t="s">
        <v>739</v>
      </c>
      <c r="L360" s="55"/>
      <c r="M360" s="55"/>
      <c r="N360" s="55" t="s">
        <v>732</v>
      </c>
      <c r="O360" s="55"/>
      <c r="P360" s="55" t="s">
        <v>1539</v>
      </c>
      <c r="Q360" s="55"/>
      <c r="R360" s="55" t="n">
        <v>0</v>
      </c>
      <c r="S360" s="55" t="n">
        <v>63</v>
      </c>
      <c r="T360" s="55"/>
      <c r="U360" s="55" t="s">
        <v>844</v>
      </c>
      <c r="V360" s="55" t="s">
        <v>1201</v>
      </c>
      <c r="W360" s="55" t="s">
        <v>2140</v>
      </c>
      <c r="X360" s="4"/>
      <c r="Y360" s="4"/>
      <c r="Z360" s="4"/>
    </row>
    <row r="361" customFormat="false" ht="15.75" hidden="false" customHeight="true" outlineLevel="0" collapsed="false">
      <c r="A361" s="55" t="n">
        <v>1839</v>
      </c>
      <c r="B361" s="55" t="s">
        <v>841</v>
      </c>
      <c r="C361" s="55" t="s">
        <v>842</v>
      </c>
      <c r="D361" s="55" t="s">
        <v>2431</v>
      </c>
      <c r="E361" s="55" t="s">
        <v>2432</v>
      </c>
      <c r="F361" s="55" t="s">
        <v>1195</v>
      </c>
      <c r="G361" s="55" t="s">
        <v>1195</v>
      </c>
      <c r="H361" s="55" t="s">
        <v>1196</v>
      </c>
      <c r="I361" s="55" t="s">
        <v>738</v>
      </c>
      <c r="J361" s="55" t="s">
        <v>2433</v>
      </c>
      <c r="K361" s="55" t="s">
        <v>739</v>
      </c>
      <c r="L361" s="55"/>
      <c r="M361" s="55"/>
      <c r="N361" s="55" t="s">
        <v>732</v>
      </c>
      <c r="O361" s="55"/>
      <c r="P361" s="55" t="s">
        <v>1539</v>
      </c>
      <c r="Q361" s="55"/>
      <c r="R361" s="55" t="n">
        <v>0</v>
      </c>
      <c r="S361" s="55" t="n">
        <v>9</v>
      </c>
      <c r="T361" s="55"/>
      <c r="U361" s="55" t="s">
        <v>842</v>
      </c>
      <c r="V361" s="55" t="s">
        <v>1201</v>
      </c>
      <c r="W361" s="55" t="s">
        <v>2140</v>
      </c>
      <c r="X361" s="4"/>
      <c r="Y361" s="4"/>
      <c r="Z361" s="4"/>
    </row>
    <row r="362" customFormat="false" ht="15.75" hidden="false" customHeight="true" outlineLevel="0" collapsed="false">
      <c r="A362" s="55" t="n">
        <v>1838</v>
      </c>
      <c r="B362" s="55" t="s">
        <v>839</v>
      </c>
      <c r="C362" s="55" t="s">
        <v>840</v>
      </c>
      <c r="D362" s="55" t="s">
        <v>2434</v>
      </c>
      <c r="E362" s="55" t="s">
        <v>2435</v>
      </c>
      <c r="F362" s="55" t="s">
        <v>1195</v>
      </c>
      <c r="G362" s="55" t="s">
        <v>1195</v>
      </c>
      <c r="H362" s="55" t="s">
        <v>1196</v>
      </c>
      <c r="I362" s="55" t="s">
        <v>738</v>
      </c>
      <c r="J362" s="55" t="s">
        <v>2436</v>
      </c>
      <c r="K362" s="55" t="s">
        <v>739</v>
      </c>
      <c r="L362" s="55"/>
      <c r="M362" s="55"/>
      <c r="N362" s="55" t="s">
        <v>732</v>
      </c>
      <c r="O362" s="55"/>
      <c r="P362" s="55" t="s">
        <v>1539</v>
      </c>
      <c r="Q362" s="55"/>
      <c r="R362" s="55" t="n">
        <v>0</v>
      </c>
      <c r="S362" s="55" t="n">
        <v>7</v>
      </c>
      <c r="T362" s="55"/>
      <c r="U362" s="55" t="s">
        <v>840</v>
      </c>
      <c r="V362" s="55" t="s">
        <v>1201</v>
      </c>
      <c r="W362" s="55" t="s">
        <v>2140</v>
      </c>
      <c r="X362" s="4"/>
      <c r="Y362" s="4"/>
      <c r="Z362" s="4"/>
    </row>
    <row r="363" customFormat="false" ht="15.75" hidden="false" customHeight="true" outlineLevel="0" collapsed="false">
      <c r="A363" s="55" t="n">
        <v>1837</v>
      </c>
      <c r="B363" s="55" t="s">
        <v>837</v>
      </c>
      <c r="C363" s="55" t="s">
        <v>838</v>
      </c>
      <c r="D363" s="55" t="s">
        <v>2437</v>
      </c>
      <c r="E363" s="55" t="s">
        <v>2438</v>
      </c>
      <c r="F363" s="55" t="s">
        <v>1195</v>
      </c>
      <c r="G363" s="55" t="s">
        <v>1195</v>
      </c>
      <c r="H363" s="55" t="s">
        <v>1196</v>
      </c>
      <c r="I363" s="55" t="s">
        <v>738</v>
      </c>
      <c r="J363" s="55" t="s">
        <v>2439</v>
      </c>
      <c r="K363" s="55" t="s">
        <v>739</v>
      </c>
      <c r="L363" s="55"/>
      <c r="M363" s="55"/>
      <c r="N363" s="55" t="s">
        <v>732</v>
      </c>
      <c r="O363" s="55"/>
      <c r="P363" s="55" t="s">
        <v>1539</v>
      </c>
      <c r="Q363" s="55"/>
      <c r="R363" s="55" t="n">
        <v>0</v>
      </c>
      <c r="S363" s="55" t="n">
        <v>11</v>
      </c>
      <c r="T363" s="55"/>
      <c r="U363" s="55" t="s">
        <v>838</v>
      </c>
      <c r="V363" s="55" t="s">
        <v>1201</v>
      </c>
      <c r="W363" s="55" t="s">
        <v>2140</v>
      </c>
      <c r="X363" s="4"/>
      <c r="Y363" s="4"/>
      <c r="Z363" s="4"/>
    </row>
    <row r="364" customFormat="false" ht="15.75" hidden="false" customHeight="true" outlineLevel="0" collapsed="false">
      <c r="A364" s="55" t="n">
        <v>1836</v>
      </c>
      <c r="B364" s="55" t="s">
        <v>835</v>
      </c>
      <c r="C364" s="55" t="s">
        <v>836</v>
      </c>
      <c r="D364" s="55" t="s">
        <v>2440</v>
      </c>
      <c r="E364" s="55" t="s">
        <v>2441</v>
      </c>
      <c r="F364" s="55" t="s">
        <v>1195</v>
      </c>
      <c r="G364" s="55" t="s">
        <v>1195</v>
      </c>
      <c r="H364" s="55" t="s">
        <v>1196</v>
      </c>
      <c r="I364" s="55" t="s">
        <v>738</v>
      </c>
      <c r="J364" s="55" t="s">
        <v>2442</v>
      </c>
      <c r="K364" s="55" t="s">
        <v>739</v>
      </c>
      <c r="L364" s="55"/>
      <c r="M364" s="55"/>
      <c r="N364" s="55" t="s">
        <v>732</v>
      </c>
      <c r="O364" s="55"/>
      <c r="P364" s="55" t="s">
        <v>1539</v>
      </c>
      <c r="Q364" s="55"/>
      <c r="R364" s="55" t="n">
        <v>0</v>
      </c>
      <c r="S364" s="55" t="n">
        <v>5</v>
      </c>
      <c r="T364" s="55"/>
      <c r="U364" s="55" t="s">
        <v>836</v>
      </c>
      <c r="V364" s="55" t="s">
        <v>1201</v>
      </c>
      <c r="W364" s="55" t="s">
        <v>2140</v>
      </c>
      <c r="X364" s="4"/>
      <c r="Y364" s="4"/>
      <c r="Z364" s="4"/>
    </row>
    <row r="365" customFormat="false" ht="15.75" hidden="false" customHeight="true" outlineLevel="0" collapsed="false">
      <c r="A365" s="55" t="n">
        <v>1842</v>
      </c>
      <c r="B365" s="55" t="s">
        <v>847</v>
      </c>
      <c r="C365" s="55" t="s">
        <v>848</v>
      </c>
      <c r="D365" s="55" t="s">
        <v>2443</v>
      </c>
      <c r="E365" s="55" t="s">
        <v>2444</v>
      </c>
      <c r="F365" s="55" t="s">
        <v>1195</v>
      </c>
      <c r="G365" s="55" t="s">
        <v>1195</v>
      </c>
      <c r="H365" s="55" t="s">
        <v>1196</v>
      </c>
      <c r="I365" s="55" t="s">
        <v>738</v>
      </c>
      <c r="J365" s="55" t="s">
        <v>2445</v>
      </c>
      <c r="K365" s="55" t="s">
        <v>739</v>
      </c>
      <c r="L365" s="55"/>
      <c r="M365" s="55"/>
      <c r="N365" s="55" t="s">
        <v>732</v>
      </c>
      <c r="O365" s="55"/>
      <c r="P365" s="55" t="s">
        <v>1539</v>
      </c>
      <c r="Q365" s="55"/>
      <c r="R365" s="55" t="n">
        <v>0</v>
      </c>
      <c r="S365" s="55" t="n">
        <v>15</v>
      </c>
      <c r="T365" s="55"/>
      <c r="U365" s="55" t="s">
        <v>848</v>
      </c>
      <c r="V365" s="55" t="s">
        <v>1201</v>
      </c>
      <c r="W365" s="55" t="s">
        <v>2140</v>
      </c>
      <c r="X365" s="4"/>
      <c r="Y365" s="4"/>
      <c r="Z365" s="4"/>
    </row>
    <row r="366" customFormat="false" ht="15.75" hidden="false" customHeight="true" outlineLevel="0" collapsed="false">
      <c r="A366" s="55" t="n">
        <v>1835</v>
      </c>
      <c r="B366" s="55" t="s">
        <v>833</v>
      </c>
      <c r="C366" s="55" t="s">
        <v>834</v>
      </c>
      <c r="D366" s="55" t="s">
        <v>2446</v>
      </c>
      <c r="E366" s="55" t="s">
        <v>2447</v>
      </c>
      <c r="F366" s="55" t="s">
        <v>1195</v>
      </c>
      <c r="G366" s="55" t="s">
        <v>1195</v>
      </c>
      <c r="H366" s="55" t="s">
        <v>1196</v>
      </c>
      <c r="I366" s="55" t="s">
        <v>738</v>
      </c>
      <c r="J366" s="55" t="s">
        <v>2448</v>
      </c>
      <c r="K366" s="55" t="s">
        <v>739</v>
      </c>
      <c r="L366" s="55"/>
      <c r="M366" s="55"/>
      <c r="N366" s="55" t="s">
        <v>732</v>
      </c>
      <c r="O366" s="55"/>
      <c r="P366" s="55" t="s">
        <v>1539</v>
      </c>
      <c r="Q366" s="55"/>
      <c r="R366" s="55" t="n">
        <v>0</v>
      </c>
      <c r="S366" s="55" t="n">
        <v>9</v>
      </c>
      <c r="T366" s="55"/>
      <c r="U366" s="55" t="s">
        <v>834</v>
      </c>
      <c r="V366" s="55" t="s">
        <v>1201</v>
      </c>
      <c r="W366" s="55" t="s">
        <v>2140</v>
      </c>
      <c r="X366" s="4"/>
      <c r="Y366" s="4"/>
      <c r="Z366" s="4"/>
    </row>
    <row r="367" customFormat="false" ht="15.75" hidden="false" customHeight="true" outlineLevel="0" collapsed="false">
      <c r="A367" s="55" t="n">
        <v>1833</v>
      </c>
      <c r="B367" s="55" t="s">
        <v>829</v>
      </c>
      <c r="C367" s="55" t="s">
        <v>830</v>
      </c>
      <c r="D367" s="55" t="s">
        <v>2449</v>
      </c>
      <c r="E367" s="55" t="s">
        <v>2450</v>
      </c>
      <c r="F367" s="55" t="s">
        <v>1195</v>
      </c>
      <c r="G367" s="55" t="s">
        <v>1195</v>
      </c>
      <c r="H367" s="55" t="s">
        <v>1196</v>
      </c>
      <c r="I367" s="55" t="s">
        <v>738</v>
      </c>
      <c r="J367" s="55" t="s">
        <v>2451</v>
      </c>
      <c r="K367" s="55" t="s">
        <v>739</v>
      </c>
      <c r="L367" s="55"/>
      <c r="M367" s="55"/>
      <c r="N367" s="55" t="s">
        <v>732</v>
      </c>
      <c r="O367" s="55"/>
      <c r="P367" s="55" t="s">
        <v>1539</v>
      </c>
      <c r="Q367" s="55"/>
      <c r="R367" s="55" t="n">
        <v>0</v>
      </c>
      <c r="S367" s="55" t="n">
        <v>10</v>
      </c>
      <c r="T367" s="55"/>
      <c r="U367" s="55" t="s">
        <v>830</v>
      </c>
      <c r="V367" s="55" t="s">
        <v>1201</v>
      </c>
      <c r="W367" s="55" t="s">
        <v>2140</v>
      </c>
      <c r="X367" s="4"/>
      <c r="Y367" s="4"/>
      <c r="Z367" s="4"/>
    </row>
    <row r="368" customFormat="false" ht="15.75" hidden="false" customHeight="true" outlineLevel="0" collapsed="false">
      <c r="A368" s="55" t="n">
        <v>1640</v>
      </c>
      <c r="B368" s="55" t="s">
        <v>390</v>
      </c>
      <c r="C368" s="55" t="s">
        <v>391</v>
      </c>
      <c r="D368" s="55" t="s">
        <v>2452</v>
      </c>
      <c r="E368" s="55"/>
      <c r="F368" s="55" t="s">
        <v>1194</v>
      </c>
      <c r="G368" s="55" t="s">
        <v>1194</v>
      </c>
      <c r="H368" s="55" t="s">
        <v>1248</v>
      </c>
      <c r="I368" s="55" t="s">
        <v>379</v>
      </c>
      <c r="J368" s="55" t="s">
        <v>2453</v>
      </c>
      <c r="K368" s="55" t="s">
        <v>392</v>
      </c>
      <c r="L368" s="55" t="n">
        <v>0.6875</v>
      </c>
      <c r="M368" s="55" t="n">
        <v>3.875</v>
      </c>
      <c r="N368" s="55" t="s">
        <v>141</v>
      </c>
      <c r="O368" s="55"/>
      <c r="P368" s="55"/>
      <c r="Q368" s="55"/>
      <c r="R368" s="55" t="n">
        <v>53</v>
      </c>
      <c r="S368" s="55" t="n">
        <v>86</v>
      </c>
      <c r="T368" s="55"/>
      <c r="U368" s="55"/>
      <c r="V368" s="55"/>
      <c r="W368" s="55" t="s">
        <v>2454</v>
      </c>
      <c r="X368" s="4"/>
      <c r="Y368" s="4"/>
      <c r="Z368" s="4"/>
    </row>
    <row r="369" customFormat="false" ht="15.75" hidden="false" customHeight="true" outlineLevel="0" collapsed="false">
      <c r="A369" s="55" t="n">
        <v>1642</v>
      </c>
      <c r="B369" s="55" t="s">
        <v>398</v>
      </c>
      <c r="C369" s="55" t="s">
        <v>399</v>
      </c>
      <c r="D369" s="55" t="s">
        <v>2455</v>
      </c>
      <c r="E369" s="55"/>
      <c r="F369" s="55" t="s">
        <v>1194</v>
      </c>
      <c r="G369" s="55" t="s">
        <v>1194</v>
      </c>
      <c r="H369" s="55" t="s">
        <v>1248</v>
      </c>
      <c r="I369" s="55" t="s">
        <v>379</v>
      </c>
      <c r="J369" s="55" t="s">
        <v>2456</v>
      </c>
      <c r="K369" s="55" t="s">
        <v>400</v>
      </c>
      <c r="L369" s="55" t="n">
        <v>0.8125</v>
      </c>
      <c r="M369" s="55" t="n">
        <v>3.625</v>
      </c>
      <c r="N369" s="55" t="s">
        <v>141</v>
      </c>
      <c r="O369" s="55"/>
      <c r="P369" s="55"/>
      <c r="Q369" s="55"/>
      <c r="R369" s="55" t="n">
        <v>71</v>
      </c>
      <c r="S369" s="55" t="n">
        <v>121</v>
      </c>
      <c r="T369" s="55"/>
      <c r="U369" s="55"/>
      <c r="V369" s="55"/>
      <c r="W369" s="55" t="s">
        <v>2454</v>
      </c>
      <c r="X369" s="4"/>
      <c r="Y369" s="4"/>
      <c r="Z369" s="4"/>
    </row>
    <row r="370" customFormat="false" ht="15.75" hidden="false" customHeight="true" outlineLevel="0" collapsed="false">
      <c r="A370" s="55" t="n">
        <v>1655</v>
      </c>
      <c r="B370" s="55" t="s">
        <v>446</v>
      </c>
      <c r="C370" s="55" t="s">
        <v>447</v>
      </c>
      <c r="D370" s="55" t="s">
        <v>2457</v>
      </c>
      <c r="E370" s="55"/>
      <c r="F370" s="55" t="s">
        <v>1194</v>
      </c>
      <c r="G370" s="55" t="s">
        <v>1194</v>
      </c>
      <c r="H370" s="55" t="s">
        <v>1248</v>
      </c>
      <c r="I370" s="55" t="s">
        <v>420</v>
      </c>
      <c r="J370" s="55" t="s">
        <v>2458</v>
      </c>
      <c r="K370" s="55" t="s">
        <v>448</v>
      </c>
      <c r="L370" s="55" t="n">
        <v>0.375</v>
      </c>
      <c r="M370" s="55" t="n">
        <v>0.6875</v>
      </c>
      <c r="N370" s="55" t="s">
        <v>141</v>
      </c>
      <c r="O370" s="55"/>
      <c r="P370" s="55"/>
      <c r="Q370" s="55"/>
      <c r="R370" s="55" t="n">
        <v>13</v>
      </c>
      <c r="S370" s="55" t="n">
        <v>44</v>
      </c>
      <c r="T370" s="55"/>
      <c r="U370" s="55"/>
      <c r="V370" s="55"/>
      <c r="W370" s="55" t="s">
        <v>2454</v>
      </c>
      <c r="X370" s="4"/>
      <c r="Y370" s="4"/>
      <c r="Z370" s="4"/>
    </row>
    <row r="371" customFormat="false" ht="15.75" hidden="false" customHeight="true" outlineLevel="0" collapsed="false">
      <c r="A371" s="55" t="n">
        <v>1661</v>
      </c>
      <c r="B371" s="55" t="s">
        <v>463</v>
      </c>
      <c r="C371" s="55" t="s">
        <v>464</v>
      </c>
      <c r="D371" s="55" t="s">
        <v>2459</v>
      </c>
      <c r="E371" s="55"/>
      <c r="F371" s="55" t="s">
        <v>1194</v>
      </c>
      <c r="G371" s="55" t="s">
        <v>1194</v>
      </c>
      <c r="H371" s="55" t="s">
        <v>1248</v>
      </c>
      <c r="I371" s="55" t="s">
        <v>420</v>
      </c>
      <c r="J371" s="55" t="s">
        <v>2460</v>
      </c>
      <c r="K371" s="55" t="s">
        <v>465</v>
      </c>
      <c r="L371" s="55" t="n">
        <v>0.5</v>
      </c>
      <c r="M371" s="55" t="n">
        <v>1.125</v>
      </c>
      <c r="N371" s="55" t="s">
        <v>141</v>
      </c>
      <c r="O371" s="55"/>
      <c r="P371" s="55"/>
      <c r="Q371" s="55"/>
      <c r="R371" s="55" t="n">
        <v>17</v>
      </c>
      <c r="S371" s="55" t="n">
        <v>30</v>
      </c>
      <c r="T371" s="55"/>
      <c r="U371" s="55"/>
      <c r="V371" s="55"/>
      <c r="W371" s="55" t="s">
        <v>2454</v>
      </c>
      <c r="X371" s="4"/>
      <c r="Y371" s="4"/>
      <c r="Z371" s="4"/>
    </row>
    <row r="372" customFormat="false" ht="15.75" hidden="false" customHeight="true" outlineLevel="0" collapsed="false">
      <c r="A372" s="55" t="n">
        <v>1694</v>
      </c>
      <c r="B372" s="55" t="s">
        <v>269</v>
      </c>
      <c r="C372" s="55" t="s">
        <v>270</v>
      </c>
      <c r="D372" s="55" t="s">
        <v>2461</v>
      </c>
      <c r="E372" s="55"/>
      <c r="F372" s="55" t="s">
        <v>1194</v>
      </c>
      <c r="G372" s="55" t="s">
        <v>1194</v>
      </c>
      <c r="H372" s="55" t="s">
        <v>1248</v>
      </c>
      <c r="I372" s="55" t="s">
        <v>258</v>
      </c>
      <c r="J372" s="55" t="s">
        <v>2462</v>
      </c>
      <c r="K372" s="55" t="s">
        <v>271</v>
      </c>
      <c r="L372" s="55" t="n">
        <v>0.8125</v>
      </c>
      <c r="M372" s="55" t="n">
        <v>1.5</v>
      </c>
      <c r="N372" s="55" t="s">
        <v>141</v>
      </c>
      <c r="O372" s="55"/>
      <c r="P372" s="55"/>
      <c r="Q372" s="55"/>
      <c r="R372" s="55" t="n">
        <v>11</v>
      </c>
      <c r="S372" s="55" t="n">
        <v>169</v>
      </c>
      <c r="T372" s="55"/>
      <c r="U372" s="55"/>
      <c r="V372" s="55"/>
      <c r="W372" s="55" t="s">
        <v>2454</v>
      </c>
      <c r="X372" s="4"/>
      <c r="Y372" s="4"/>
      <c r="Z372" s="4"/>
    </row>
    <row r="373" customFormat="false" ht="15.75" hidden="false" customHeight="true" outlineLevel="0" collapsed="false">
      <c r="A373" s="55" t="n">
        <v>1668</v>
      </c>
      <c r="B373" s="55" t="s">
        <v>544</v>
      </c>
      <c r="C373" s="55" t="s">
        <v>545</v>
      </c>
      <c r="D373" s="55" t="s">
        <v>2463</v>
      </c>
      <c r="E373" s="55"/>
      <c r="F373" s="55" t="s">
        <v>1194</v>
      </c>
      <c r="G373" s="55" t="s">
        <v>1194</v>
      </c>
      <c r="H373" s="55" t="s">
        <v>1248</v>
      </c>
      <c r="I373" s="55" t="s">
        <v>529</v>
      </c>
      <c r="J373" s="55" t="s">
        <v>2464</v>
      </c>
      <c r="K373" s="55" t="s">
        <v>546</v>
      </c>
      <c r="L373" s="55" t="n">
        <v>1.5</v>
      </c>
      <c r="M373" s="55" t="n">
        <v>3</v>
      </c>
      <c r="N373" s="55" t="s">
        <v>141</v>
      </c>
      <c r="O373" s="55"/>
      <c r="P373" s="55"/>
      <c r="Q373" s="55"/>
      <c r="R373" s="55" t="n">
        <v>17</v>
      </c>
      <c r="S373" s="55" t="n">
        <v>29</v>
      </c>
      <c r="T373" s="55"/>
      <c r="U373" s="55"/>
      <c r="V373" s="55"/>
      <c r="W373" s="55" t="s">
        <v>2454</v>
      </c>
      <c r="X373" s="4"/>
      <c r="Y373" s="4"/>
      <c r="Z373" s="4"/>
    </row>
    <row r="374" customFormat="false" ht="15.75" hidden="false" customHeight="true" outlineLevel="0" collapsed="false">
      <c r="A374" s="55" t="n">
        <v>1671</v>
      </c>
      <c r="B374" s="55" t="s">
        <v>610</v>
      </c>
      <c r="C374" s="55" t="s">
        <v>611</v>
      </c>
      <c r="D374" s="55" t="s">
        <v>2465</v>
      </c>
      <c r="E374" s="55"/>
      <c r="F374" s="55" t="s">
        <v>1194</v>
      </c>
      <c r="G374" s="55" t="s">
        <v>1194</v>
      </c>
      <c r="H374" s="55" t="s">
        <v>1248</v>
      </c>
      <c r="I374" s="55" t="s">
        <v>599</v>
      </c>
      <c r="J374" s="55" t="s">
        <v>2466</v>
      </c>
      <c r="K374" s="55" t="s">
        <v>612</v>
      </c>
      <c r="L374" s="55" t="n">
        <v>1.3125</v>
      </c>
      <c r="M374" s="55" t="n">
        <v>2.625</v>
      </c>
      <c r="N374" s="55" t="s">
        <v>141</v>
      </c>
      <c r="O374" s="55"/>
      <c r="P374" s="55"/>
      <c r="Q374" s="55"/>
      <c r="R374" s="55" t="n">
        <v>31</v>
      </c>
      <c r="S374" s="55" t="n">
        <v>113</v>
      </c>
      <c r="T374" s="55"/>
      <c r="U374" s="55"/>
      <c r="V374" s="55"/>
      <c r="W374" s="55" t="s">
        <v>2454</v>
      </c>
      <c r="X374" s="4"/>
      <c r="Y374" s="4"/>
      <c r="Z374" s="4"/>
    </row>
    <row r="375" customFormat="false" ht="15.75" hidden="false" customHeight="true" outlineLevel="0" collapsed="false">
      <c r="A375" s="55" t="n">
        <v>1615</v>
      </c>
      <c r="B375" s="55" t="s">
        <v>333</v>
      </c>
      <c r="C375" s="55" t="s">
        <v>334</v>
      </c>
      <c r="D375" s="55" t="s">
        <v>2467</v>
      </c>
      <c r="E375" s="55"/>
      <c r="F375" s="55" t="s">
        <v>1194</v>
      </c>
      <c r="G375" s="55" t="s">
        <v>1194</v>
      </c>
      <c r="H375" s="55" t="s">
        <v>1248</v>
      </c>
      <c r="I375" s="55" t="s">
        <v>274</v>
      </c>
      <c r="J375" s="55" t="s">
        <v>2468</v>
      </c>
      <c r="K375" s="55" t="s">
        <v>335</v>
      </c>
      <c r="L375" s="55" t="n">
        <v>1.3125</v>
      </c>
      <c r="M375" s="55" t="n">
        <v>4.25</v>
      </c>
      <c r="N375" s="55" t="s">
        <v>141</v>
      </c>
      <c r="O375" s="55"/>
      <c r="P375" s="55"/>
      <c r="Q375" s="55"/>
      <c r="R375" s="55" t="n">
        <v>70</v>
      </c>
      <c r="S375" s="55" t="n">
        <v>33</v>
      </c>
      <c r="T375" s="55"/>
      <c r="U375" s="55"/>
      <c r="V375" s="55"/>
      <c r="W375" s="55" t="s">
        <v>2454</v>
      </c>
      <c r="X375" s="4"/>
      <c r="Y375" s="4"/>
      <c r="Z375" s="4"/>
    </row>
    <row r="376" customFormat="false" ht="15.75" hidden="false" customHeight="true" outlineLevel="0" collapsed="false">
      <c r="A376" s="55" t="n">
        <v>1672</v>
      </c>
      <c r="B376" s="55" t="s">
        <v>613</v>
      </c>
      <c r="C376" s="55" t="s">
        <v>614</v>
      </c>
      <c r="D376" s="55" t="s">
        <v>2469</v>
      </c>
      <c r="E376" s="55"/>
      <c r="F376" s="55" t="s">
        <v>1194</v>
      </c>
      <c r="G376" s="55" t="s">
        <v>1194</v>
      </c>
      <c r="H376" s="55" t="s">
        <v>1248</v>
      </c>
      <c r="I376" s="55" t="s">
        <v>599</v>
      </c>
      <c r="J376" s="55" t="s">
        <v>2470</v>
      </c>
      <c r="K376" s="55" t="s">
        <v>615</v>
      </c>
      <c r="L376" s="55" t="n">
        <v>1.3125</v>
      </c>
      <c r="M376" s="55" t="n">
        <v>2.5</v>
      </c>
      <c r="N376" s="55" t="s">
        <v>141</v>
      </c>
      <c r="O376" s="55"/>
      <c r="P376" s="55"/>
      <c r="Q376" s="55"/>
      <c r="R376" s="55" t="n">
        <v>31</v>
      </c>
      <c r="S376" s="55" t="n">
        <v>95</v>
      </c>
      <c r="T376" s="55"/>
      <c r="U376" s="55"/>
      <c r="V376" s="55"/>
      <c r="W376" s="55" t="s">
        <v>2454</v>
      </c>
      <c r="X376" s="4"/>
      <c r="Y376" s="4"/>
      <c r="Z376" s="4"/>
    </row>
    <row r="377" customFormat="false" ht="15.75" hidden="false" customHeight="true" outlineLevel="0" collapsed="false">
      <c r="A377" s="55" t="n">
        <v>1676</v>
      </c>
      <c r="B377" s="55" t="s">
        <v>623</v>
      </c>
      <c r="C377" s="55" t="s">
        <v>624</v>
      </c>
      <c r="D377" s="55" t="s">
        <v>2471</v>
      </c>
      <c r="E377" s="55"/>
      <c r="F377" s="55" t="s">
        <v>1194</v>
      </c>
      <c r="G377" s="55" t="s">
        <v>1194</v>
      </c>
      <c r="H377" s="55" t="s">
        <v>1248</v>
      </c>
      <c r="I377" s="55" t="s">
        <v>599</v>
      </c>
      <c r="J377" s="55" t="s">
        <v>2472</v>
      </c>
      <c r="K377" s="55" t="s">
        <v>625</v>
      </c>
      <c r="L377" s="55" t="n">
        <v>2.25</v>
      </c>
      <c r="M377" s="55" t="n">
        <v>3</v>
      </c>
      <c r="N377" s="55" t="s">
        <v>141</v>
      </c>
      <c r="O377" s="55"/>
      <c r="P377" s="55"/>
      <c r="Q377" s="55"/>
      <c r="R377" s="55" t="n">
        <v>29</v>
      </c>
      <c r="S377" s="55" t="n">
        <v>125</v>
      </c>
      <c r="T377" s="55"/>
      <c r="U377" s="55"/>
      <c r="V377" s="55"/>
      <c r="W377" s="55" t="s">
        <v>2454</v>
      </c>
      <c r="X377" s="4"/>
      <c r="Y377" s="4"/>
      <c r="Z377" s="4"/>
    </row>
    <row r="378" customFormat="false" ht="15.75" hidden="false" customHeight="true" outlineLevel="0" collapsed="false">
      <c r="A378" s="55" t="n">
        <v>1678</v>
      </c>
      <c r="B378" s="55" t="s">
        <v>629</v>
      </c>
      <c r="C378" s="55" t="s">
        <v>630</v>
      </c>
      <c r="D378" s="55" t="s">
        <v>2473</v>
      </c>
      <c r="E378" s="55"/>
      <c r="F378" s="55" t="s">
        <v>1194</v>
      </c>
      <c r="G378" s="55" t="s">
        <v>1194</v>
      </c>
      <c r="H378" s="55" t="s">
        <v>1248</v>
      </c>
      <c r="I378" s="55" t="s">
        <v>599</v>
      </c>
      <c r="J378" s="55" t="s">
        <v>2474</v>
      </c>
      <c r="K378" s="55" t="s">
        <v>631</v>
      </c>
      <c r="L378" s="55" t="n">
        <v>1.625</v>
      </c>
      <c r="M378" s="55" t="n">
        <v>3.5</v>
      </c>
      <c r="N378" s="55" t="s">
        <v>141</v>
      </c>
      <c r="O378" s="55"/>
      <c r="P378" s="55"/>
      <c r="Q378" s="55"/>
      <c r="R378" s="55" t="n">
        <v>34</v>
      </c>
      <c r="S378" s="55" t="n">
        <v>171</v>
      </c>
      <c r="T378" s="55"/>
      <c r="U378" s="55"/>
      <c r="V378" s="55"/>
      <c r="W378" s="55" t="s">
        <v>2454</v>
      </c>
      <c r="X378" s="4"/>
      <c r="Y378" s="4"/>
      <c r="Z378" s="4"/>
    </row>
    <row r="379" customFormat="false" ht="15.75" hidden="false" customHeight="true" outlineLevel="0" collapsed="false">
      <c r="A379" s="55" t="n">
        <v>1667</v>
      </c>
      <c r="B379" s="55" t="s">
        <v>541</v>
      </c>
      <c r="C379" s="55" t="s">
        <v>542</v>
      </c>
      <c r="D379" s="55" t="s">
        <v>2475</v>
      </c>
      <c r="E379" s="55"/>
      <c r="F379" s="55" t="s">
        <v>1194</v>
      </c>
      <c r="G379" s="55" t="s">
        <v>1194</v>
      </c>
      <c r="H379" s="55" t="s">
        <v>1248</v>
      </c>
      <c r="I379" s="55" t="s">
        <v>529</v>
      </c>
      <c r="J379" s="55" t="s">
        <v>2476</v>
      </c>
      <c r="K379" s="55" t="s">
        <v>543</v>
      </c>
      <c r="L379" s="55" t="n">
        <v>1</v>
      </c>
      <c r="M379" s="55" t="n">
        <v>2</v>
      </c>
      <c r="N379" s="55" t="s">
        <v>141</v>
      </c>
      <c r="O379" s="55"/>
      <c r="P379" s="55"/>
      <c r="Q379" s="55"/>
      <c r="R379" s="55" t="n">
        <v>16</v>
      </c>
      <c r="S379" s="55" t="n">
        <v>33</v>
      </c>
      <c r="T379" s="55"/>
      <c r="U379" s="55"/>
      <c r="V379" s="55"/>
      <c r="W379" s="55" t="s">
        <v>2454</v>
      </c>
      <c r="X379" s="4"/>
      <c r="Y379" s="4"/>
      <c r="Z379" s="4"/>
    </row>
    <row r="380" customFormat="false" ht="15.75" hidden="false" customHeight="true" outlineLevel="0" collapsed="false">
      <c r="A380" s="55" t="n">
        <v>1604</v>
      </c>
      <c r="B380" s="55" t="s">
        <v>285</v>
      </c>
      <c r="C380" s="55" t="s">
        <v>286</v>
      </c>
      <c r="D380" s="55" t="s">
        <v>2477</v>
      </c>
      <c r="E380" s="55"/>
      <c r="F380" s="55" t="s">
        <v>1194</v>
      </c>
      <c r="G380" s="55" t="s">
        <v>1194</v>
      </c>
      <c r="H380" s="55" t="s">
        <v>1248</v>
      </c>
      <c r="I380" s="55" t="s">
        <v>274</v>
      </c>
      <c r="J380" s="55" t="s">
        <v>2478</v>
      </c>
      <c r="K380" s="55" t="s">
        <v>287</v>
      </c>
      <c r="L380" s="55" t="n">
        <v>0.375</v>
      </c>
      <c r="M380" s="55" t="n">
        <v>2.25</v>
      </c>
      <c r="N380" s="55" t="s">
        <v>141</v>
      </c>
      <c r="O380" s="55"/>
      <c r="P380" s="55"/>
      <c r="Q380" s="55"/>
      <c r="R380" s="55" t="n">
        <v>61</v>
      </c>
      <c r="S380" s="55" t="n">
        <v>109</v>
      </c>
      <c r="T380" s="55"/>
      <c r="U380" s="55"/>
      <c r="V380" s="55"/>
      <c r="W380" s="55" t="s">
        <v>2454</v>
      </c>
      <c r="X380" s="4"/>
      <c r="Y380" s="4"/>
      <c r="Z380" s="4"/>
    </row>
    <row r="381" customFormat="false" ht="15.75" hidden="false" customHeight="true" outlineLevel="0" collapsed="false">
      <c r="A381" s="55" t="n">
        <v>1581</v>
      </c>
      <c r="B381" s="55" t="s">
        <v>246</v>
      </c>
      <c r="C381" s="55" t="s">
        <v>247</v>
      </c>
      <c r="D381" s="55" t="s">
        <v>2479</v>
      </c>
      <c r="E381" s="55"/>
      <c r="F381" s="55" t="s">
        <v>1194</v>
      </c>
      <c r="G381" s="55" t="s">
        <v>1194</v>
      </c>
      <c r="H381" s="55" t="s">
        <v>1248</v>
      </c>
      <c r="I381" s="55" t="s">
        <v>244</v>
      </c>
      <c r="J381" s="55" t="s">
        <v>2480</v>
      </c>
      <c r="K381" s="55" t="s">
        <v>245</v>
      </c>
      <c r="L381" s="55" t="n">
        <v>0.3125</v>
      </c>
      <c r="M381" s="55" t="n">
        <v>1.25</v>
      </c>
      <c r="N381" s="55" t="s">
        <v>141</v>
      </c>
      <c r="O381" s="55"/>
      <c r="P381" s="55"/>
      <c r="Q381" s="55"/>
      <c r="R381" s="55" t="n">
        <v>26</v>
      </c>
      <c r="S381" s="55" t="n">
        <v>65</v>
      </c>
      <c r="T381" s="55"/>
      <c r="U381" s="55"/>
      <c r="V381" s="55"/>
      <c r="W381" s="55" t="s">
        <v>2454</v>
      </c>
      <c r="X381" s="4"/>
      <c r="Y381" s="4"/>
      <c r="Z381" s="4"/>
    </row>
    <row r="382" customFormat="false" ht="15.75" hidden="false" customHeight="true" outlineLevel="0" collapsed="false">
      <c r="A382" s="55" t="n">
        <v>1591</v>
      </c>
      <c r="B382" s="55" t="s">
        <v>301</v>
      </c>
      <c r="C382" s="55" t="s">
        <v>302</v>
      </c>
      <c r="D382" s="55" t="s">
        <v>2481</v>
      </c>
      <c r="E382" s="55"/>
      <c r="F382" s="55" t="s">
        <v>1194</v>
      </c>
      <c r="G382" s="55" t="s">
        <v>1194</v>
      </c>
      <c r="H382" s="55" t="s">
        <v>1248</v>
      </c>
      <c r="I382" s="55" t="s">
        <v>274</v>
      </c>
      <c r="J382" s="55" t="s">
        <v>2482</v>
      </c>
      <c r="K382" s="55" t="s">
        <v>296</v>
      </c>
      <c r="L382" s="55" t="n">
        <v>0.75</v>
      </c>
      <c r="M382" s="55" t="n">
        <v>2.75</v>
      </c>
      <c r="N382" s="55" t="s">
        <v>141</v>
      </c>
      <c r="O382" s="55"/>
      <c r="P382" s="55"/>
      <c r="Q382" s="55"/>
      <c r="R382" s="55" t="n">
        <v>64</v>
      </c>
      <c r="S382" s="55" t="n">
        <v>48</v>
      </c>
      <c r="T382" s="55"/>
      <c r="U382" s="55"/>
      <c r="V382" s="55"/>
      <c r="W382" s="55" t="s">
        <v>2454</v>
      </c>
      <c r="X382" s="4"/>
      <c r="Y382" s="4"/>
      <c r="Z382" s="4"/>
    </row>
    <row r="383" customFormat="false" ht="15.75" hidden="false" customHeight="true" outlineLevel="0" collapsed="false">
      <c r="A383" s="55" t="n">
        <v>1587</v>
      </c>
      <c r="B383" s="55" t="s">
        <v>260</v>
      </c>
      <c r="C383" s="55" t="s">
        <v>261</v>
      </c>
      <c r="D383" s="55" t="s">
        <v>2483</v>
      </c>
      <c r="E383" s="55"/>
      <c r="F383" s="55" t="s">
        <v>1194</v>
      </c>
      <c r="G383" s="55" t="s">
        <v>1194</v>
      </c>
      <c r="H383" s="55" t="s">
        <v>1248</v>
      </c>
      <c r="I383" s="55" t="s">
        <v>258</v>
      </c>
      <c r="J383" s="55" t="s">
        <v>2484</v>
      </c>
      <c r="K383" s="55" t="s">
        <v>262</v>
      </c>
      <c r="L383" s="55" t="n">
        <v>0.75</v>
      </c>
      <c r="M383" s="55" t="n">
        <v>1.625</v>
      </c>
      <c r="N383" s="55" t="s">
        <v>141</v>
      </c>
      <c r="O383" s="55"/>
      <c r="P383" s="55"/>
      <c r="Q383" s="55"/>
      <c r="R383" s="55" t="n">
        <v>65</v>
      </c>
      <c r="S383" s="55" t="n">
        <v>156</v>
      </c>
      <c r="T383" s="55"/>
      <c r="U383" s="55"/>
      <c r="V383" s="55"/>
      <c r="W383" s="55" t="s">
        <v>2454</v>
      </c>
      <c r="X383" s="4"/>
      <c r="Y383" s="4"/>
      <c r="Z383" s="4"/>
    </row>
    <row r="384" customFormat="false" ht="15.75" hidden="false" customHeight="true" outlineLevel="0" collapsed="false">
      <c r="A384" s="55" t="n">
        <v>1584</v>
      </c>
      <c r="B384" s="55" t="s">
        <v>253</v>
      </c>
      <c r="C384" s="55" t="s">
        <v>254</v>
      </c>
      <c r="D384" s="55" t="s">
        <v>2485</v>
      </c>
      <c r="E384" s="55"/>
      <c r="F384" s="55" t="s">
        <v>1194</v>
      </c>
      <c r="G384" s="55" t="s">
        <v>1194</v>
      </c>
      <c r="H384" s="55" t="s">
        <v>1248</v>
      </c>
      <c r="I384" s="55" t="s">
        <v>244</v>
      </c>
      <c r="J384" s="55" t="s">
        <v>2486</v>
      </c>
      <c r="K384" s="55" t="s">
        <v>255</v>
      </c>
      <c r="L384" s="55" t="n">
        <v>0.3125</v>
      </c>
      <c r="M384" s="55" t="n">
        <v>2</v>
      </c>
      <c r="N384" s="55" t="s">
        <v>141</v>
      </c>
      <c r="O384" s="55"/>
      <c r="P384" s="55"/>
      <c r="Q384" s="55"/>
      <c r="R384" s="55" t="n">
        <v>26</v>
      </c>
      <c r="S384" s="55" t="n">
        <v>41</v>
      </c>
      <c r="T384" s="55"/>
      <c r="U384" s="55"/>
      <c r="V384" s="55"/>
      <c r="W384" s="55" t="s">
        <v>2454</v>
      </c>
      <c r="X384" s="4"/>
      <c r="Y384" s="4"/>
      <c r="Z384" s="4"/>
    </row>
    <row r="385" customFormat="false" ht="15.75" hidden="false" customHeight="true" outlineLevel="0" collapsed="false">
      <c r="A385" s="55" t="n">
        <v>1567</v>
      </c>
      <c r="B385" s="55" t="s">
        <v>217</v>
      </c>
      <c r="C385" s="55" t="s">
        <v>218</v>
      </c>
      <c r="D385" s="55" t="s">
        <v>2487</v>
      </c>
      <c r="E385" s="55"/>
      <c r="F385" s="55" t="s">
        <v>1194</v>
      </c>
      <c r="G385" s="55" t="s">
        <v>1194</v>
      </c>
      <c r="H385" s="55" t="s">
        <v>1248</v>
      </c>
      <c r="I385" s="55" t="s">
        <v>172</v>
      </c>
      <c r="J385" s="55" t="s">
        <v>2488</v>
      </c>
      <c r="K385" s="55" t="s">
        <v>219</v>
      </c>
      <c r="L385" s="55" t="n">
        <v>0.75</v>
      </c>
      <c r="M385" s="55" t="n">
        <v>7.25</v>
      </c>
      <c r="N385" s="55" t="s">
        <v>141</v>
      </c>
      <c r="O385" s="55"/>
      <c r="P385" s="55"/>
      <c r="Q385" s="55"/>
      <c r="R385" s="55" t="n">
        <v>67</v>
      </c>
      <c r="S385" s="55" t="n">
        <v>204</v>
      </c>
      <c r="T385" s="55"/>
      <c r="U385" s="55"/>
      <c r="V385" s="55"/>
      <c r="W385" s="55" t="s">
        <v>2454</v>
      </c>
      <c r="X385" s="4"/>
      <c r="Y385" s="4"/>
      <c r="Z385" s="4"/>
    </row>
    <row r="386" customFormat="false" ht="15.75" hidden="false" customHeight="true" outlineLevel="0" collapsed="false">
      <c r="A386" s="55" t="n">
        <v>1554</v>
      </c>
      <c r="B386" s="55" t="s">
        <v>190</v>
      </c>
      <c r="C386" s="55" t="s">
        <v>191</v>
      </c>
      <c r="D386" s="55" t="s">
        <v>2489</v>
      </c>
      <c r="E386" s="55"/>
      <c r="F386" s="55" t="s">
        <v>1194</v>
      </c>
      <c r="G386" s="55" t="s">
        <v>1194</v>
      </c>
      <c r="H386" s="55" t="s">
        <v>1248</v>
      </c>
      <c r="I386" s="55" t="s">
        <v>172</v>
      </c>
      <c r="J386" s="55" t="s">
        <v>2490</v>
      </c>
      <c r="K386" s="55" t="s">
        <v>192</v>
      </c>
      <c r="L386" s="55" t="n">
        <v>0.375</v>
      </c>
      <c r="M386" s="55" t="n">
        <v>4</v>
      </c>
      <c r="N386" s="55" t="s">
        <v>141</v>
      </c>
      <c r="O386" s="55"/>
      <c r="P386" s="55"/>
      <c r="Q386" s="55"/>
      <c r="R386" s="55" t="n">
        <v>64</v>
      </c>
      <c r="S386" s="55" t="n">
        <v>274</v>
      </c>
      <c r="T386" s="55"/>
      <c r="U386" s="55"/>
      <c r="V386" s="55"/>
      <c r="W386" s="55" t="s">
        <v>2454</v>
      </c>
      <c r="X386" s="4"/>
      <c r="Y386" s="4"/>
      <c r="Z386" s="4"/>
    </row>
    <row r="387" customFormat="false" ht="15.75" hidden="false" customHeight="true" outlineLevel="0" collapsed="false">
      <c r="A387" s="55" t="n">
        <v>1553</v>
      </c>
      <c r="B387" s="55" t="s">
        <v>188</v>
      </c>
      <c r="C387" s="55" t="s">
        <v>189</v>
      </c>
      <c r="D387" s="55" t="s">
        <v>2491</v>
      </c>
      <c r="E387" s="55"/>
      <c r="F387" s="55" t="s">
        <v>1194</v>
      </c>
      <c r="G387" s="55" t="s">
        <v>1194</v>
      </c>
      <c r="H387" s="55" t="s">
        <v>1248</v>
      </c>
      <c r="I387" s="55" t="s">
        <v>172</v>
      </c>
      <c r="J387" s="55" t="s">
        <v>2492</v>
      </c>
      <c r="K387" s="55" t="s">
        <v>187</v>
      </c>
      <c r="L387" s="55" t="n">
        <v>0.625</v>
      </c>
      <c r="M387" s="55" t="n">
        <v>4.25</v>
      </c>
      <c r="N387" s="55" t="s">
        <v>141</v>
      </c>
      <c r="O387" s="55"/>
      <c r="P387" s="55"/>
      <c r="Q387" s="55"/>
      <c r="R387" s="55" t="n">
        <v>75</v>
      </c>
      <c r="S387" s="55" t="n">
        <v>816</v>
      </c>
      <c r="T387" s="55"/>
      <c r="U387" s="55"/>
      <c r="V387" s="55"/>
      <c r="W387" s="55" t="s">
        <v>2454</v>
      </c>
      <c r="X387" s="4"/>
      <c r="Y387" s="4"/>
      <c r="Z387" s="4"/>
    </row>
    <row r="388" customFormat="false" ht="15.75" hidden="false" customHeight="true" outlineLevel="0" collapsed="false">
      <c r="A388" s="55" t="n">
        <v>1551</v>
      </c>
      <c r="B388" s="55" t="s">
        <v>177</v>
      </c>
      <c r="C388" s="55" t="s">
        <v>178</v>
      </c>
      <c r="D388" s="55" t="s">
        <v>2493</v>
      </c>
      <c r="E388" s="55"/>
      <c r="F388" s="55" t="s">
        <v>1194</v>
      </c>
      <c r="G388" s="55" t="s">
        <v>1194</v>
      </c>
      <c r="H388" s="55" t="s">
        <v>1248</v>
      </c>
      <c r="I388" s="55" t="s">
        <v>172</v>
      </c>
      <c r="J388" s="55" t="s">
        <v>2494</v>
      </c>
      <c r="K388" s="55" t="s">
        <v>179</v>
      </c>
      <c r="L388" s="55" t="n">
        <v>0.625</v>
      </c>
      <c r="M388" s="55" t="n">
        <v>3.5</v>
      </c>
      <c r="N388" s="55" t="s">
        <v>141</v>
      </c>
      <c r="O388" s="55"/>
      <c r="P388" s="55"/>
      <c r="Q388" s="55"/>
      <c r="R388" s="55" t="n">
        <v>74</v>
      </c>
      <c r="S388" s="55" t="n">
        <v>104</v>
      </c>
      <c r="T388" s="55"/>
      <c r="U388" s="55"/>
      <c r="V388" s="55"/>
      <c r="W388" s="55" t="s">
        <v>2454</v>
      </c>
      <c r="X388" s="4"/>
      <c r="Y388" s="4"/>
      <c r="Z388" s="4"/>
    </row>
    <row r="389" customFormat="false" ht="15.75" hidden="false" customHeight="true" outlineLevel="0" collapsed="false">
      <c r="A389" s="55" t="n">
        <v>1539</v>
      </c>
      <c r="B389" s="55" t="s">
        <v>204</v>
      </c>
      <c r="C389" s="55" t="s">
        <v>205</v>
      </c>
      <c r="D389" s="55" t="s">
        <v>2495</v>
      </c>
      <c r="E389" s="55"/>
      <c r="F389" s="55" t="s">
        <v>1194</v>
      </c>
      <c r="G389" s="55" t="s">
        <v>1194</v>
      </c>
      <c r="H389" s="55" t="s">
        <v>1248</v>
      </c>
      <c r="I389" s="55" t="s">
        <v>172</v>
      </c>
      <c r="J389" s="55" t="s">
        <v>2496</v>
      </c>
      <c r="K389" s="55" t="s">
        <v>197</v>
      </c>
      <c r="L389" s="55" t="n">
        <v>0.625</v>
      </c>
      <c r="M389" s="55" t="n">
        <v>5.25</v>
      </c>
      <c r="N389" s="55" t="s">
        <v>141</v>
      </c>
      <c r="O389" s="55"/>
      <c r="P389" s="55"/>
      <c r="Q389" s="55"/>
      <c r="R389" s="55" t="n">
        <v>71</v>
      </c>
      <c r="S389" s="55" t="n">
        <v>118</v>
      </c>
      <c r="T389" s="55"/>
      <c r="U389" s="55"/>
      <c r="V389" s="55"/>
      <c r="W389" s="55" t="s">
        <v>2454</v>
      </c>
      <c r="X389" s="4"/>
      <c r="Y389" s="4"/>
      <c r="Z389" s="4"/>
    </row>
    <row r="390" customFormat="false" ht="15.75" hidden="false" customHeight="true" outlineLevel="0" collapsed="false">
      <c r="A390" s="55" t="n">
        <v>1536</v>
      </c>
      <c r="B390" s="55" t="s">
        <v>601</v>
      </c>
      <c r="C390" s="55" t="s">
        <v>602</v>
      </c>
      <c r="D390" s="55" t="s">
        <v>2497</v>
      </c>
      <c r="E390" s="55"/>
      <c r="F390" s="55" t="s">
        <v>1194</v>
      </c>
      <c r="G390" s="55" t="s">
        <v>1194</v>
      </c>
      <c r="H390" s="55" t="s">
        <v>1248</v>
      </c>
      <c r="I390" s="55" t="s">
        <v>599</v>
      </c>
      <c r="J390" s="55" t="s">
        <v>2498</v>
      </c>
      <c r="K390" s="55" t="s">
        <v>603</v>
      </c>
      <c r="L390" s="55" t="n">
        <v>1.75</v>
      </c>
      <c r="M390" s="55" t="n">
        <v>5.25</v>
      </c>
      <c r="N390" s="55" t="s">
        <v>141</v>
      </c>
      <c r="O390" s="55"/>
      <c r="P390" s="55"/>
      <c r="Q390" s="55"/>
      <c r="R390" s="55" t="n">
        <v>13</v>
      </c>
      <c r="S390" s="55" t="n">
        <v>97</v>
      </c>
      <c r="T390" s="55"/>
      <c r="U390" s="55"/>
      <c r="V390" s="55"/>
      <c r="W390" s="55" t="s">
        <v>2454</v>
      </c>
      <c r="X390" s="4"/>
      <c r="Y390" s="4"/>
      <c r="Z390" s="4"/>
    </row>
    <row r="391" customFormat="false" ht="15.75" hidden="false" customHeight="true" outlineLevel="0" collapsed="false">
      <c r="A391" s="55" t="n">
        <v>1535</v>
      </c>
      <c r="B391" s="55" t="s">
        <v>597</v>
      </c>
      <c r="C391" s="55" t="s">
        <v>598</v>
      </c>
      <c r="D391" s="55" t="s">
        <v>2499</v>
      </c>
      <c r="E391" s="55"/>
      <c r="F391" s="55" t="s">
        <v>1194</v>
      </c>
      <c r="G391" s="55" t="s">
        <v>1194</v>
      </c>
      <c r="H391" s="55" t="s">
        <v>1248</v>
      </c>
      <c r="I391" s="55" t="s">
        <v>599</v>
      </c>
      <c r="J391" s="55" t="s">
        <v>2500</v>
      </c>
      <c r="K391" s="55" t="s">
        <v>600</v>
      </c>
      <c r="L391" s="55" t="n">
        <v>1.25</v>
      </c>
      <c r="M391" s="55" t="n">
        <v>3.625</v>
      </c>
      <c r="N391" s="55" t="s">
        <v>141</v>
      </c>
      <c r="O391" s="55"/>
      <c r="P391" s="55"/>
      <c r="Q391" s="55"/>
      <c r="R391" s="55" t="n">
        <v>13</v>
      </c>
      <c r="S391" s="55" t="n">
        <v>247</v>
      </c>
      <c r="T391" s="55"/>
      <c r="U391" s="55"/>
      <c r="V391" s="55"/>
      <c r="W391" s="55" t="s">
        <v>2454</v>
      </c>
      <c r="X391" s="4"/>
      <c r="Y391" s="4"/>
      <c r="Z391" s="4"/>
    </row>
    <row r="392" customFormat="false" ht="15.75" hidden="false" customHeight="true" outlineLevel="0" collapsed="false">
      <c r="A392" s="55" t="n">
        <v>1532</v>
      </c>
      <c r="B392" s="55" t="s">
        <v>418</v>
      </c>
      <c r="C392" s="55" t="s">
        <v>419</v>
      </c>
      <c r="D392" s="55" t="s">
        <v>2501</v>
      </c>
      <c r="E392" s="55"/>
      <c r="F392" s="55" t="s">
        <v>1194</v>
      </c>
      <c r="G392" s="55" t="s">
        <v>1194</v>
      </c>
      <c r="H392" s="55" t="s">
        <v>1248</v>
      </c>
      <c r="I392" s="55" t="s">
        <v>420</v>
      </c>
      <c r="J392" s="55" t="s">
        <v>2502</v>
      </c>
      <c r="K392" s="55" t="s">
        <v>421</v>
      </c>
      <c r="L392" s="55" t="n">
        <v>0.5</v>
      </c>
      <c r="M392" s="55" t="n">
        <v>2.5</v>
      </c>
      <c r="N392" s="55" t="s">
        <v>141</v>
      </c>
      <c r="O392" s="55"/>
      <c r="P392" s="55"/>
      <c r="Q392" s="55"/>
      <c r="R392" s="55" t="n">
        <v>5</v>
      </c>
      <c r="S392" s="55" t="n">
        <v>173</v>
      </c>
      <c r="T392" s="55"/>
      <c r="U392" s="55"/>
      <c r="V392" s="55"/>
      <c r="W392" s="55" t="s">
        <v>2454</v>
      </c>
      <c r="X392" s="4"/>
      <c r="Y392" s="4"/>
      <c r="Z392" s="4"/>
    </row>
    <row r="393" customFormat="false" ht="15.75" hidden="false" customHeight="true" outlineLevel="0" collapsed="false">
      <c r="A393" s="55" t="n">
        <v>1533</v>
      </c>
      <c r="B393" s="55" t="s">
        <v>422</v>
      </c>
      <c r="C393" s="55" t="s">
        <v>423</v>
      </c>
      <c r="D393" s="55" t="s">
        <v>2503</v>
      </c>
      <c r="E393" s="55"/>
      <c r="F393" s="55" t="s">
        <v>1194</v>
      </c>
      <c r="G393" s="55" t="s">
        <v>1194</v>
      </c>
      <c r="H393" s="55" t="s">
        <v>1248</v>
      </c>
      <c r="I393" s="55" t="s">
        <v>420</v>
      </c>
      <c r="J393" s="55" t="s">
        <v>2504</v>
      </c>
      <c r="K393" s="55" t="s">
        <v>424</v>
      </c>
      <c r="L393" s="55" t="n">
        <v>0.5</v>
      </c>
      <c r="M393" s="55" t="n">
        <v>4</v>
      </c>
      <c r="N393" s="55" t="s">
        <v>141</v>
      </c>
      <c r="O393" s="55"/>
      <c r="P393" s="55"/>
      <c r="Q393" s="55"/>
      <c r="R393" s="55" t="n">
        <v>5</v>
      </c>
      <c r="S393" s="55" t="n">
        <v>83</v>
      </c>
      <c r="T393" s="55"/>
      <c r="U393" s="55"/>
      <c r="V393" s="55"/>
      <c r="W393" s="55" t="s">
        <v>2454</v>
      </c>
      <c r="X393" s="4"/>
      <c r="Y393" s="4"/>
      <c r="Z393" s="4"/>
    </row>
    <row r="394" customFormat="false" ht="15.75" hidden="false" customHeight="true" outlineLevel="0" collapsed="false">
      <c r="A394" s="55" t="n">
        <v>1602</v>
      </c>
      <c r="B394" s="55" t="s">
        <v>279</v>
      </c>
      <c r="C394" s="55" t="s">
        <v>280</v>
      </c>
      <c r="D394" s="55" t="s">
        <v>2505</v>
      </c>
      <c r="E394" s="55"/>
      <c r="F394" s="55" t="s">
        <v>1194</v>
      </c>
      <c r="G394" s="55" t="s">
        <v>1194</v>
      </c>
      <c r="H394" s="55" t="s">
        <v>1248</v>
      </c>
      <c r="I394" s="55" t="s">
        <v>274</v>
      </c>
      <c r="J394" s="55" t="s">
        <v>2506</v>
      </c>
      <c r="K394" s="55" t="s">
        <v>281</v>
      </c>
      <c r="L394" s="55" t="n">
        <v>0.375</v>
      </c>
      <c r="M394" s="55" t="n">
        <v>2.125</v>
      </c>
      <c r="N394" s="55" t="s">
        <v>141</v>
      </c>
      <c r="O394" s="55"/>
      <c r="P394" s="55"/>
      <c r="Q394" s="55"/>
      <c r="R394" s="55" t="n">
        <v>79</v>
      </c>
      <c r="S394" s="55" t="n">
        <v>57</v>
      </c>
      <c r="T394" s="55"/>
      <c r="U394" s="55"/>
      <c r="V394" s="55"/>
      <c r="W394" s="55" t="s">
        <v>2454</v>
      </c>
      <c r="X394" s="4"/>
      <c r="Y394" s="4"/>
      <c r="Z394" s="4"/>
    </row>
    <row r="395" customFormat="false" ht="15.75" hidden="false" customHeight="true" outlineLevel="0" collapsed="false">
      <c r="A395" s="55" t="n">
        <v>1695</v>
      </c>
      <c r="B395" s="55" t="s">
        <v>336</v>
      </c>
      <c r="C395" s="55" t="s">
        <v>337</v>
      </c>
      <c r="D395" s="55" t="s">
        <v>2507</v>
      </c>
      <c r="E395" s="55"/>
      <c r="F395" s="55" t="s">
        <v>1194</v>
      </c>
      <c r="G395" s="55" t="s">
        <v>1194</v>
      </c>
      <c r="H395" s="55" t="s">
        <v>1248</v>
      </c>
      <c r="I395" s="55" t="s">
        <v>274</v>
      </c>
      <c r="J395" s="55" t="s">
        <v>2508</v>
      </c>
      <c r="K395" s="55" t="s">
        <v>338</v>
      </c>
      <c r="L395" s="55" t="n">
        <v>0.75</v>
      </c>
      <c r="M395" s="55" t="n">
        <v>4</v>
      </c>
      <c r="N395" s="55" t="s">
        <v>141</v>
      </c>
      <c r="O395" s="55"/>
      <c r="P395" s="55"/>
      <c r="Q395" s="55"/>
      <c r="R395" s="55" t="n">
        <v>21</v>
      </c>
      <c r="S395" s="55" t="n">
        <v>69</v>
      </c>
      <c r="T395" s="55"/>
      <c r="U395" s="55"/>
      <c r="V395" s="55"/>
      <c r="W395" s="55" t="s">
        <v>2454</v>
      </c>
      <c r="X395" s="4"/>
      <c r="Y395" s="4"/>
      <c r="Z395" s="4"/>
    </row>
    <row r="396" customFormat="false" ht="15.75" hidden="false" customHeight="true" outlineLevel="0" collapsed="false">
      <c r="A396" s="55" t="n">
        <v>1624</v>
      </c>
      <c r="B396" s="55" t="s">
        <v>352</v>
      </c>
      <c r="C396" s="55" t="s">
        <v>353</v>
      </c>
      <c r="D396" s="55" t="s">
        <v>2509</v>
      </c>
      <c r="E396" s="55"/>
      <c r="F396" s="55" t="s">
        <v>1194</v>
      </c>
      <c r="G396" s="55" t="s">
        <v>1194</v>
      </c>
      <c r="H396" s="55" t="s">
        <v>1248</v>
      </c>
      <c r="I396" s="55" t="s">
        <v>344</v>
      </c>
      <c r="J396" s="55" t="s">
        <v>2510</v>
      </c>
      <c r="K396" s="55" t="s">
        <v>354</v>
      </c>
      <c r="L396" s="55" t="n">
        <v>1.0625</v>
      </c>
      <c r="M396" s="55" t="n">
        <v>2.5</v>
      </c>
      <c r="N396" s="55" t="s">
        <v>141</v>
      </c>
      <c r="O396" s="55"/>
      <c r="P396" s="55"/>
      <c r="Q396" s="55"/>
      <c r="R396" s="55" t="n">
        <v>106</v>
      </c>
      <c r="S396" s="55" t="n">
        <v>139</v>
      </c>
      <c r="T396" s="55"/>
      <c r="U396" s="55"/>
      <c r="V396" s="55"/>
      <c r="W396" s="55" t="s">
        <v>2454</v>
      </c>
      <c r="X396" s="4"/>
      <c r="Y396" s="4"/>
      <c r="Z396" s="4"/>
    </row>
    <row r="397" customFormat="false" ht="15.75" hidden="false" customHeight="true" outlineLevel="0" collapsed="false">
      <c r="A397" s="55" t="n">
        <v>1780</v>
      </c>
      <c r="B397" s="55" t="s">
        <v>900</v>
      </c>
      <c r="C397" s="55" t="s">
        <v>901</v>
      </c>
      <c r="D397" s="55" t="s">
        <v>2511</v>
      </c>
      <c r="E397" s="55"/>
      <c r="F397" s="55" t="s">
        <v>1194</v>
      </c>
      <c r="G397" s="55" t="s">
        <v>1194</v>
      </c>
      <c r="H397" s="55" t="s">
        <v>1196</v>
      </c>
      <c r="I397" s="55" t="s">
        <v>886</v>
      </c>
      <c r="J397" s="55" t="s">
        <v>2512</v>
      </c>
      <c r="K397" s="55" t="s">
        <v>889</v>
      </c>
      <c r="L397" s="55"/>
      <c r="M397" s="55"/>
      <c r="N397" s="55" t="s">
        <v>732</v>
      </c>
      <c r="O397" s="55"/>
      <c r="P397" s="55" t="s">
        <v>1539</v>
      </c>
      <c r="Q397" s="55"/>
      <c r="R397" s="55" t="n">
        <v>31</v>
      </c>
      <c r="S397" s="55" t="n">
        <v>158</v>
      </c>
      <c r="T397" s="55"/>
      <c r="U397" s="55"/>
      <c r="V397" s="55"/>
      <c r="W397" s="55" t="s">
        <v>2454</v>
      </c>
      <c r="X397" s="4"/>
      <c r="Y397" s="4"/>
      <c r="Z397" s="4"/>
    </row>
    <row r="398" customFormat="false" ht="15.75" hidden="false" customHeight="true" outlineLevel="0" collapsed="false">
      <c r="A398" s="55" t="n">
        <v>1720</v>
      </c>
      <c r="B398" s="55" t="s">
        <v>490</v>
      </c>
      <c r="C398" s="55" t="s">
        <v>491</v>
      </c>
      <c r="D398" s="55" t="s">
        <v>2513</v>
      </c>
      <c r="E398" s="55"/>
      <c r="F398" s="55" t="s">
        <v>1194</v>
      </c>
      <c r="G398" s="55" t="s">
        <v>1194</v>
      </c>
      <c r="H398" s="55" t="s">
        <v>1248</v>
      </c>
      <c r="I398" s="55" t="s">
        <v>420</v>
      </c>
      <c r="J398" s="55" t="s">
        <v>2514</v>
      </c>
      <c r="K398" s="55" t="s">
        <v>492</v>
      </c>
      <c r="L398" s="55" t="n">
        <v>1.25</v>
      </c>
      <c r="M398" s="55" t="n">
        <v>3.25</v>
      </c>
      <c r="N398" s="55" t="s">
        <v>141</v>
      </c>
      <c r="O398" s="55"/>
      <c r="P398" s="55"/>
      <c r="Q398" s="55"/>
      <c r="R398" s="55" t="n">
        <v>33</v>
      </c>
      <c r="S398" s="55" t="n">
        <v>42</v>
      </c>
      <c r="T398" s="55"/>
      <c r="U398" s="55"/>
      <c r="V398" s="55"/>
      <c r="W398" s="55" t="s">
        <v>2454</v>
      </c>
      <c r="X398" s="4"/>
      <c r="Y398" s="4"/>
      <c r="Z398" s="4"/>
    </row>
    <row r="399" customFormat="false" ht="15.75" hidden="false" customHeight="true" outlineLevel="0" collapsed="false">
      <c r="A399" s="55" t="n">
        <v>1729</v>
      </c>
      <c r="B399" s="55" t="s">
        <v>714</v>
      </c>
      <c r="C399" s="55" t="s">
        <v>715</v>
      </c>
      <c r="D399" s="55" t="s">
        <v>2515</v>
      </c>
      <c r="E399" s="55"/>
      <c r="F399" s="55" t="s">
        <v>1194</v>
      </c>
      <c r="G399" s="55" t="s">
        <v>1194</v>
      </c>
      <c r="H399" s="55" t="s">
        <v>1248</v>
      </c>
      <c r="I399" s="55" t="s">
        <v>704</v>
      </c>
      <c r="J399" s="55" t="s">
        <v>2516</v>
      </c>
      <c r="K399" s="55" t="s">
        <v>716</v>
      </c>
      <c r="L399" s="55" t="n">
        <v>1.25</v>
      </c>
      <c r="M399" s="55" t="n">
        <v>3.5</v>
      </c>
      <c r="N399" s="55" t="s">
        <v>141</v>
      </c>
      <c r="O399" s="55"/>
      <c r="P399" s="55"/>
      <c r="Q399" s="55"/>
      <c r="R399" s="55" t="n">
        <v>52</v>
      </c>
      <c r="S399" s="55" t="n">
        <v>48</v>
      </c>
      <c r="T399" s="55"/>
      <c r="U399" s="55"/>
      <c r="V399" s="55"/>
      <c r="W399" s="55" t="s">
        <v>2454</v>
      </c>
      <c r="X399" s="4"/>
      <c r="Y399" s="4"/>
      <c r="Z399" s="4"/>
    </row>
    <row r="400" customFormat="false" ht="15.75" hidden="false" customHeight="true" outlineLevel="0" collapsed="false">
      <c r="A400" s="55" t="n">
        <v>1696</v>
      </c>
      <c r="B400" s="55" t="s">
        <v>339</v>
      </c>
      <c r="C400" s="55" t="s">
        <v>340</v>
      </c>
      <c r="D400" s="55" t="s">
        <v>2517</v>
      </c>
      <c r="E400" s="55"/>
      <c r="F400" s="55" t="s">
        <v>1194</v>
      </c>
      <c r="G400" s="55" t="s">
        <v>1194</v>
      </c>
      <c r="H400" s="55" t="s">
        <v>1248</v>
      </c>
      <c r="I400" s="55" t="s">
        <v>274</v>
      </c>
      <c r="J400" s="55" t="s">
        <v>2518</v>
      </c>
      <c r="K400" s="55" t="s">
        <v>341</v>
      </c>
      <c r="L400" s="55" t="n">
        <v>0.75</v>
      </c>
      <c r="M400" s="55" t="n">
        <v>6</v>
      </c>
      <c r="N400" s="55" t="s">
        <v>141</v>
      </c>
      <c r="O400" s="55"/>
      <c r="P400" s="55"/>
      <c r="Q400" s="55"/>
      <c r="R400" s="55" t="n">
        <v>21</v>
      </c>
      <c r="S400" s="55" t="n">
        <v>35</v>
      </c>
      <c r="T400" s="55"/>
      <c r="U400" s="55"/>
      <c r="V400" s="55"/>
      <c r="W400" s="55" t="s">
        <v>2454</v>
      </c>
      <c r="X400" s="4"/>
      <c r="Y400" s="4"/>
      <c r="Z400" s="4"/>
    </row>
    <row r="401" customFormat="false" ht="15.75" hidden="false" customHeight="true" outlineLevel="0" collapsed="false">
      <c r="A401" s="55" t="n">
        <v>1756</v>
      </c>
      <c r="B401" s="55" t="s">
        <v>676</v>
      </c>
      <c r="C401" s="55" t="s">
        <v>677</v>
      </c>
      <c r="D401" s="55" t="s">
        <v>2519</v>
      </c>
      <c r="E401" s="55"/>
      <c r="F401" s="55" t="s">
        <v>1194</v>
      </c>
      <c r="G401" s="55" t="s">
        <v>1194</v>
      </c>
      <c r="H401" s="55" t="s">
        <v>1248</v>
      </c>
      <c r="I401" s="55" t="s">
        <v>654</v>
      </c>
      <c r="J401" s="55" t="s">
        <v>2520</v>
      </c>
      <c r="K401" s="55" t="s">
        <v>678</v>
      </c>
      <c r="L401" s="55" t="n">
        <v>1.375</v>
      </c>
      <c r="M401" s="55" t="n">
        <v>5</v>
      </c>
      <c r="N401" s="55" t="s">
        <v>141</v>
      </c>
      <c r="O401" s="55"/>
      <c r="P401" s="55"/>
      <c r="Q401" s="55"/>
      <c r="R401" s="55" t="n">
        <v>29</v>
      </c>
      <c r="S401" s="55" t="n">
        <v>58</v>
      </c>
      <c r="T401" s="55"/>
      <c r="U401" s="55"/>
      <c r="V401" s="55"/>
      <c r="W401" s="55" t="s">
        <v>2454</v>
      </c>
      <c r="X401" s="4"/>
      <c r="Y401" s="4"/>
      <c r="Z401" s="4"/>
    </row>
    <row r="402" customFormat="false" ht="15.75" hidden="false" customHeight="true" outlineLevel="0" collapsed="false">
      <c r="A402" s="55" t="n">
        <v>1712</v>
      </c>
      <c r="B402" s="55" t="s">
        <v>469</v>
      </c>
      <c r="C402" s="55" t="s">
        <v>470</v>
      </c>
      <c r="D402" s="55" t="s">
        <v>2521</v>
      </c>
      <c r="E402" s="55"/>
      <c r="F402" s="55" t="s">
        <v>1194</v>
      </c>
      <c r="G402" s="55" t="s">
        <v>1194</v>
      </c>
      <c r="H402" s="55" t="s">
        <v>1248</v>
      </c>
      <c r="I402" s="55" t="s">
        <v>420</v>
      </c>
      <c r="J402" s="55" t="s">
        <v>2522</v>
      </c>
      <c r="K402" s="55" t="s">
        <v>471</v>
      </c>
      <c r="L402" s="55" t="n">
        <v>0.25</v>
      </c>
      <c r="M402" s="55" t="n">
        <v>0.75</v>
      </c>
      <c r="N402" s="55" t="s">
        <v>141</v>
      </c>
      <c r="O402" s="55"/>
      <c r="P402" s="55"/>
      <c r="Q402" s="55"/>
      <c r="R402" s="55" t="n">
        <v>23</v>
      </c>
      <c r="S402" s="55" t="n">
        <v>70</v>
      </c>
      <c r="T402" s="55"/>
      <c r="U402" s="55"/>
      <c r="V402" s="55"/>
      <c r="W402" s="55" t="s">
        <v>2454</v>
      </c>
      <c r="X402" s="4"/>
      <c r="Y402" s="4"/>
      <c r="Z402" s="4"/>
    </row>
    <row r="403" customFormat="false" ht="15.75" hidden="false" customHeight="true" outlineLevel="0" collapsed="false">
      <c r="A403" s="55" t="n">
        <v>1711</v>
      </c>
      <c r="B403" s="55" t="s">
        <v>696</v>
      </c>
      <c r="C403" s="55" t="s">
        <v>697</v>
      </c>
      <c r="D403" s="55" t="s">
        <v>2523</v>
      </c>
      <c r="E403" s="55"/>
      <c r="F403" s="55" t="s">
        <v>1194</v>
      </c>
      <c r="G403" s="55" t="s">
        <v>1194</v>
      </c>
      <c r="H403" s="55" t="s">
        <v>1248</v>
      </c>
      <c r="I403" s="55" t="s">
        <v>681</v>
      </c>
      <c r="J403" s="55" t="s">
        <v>2524</v>
      </c>
      <c r="K403" s="55" t="s">
        <v>698</v>
      </c>
      <c r="L403" s="55" t="n">
        <v>0.5</v>
      </c>
      <c r="M403" s="55" t="n">
        <v>2.25</v>
      </c>
      <c r="N403" s="55" t="s">
        <v>141</v>
      </c>
      <c r="O403" s="55"/>
      <c r="P403" s="55"/>
      <c r="Q403" s="55"/>
      <c r="R403" s="55" t="n">
        <v>46</v>
      </c>
      <c r="S403" s="55" t="n">
        <v>65</v>
      </c>
      <c r="T403" s="55"/>
      <c r="U403" s="55"/>
      <c r="V403" s="55"/>
      <c r="W403" s="55" t="s">
        <v>2454</v>
      </c>
      <c r="X403" s="4"/>
      <c r="Y403" s="4"/>
      <c r="Z403" s="4"/>
    </row>
    <row r="404" customFormat="false" ht="15.75" hidden="false" customHeight="true" outlineLevel="0" collapsed="false">
      <c r="A404" s="55" t="n">
        <v>1718</v>
      </c>
      <c r="B404" s="55" t="s">
        <v>484</v>
      </c>
      <c r="C404" s="55" t="s">
        <v>485</v>
      </c>
      <c r="D404" s="55" t="s">
        <v>2525</v>
      </c>
      <c r="E404" s="55"/>
      <c r="F404" s="55" t="s">
        <v>1194</v>
      </c>
      <c r="G404" s="55" t="s">
        <v>1194</v>
      </c>
      <c r="H404" s="55" t="s">
        <v>1248</v>
      </c>
      <c r="I404" s="55" t="s">
        <v>420</v>
      </c>
      <c r="J404" s="55" t="s">
        <v>2526</v>
      </c>
      <c r="K404" s="55" t="s">
        <v>486</v>
      </c>
      <c r="L404" s="55" t="n">
        <v>1.3125</v>
      </c>
      <c r="M404" s="55" t="n">
        <v>2.375</v>
      </c>
      <c r="N404" s="55" t="s">
        <v>141</v>
      </c>
      <c r="O404" s="55"/>
      <c r="P404" s="55"/>
      <c r="Q404" s="55"/>
      <c r="R404" s="55" t="n">
        <v>33</v>
      </c>
      <c r="S404" s="55" t="n">
        <v>61</v>
      </c>
      <c r="T404" s="55"/>
      <c r="U404" s="55"/>
      <c r="V404" s="55"/>
      <c r="W404" s="55" t="s">
        <v>2454</v>
      </c>
      <c r="X404" s="4"/>
      <c r="Y404" s="4"/>
      <c r="Z404" s="4"/>
    </row>
    <row r="405" customFormat="false" ht="15.75" hidden="false" customHeight="true" outlineLevel="0" collapsed="false">
      <c r="A405" s="55" t="n">
        <v>1709</v>
      </c>
      <c r="B405" s="55" t="s">
        <v>692</v>
      </c>
      <c r="C405" s="55" t="s">
        <v>693</v>
      </c>
      <c r="D405" s="55" t="s">
        <v>2527</v>
      </c>
      <c r="E405" s="55"/>
      <c r="F405" s="55" t="s">
        <v>1194</v>
      </c>
      <c r="G405" s="55" t="s">
        <v>1194</v>
      </c>
      <c r="H405" s="55" t="s">
        <v>1248</v>
      </c>
      <c r="I405" s="55" t="s">
        <v>681</v>
      </c>
      <c r="J405" s="55" t="s">
        <v>2528</v>
      </c>
      <c r="K405" s="55" t="s">
        <v>293</v>
      </c>
      <c r="L405" s="55" t="n">
        <v>0.75</v>
      </c>
      <c r="M405" s="55" t="n">
        <v>2.5</v>
      </c>
      <c r="N405" s="55" t="s">
        <v>141</v>
      </c>
      <c r="O405" s="55"/>
      <c r="P405" s="55"/>
      <c r="Q405" s="55"/>
      <c r="R405" s="55" t="n">
        <v>46</v>
      </c>
      <c r="S405" s="55" t="n">
        <v>61</v>
      </c>
      <c r="T405" s="55"/>
      <c r="U405" s="55"/>
      <c r="V405" s="55"/>
      <c r="W405" s="55" t="s">
        <v>2454</v>
      </c>
      <c r="X405" s="4"/>
      <c r="Y405" s="4"/>
      <c r="Z405" s="4"/>
    </row>
    <row r="406" customFormat="false" ht="15.75" hidden="false" customHeight="true" outlineLevel="0" collapsed="false">
      <c r="A406" s="55" t="n">
        <v>1706</v>
      </c>
      <c r="B406" s="55" t="s">
        <v>683</v>
      </c>
      <c r="C406" s="55" t="s">
        <v>684</v>
      </c>
      <c r="D406" s="55" t="s">
        <v>2529</v>
      </c>
      <c r="E406" s="55"/>
      <c r="F406" s="55" t="s">
        <v>1194</v>
      </c>
      <c r="G406" s="55" t="s">
        <v>1194</v>
      </c>
      <c r="H406" s="55" t="s">
        <v>1248</v>
      </c>
      <c r="I406" s="55" t="s">
        <v>681</v>
      </c>
      <c r="J406" s="55" t="s">
        <v>2530</v>
      </c>
      <c r="K406" s="55" t="s">
        <v>685</v>
      </c>
      <c r="L406" s="55" t="n">
        <v>0.5</v>
      </c>
      <c r="M406" s="55" t="n">
        <v>1.75</v>
      </c>
      <c r="N406" s="55" t="s">
        <v>141</v>
      </c>
      <c r="O406" s="55"/>
      <c r="P406" s="55"/>
      <c r="Q406" s="55"/>
      <c r="R406" s="55" t="n">
        <v>46</v>
      </c>
      <c r="S406" s="55" t="n">
        <v>75</v>
      </c>
      <c r="T406" s="55"/>
      <c r="U406" s="55"/>
      <c r="V406" s="55"/>
      <c r="W406" s="55" t="s">
        <v>2454</v>
      </c>
      <c r="X406" s="4"/>
      <c r="Y406" s="4"/>
      <c r="Z406" s="4"/>
    </row>
    <row r="407" customFormat="false" ht="15.75" hidden="false" customHeight="true" outlineLevel="0" collapsed="false">
      <c r="A407" s="55" t="n">
        <v>1758</v>
      </c>
      <c r="B407" s="55" t="s">
        <v>493</v>
      </c>
      <c r="C407" s="55" t="s">
        <v>494</v>
      </c>
      <c r="D407" s="55" t="s">
        <v>2531</v>
      </c>
      <c r="E407" s="55"/>
      <c r="F407" s="55" t="s">
        <v>1194</v>
      </c>
      <c r="G407" s="55" t="s">
        <v>1194</v>
      </c>
      <c r="H407" s="55" t="s">
        <v>1248</v>
      </c>
      <c r="I407" s="55" t="s">
        <v>420</v>
      </c>
      <c r="J407" s="55" t="s">
        <v>2532</v>
      </c>
      <c r="K407" s="55" t="s">
        <v>495</v>
      </c>
      <c r="L407" s="55" t="n">
        <v>0.75</v>
      </c>
      <c r="M407" s="55" t="n">
        <v>2.875</v>
      </c>
      <c r="N407" s="55" t="s">
        <v>141</v>
      </c>
      <c r="O407" s="55"/>
      <c r="P407" s="55"/>
      <c r="Q407" s="55"/>
      <c r="R407" s="55" t="n">
        <v>32</v>
      </c>
      <c r="S407" s="55" t="n">
        <v>64</v>
      </c>
      <c r="T407" s="55"/>
      <c r="U407" s="55"/>
      <c r="V407" s="55"/>
      <c r="W407" s="55" t="s">
        <v>2454</v>
      </c>
      <c r="X407" s="4"/>
      <c r="Y407" s="4"/>
      <c r="Z407" s="4"/>
    </row>
    <row r="408" customFormat="false" ht="15.75" hidden="false" customHeight="true" outlineLevel="0" collapsed="false">
      <c r="A408" s="55" t="n">
        <v>1699</v>
      </c>
      <c r="B408" s="55" t="s">
        <v>576</v>
      </c>
      <c r="C408" s="55" t="s">
        <v>577</v>
      </c>
      <c r="D408" s="55" t="s">
        <v>2533</v>
      </c>
      <c r="E408" s="55"/>
      <c r="F408" s="55" t="s">
        <v>1194</v>
      </c>
      <c r="G408" s="55" t="s">
        <v>1194</v>
      </c>
      <c r="H408" s="55" t="s">
        <v>1248</v>
      </c>
      <c r="I408" s="55" t="s">
        <v>578</v>
      </c>
      <c r="J408" s="55" t="s">
        <v>2534</v>
      </c>
      <c r="K408" s="55" t="s">
        <v>579</v>
      </c>
      <c r="L408" s="55" t="n">
        <v>0.25</v>
      </c>
      <c r="M408" s="55" t="n">
        <v>0.25</v>
      </c>
      <c r="N408" s="55" t="s">
        <v>141</v>
      </c>
      <c r="O408" s="55"/>
      <c r="P408" s="55"/>
      <c r="Q408" s="55"/>
      <c r="R408" s="55" t="n">
        <v>23</v>
      </c>
      <c r="S408" s="55" t="n">
        <v>86</v>
      </c>
      <c r="T408" s="55"/>
      <c r="U408" s="55"/>
      <c r="V408" s="55"/>
      <c r="W408" s="55" t="s">
        <v>2454</v>
      </c>
      <c r="X408" s="4"/>
      <c r="Y408" s="4"/>
      <c r="Z408" s="4"/>
    </row>
    <row r="409" customFormat="false" ht="15.75" hidden="false" customHeight="true" outlineLevel="0" collapsed="false">
      <c r="A409" s="55" t="n">
        <v>1700</v>
      </c>
      <c r="B409" s="55" t="s">
        <v>580</v>
      </c>
      <c r="C409" s="55" t="s">
        <v>581</v>
      </c>
      <c r="D409" s="55" t="s">
        <v>2535</v>
      </c>
      <c r="E409" s="55"/>
      <c r="F409" s="55" t="s">
        <v>1194</v>
      </c>
      <c r="G409" s="55" t="s">
        <v>1194</v>
      </c>
      <c r="H409" s="55" t="s">
        <v>1248</v>
      </c>
      <c r="I409" s="55" t="s">
        <v>578</v>
      </c>
      <c r="J409" s="55" t="s">
        <v>2536</v>
      </c>
      <c r="K409" s="55" t="s">
        <v>582</v>
      </c>
      <c r="L409" s="55" t="n">
        <v>0.75</v>
      </c>
      <c r="M409" s="55" t="n">
        <v>0.75</v>
      </c>
      <c r="N409" s="55" t="s">
        <v>141</v>
      </c>
      <c r="O409" s="55"/>
      <c r="P409" s="55"/>
      <c r="Q409" s="55"/>
      <c r="R409" s="55" t="n">
        <v>23</v>
      </c>
      <c r="S409" s="55" t="n">
        <v>137</v>
      </c>
      <c r="T409" s="55"/>
      <c r="U409" s="55"/>
      <c r="V409" s="55"/>
      <c r="W409" s="55" t="s">
        <v>2454</v>
      </c>
      <c r="X409" s="4"/>
      <c r="Y409" s="4"/>
      <c r="Z409" s="4"/>
    </row>
    <row r="410" customFormat="false" ht="15.75" hidden="false" customHeight="true" outlineLevel="0" collapsed="false">
      <c r="A410" s="55" t="n">
        <v>1955</v>
      </c>
      <c r="B410" s="55" t="s">
        <v>414</v>
      </c>
      <c r="C410" s="55" t="s">
        <v>415</v>
      </c>
      <c r="D410" s="55" t="s">
        <v>2537</v>
      </c>
      <c r="E410" s="55"/>
      <c r="F410" s="55" t="s">
        <v>1194</v>
      </c>
      <c r="G410" s="55" t="s">
        <v>1194</v>
      </c>
      <c r="H410" s="55" t="s">
        <v>1248</v>
      </c>
      <c r="I410" s="55" t="s">
        <v>379</v>
      </c>
      <c r="J410" s="55" t="s">
        <v>2538</v>
      </c>
      <c r="K410" s="55" t="s">
        <v>416</v>
      </c>
      <c r="L410" s="55" t="n">
        <v>0.75</v>
      </c>
      <c r="M410" s="55" t="n">
        <v>7.25</v>
      </c>
      <c r="N410" s="55" t="s">
        <v>417</v>
      </c>
      <c r="O410" s="55"/>
      <c r="P410" s="55"/>
      <c r="Q410" s="55"/>
      <c r="R410" s="55" t="n">
        <v>17</v>
      </c>
      <c r="S410" s="55" t="n">
        <v>264</v>
      </c>
      <c r="T410" s="55"/>
      <c r="U410" s="55"/>
      <c r="V410" s="55"/>
      <c r="W410" s="55" t="s">
        <v>2454</v>
      </c>
      <c r="X410" s="4"/>
      <c r="Y410" s="4"/>
      <c r="Z410" s="4"/>
    </row>
    <row r="411" customFormat="false" ht="15.75" hidden="false" customHeight="true" outlineLevel="0" collapsed="false">
      <c r="A411" s="55" t="n">
        <v>1680</v>
      </c>
      <c r="B411" s="55" t="s">
        <v>500</v>
      </c>
      <c r="C411" s="55" t="s">
        <v>501</v>
      </c>
      <c r="D411" s="55" t="s">
        <v>2539</v>
      </c>
      <c r="E411" s="55" t="s">
        <v>2539</v>
      </c>
      <c r="F411" s="55" t="s">
        <v>1194</v>
      </c>
      <c r="G411" s="55" t="s">
        <v>1195</v>
      </c>
      <c r="H411" s="55" t="s">
        <v>1248</v>
      </c>
      <c r="I411" s="55" t="s">
        <v>498</v>
      </c>
      <c r="J411" s="55" t="s">
        <v>2540</v>
      </c>
      <c r="K411" s="55" t="s">
        <v>502</v>
      </c>
      <c r="L411" s="55" t="n">
        <v>0.75</v>
      </c>
      <c r="M411" s="55" t="n">
        <v>6.8333</v>
      </c>
      <c r="N411" s="55" t="s">
        <v>141</v>
      </c>
      <c r="O411" s="55"/>
      <c r="P411" s="55"/>
      <c r="Q411" s="55"/>
      <c r="R411" s="55" t="n">
        <v>101</v>
      </c>
      <c r="S411" s="55" t="n">
        <v>257</v>
      </c>
      <c r="T411" s="55"/>
      <c r="U411" s="55" t="s">
        <v>501</v>
      </c>
      <c r="V411" s="55" t="s">
        <v>1503</v>
      </c>
      <c r="W411" s="55" t="s">
        <v>2541</v>
      </c>
      <c r="X411" s="4"/>
      <c r="Y411" s="4"/>
      <c r="Z411" s="4"/>
    </row>
    <row r="412" customFormat="false" ht="15.75" hidden="false" customHeight="true" outlineLevel="0" collapsed="false">
      <c r="A412" s="55" t="n">
        <v>1546</v>
      </c>
      <c r="B412" s="55" t="s">
        <v>226</v>
      </c>
      <c r="C412" s="55" t="s">
        <v>227</v>
      </c>
      <c r="D412" s="55" t="s">
        <v>2542</v>
      </c>
      <c r="E412" s="55" t="s">
        <v>2542</v>
      </c>
      <c r="F412" s="55" t="s">
        <v>1194</v>
      </c>
      <c r="G412" s="55" t="s">
        <v>1195</v>
      </c>
      <c r="H412" s="55" t="s">
        <v>1248</v>
      </c>
      <c r="I412" s="55" t="s">
        <v>172</v>
      </c>
      <c r="J412" s="55" t="s">
        <v>2543</v>
      </c>
      <c r="K412" s="55" t="s">
        <v>228</v>
      </c>
      <c r="L412" s="55" t="n">
        <v>0.6471</v>
      </c>
      <c r="M412" s="55" t="n">
        <v>7.25</v>
      </c>
      <c r="N412" s="55" t="s">
        <v>141</v>
      </c>
      <c r="O412" s="55"/>
      <c r="P412" s="55"/>
      <c r="Q412" s="55"/>
      <c r="R412" s="55" t="n">
        <v>78</v>
      </c>
      <c r="S412" s="55" t="n">
        <v>508</v>
      </c>
      <c r="T412" s="55"/>
      <c r="U412" s="55" t="s">
        <v>2544</v>
      </c>
      <c r="V412" s="55" t="s">
        <v>2545</v>
      </c>
      <c r="W412" s="55" t="s">
        <v>2541</v>
      </c>
      <c r="X412" s="4"/>
      <c r="Y412" s="4"/>
      <c r="Z412" s="4"/>
    </row>
    <row r="413" customFormat="false" ht="15.75" hidden="false" customHeight="true" outlineLevel="0" collapsed="false">
      <c r="A413" s="55" t="n">
        <v>1550</v>
      </c>
      <c r="B413" s="55" t="s">
        <v>174</v>
      </c>
      <c r="C413" s="55" t="s">
        <v>175</v>
      </c>
      <c r="D413" s="55" t="s">
        <v>2546</v>
      </c>
      <c r="E413" s="55" t="s">
        <v>2546</v>
      </c>
      <c r="F413" s="55" t="s">
        <v>1194</v>
      </c>
      <c r="G413" s="55" t="s">
        <v>1195</v>
      </c>
      <c r="H413" s="55" t="s">
        <v>1248</v>
      </c>
      <c r="I413" s="55" t="s">
        <v>172</v>
      </c>
      <c r="J413" s="55" t="s">
        <v>2547</v>
      </c>
      <c r="K413" s="55" t="s">
        <v>176</v>
      </c>
      <c r="L413" s="55" t="n">
        <v>0.3333</v>
      </c>
      <c r="M413" s="55" t="n">
        <v>3.25</v>
      </c>
      <c r="N413" s="55" t="s">
        <v>141</v>
      </c>
      <c r="O413" s="55"/>
      <c r="P413" s="55"/>
      <c r="Q413" s="55"/>
      <c r="R413" s="55" t="n">
        <v>65</v>
      </c>
      <c r="S413" s="55" t="n">
        <v>76</v>
      </c>
      <c r="T413" s="55"/>
      <c r="U413" s="55" t="s">
        <v>2548</v>
      </c>
      <c r="V413" s="55" t="s">
        <v>2549</v>
      </c>
      <c r="W413" s="55" t="s">
        <v>2541</v>
      </c>
      <c r="X413" s="4"/>
      <c r="Y413" s="4"/>
      <c r="Z413" s="4"/>
    </row>
    <row r="414" customFormat="false" ht="15.75" hidden="false" customHeight="true" outlineLevel="0" collapsed="false">
      <c r="A414" s="55" t="n">
        <v>1679</v>
      </c>
      <c r="B414" s="55" t="s">
        <v>496</v>
      </c>
      <c r="C414" s="55" t="s">
        <v>497</v>
      </c>
      <c r="D414" s="55" t="s">
        <v>2550</v>
      </c>
      <c r="E414" s="55" t="s">
        <v>2551</v>
      </c>
      <c r="F414" s="55" t="s">
        <v>1195</v>
      </c>
      <c r="G414" s="55" t="s">
        <v>1195</v>
      </c>
      <c r="H414" s="55" t="s">
        <v>1248</v>
      </c>
      <c r="I414" s="55" t="s">
        <v>498</v>
      </c>
      <c r="J414" s="55" t="s">
        <v>2552</v>
      </c>
      <c r="K414" s="55" t="s">
        <v>499</v>
      </c>
      <c r="L414" s="55" t="n">
        <v>0.8</v>
      </c>
      <c r="M414" s="55" t="n">
        <v>4.625</v>
      </c>
      <c r="N414" s="55" t="s">
        <v>141</v>
      </c>
      <c r="O414" s="55"/>
      <c r="P414" s="55"/>
      <c r="Q414" s="55"/>
      <c r="R414" s="55" t="n">
        <v>102</v>
      </c>
      <c r="S414" s="55" t="n">
        <v>303</v>
      </c>
      <c r="T414" s="55"/>
      <c r="U414" s="55" t="s">
        <v>2553</v>
      </c>
      <c r="V414" s="55" t="s">
        <v>2554</v>
      </c>
      <c r="W414" s="55" t="s">
        <v>2555</v>
      </c>
      <c r="X414" s="4"/>
      <c r="Y414" s="4"/>
      <c r="Z414" s="4"/>
    </row>
    <row r="415" customFormat="false" ht="15.75" hidden="false" customHeight="true" outlineLevel="0" collapsed="false">
      <c r="A415" s="55" t="n">
        <v>1939</v>
      </c>
      <c r="B415" s="55"/>
      <c r="C415" s="55" t="s">
        <v>734</v>
      </c>
      <c r="D415" s="55" t="s">
        <v>2556</v>
      </c>
      <c r="E415" s="55" t="s">
        <v>2556</v>
      </c>
      <c r="F415" s="55" t="s">
        <v>1194</v>
      </c>
      <c r="G415" s="55" t="s">
        <v>1195</v>
      </c>
      <c r="H415" s="55" t="s">
        <v>1196</v>
      </c>
      <c r="I415" s="55" t="s">
        <v>730</v>
      </c>
      <c r="J415" s="55" t="s">
        <v>2557</v>
      </c>
      <c r="K415" s="55" t="s">
        <v>731</v>
      </c>
      <c r="L415" s="55"/>
      <c r="M415" s="55"/>
      <c r="N415" s="55" t="s">
        <v>732</v>
      </c>
      <c r="O415" s="55"/>
      <c r="P415" s="55" t="s">
        <v>1539</v>
      </c>
      <c r="Q415" s="55"/>
      <c r="R415" s="55" t="n">
        <v>98</v>
      </c>
      <c r="S415" s="55" t="n">
        <v>757</v>
      </c>
      <c r="T415" s="55"/>
      <c r="U415" s="55" t="s">
        <v>734</v>
      </c>
      <c r="V415" s="55" t="s">
        <v>2558</v>
      </c>
      <c r="W415" s="55" t="s">
        <v>2559</v>
      </c>
      <c r="X415" s="4"/>
      <c r="Y415" s="4"/>
      <c r="Z415" s="4"/>
    </row>
    <row r="416" customFormat="false" ht="15.75" hidden="false" customHeight="true" outlineLevel="0" collapsed="false">
      <c r="A416" s="55" t="n">
        <v>1940</v>
      </c>
      <c r="B416" s="55"/>
      <c r="C416" s="55" t="s">
        <v>733</v>
      </c>
      <c r="D416" s="55" t="s">
        <v>2560</v>
      </c>
      <c r="E416" s="55" t="s">
        <v>2560</v>
      </c>
      <c r="F416" s="55" t="s">
        <v>1194</v>
      </c>
      <c r="G416" s="55" t="s">
        <v>1195</v>
      </c>
      <c r="H416" s="55" t="s">
        <v>1196</v>
      </c>
      <c r="I416" s="55" t="s">
        <v>730</v>
      </c>
      <c r="J416" s="55" t="s">
        <v>2561</v>
      </c>
      <c r="K416" s="55" t="s">
        <v>731</v>
      </c>
      <c r="L416" s="55"/>
      <c r="M416" s="55"/>
      <c r="N416" s="55" t="s">
        <v>732</v>
      </c>
      <c r="O416" s="55"/>
      <c r="P416" s="55" t="s">
        <v>1539</v>
      </c>
      <c r="Q416" s="55"/>
      <c r="R416" s="55" t="n">
        <v>0</v>
      </c>
      <c r="S416" s="55" t="n">
        <v>538</v>
      </c>
      <c r="T416" s="55"/>
      <c r="U416" s="55" t="s">
        <v>733</v>
      </c>
      <c r="V416" s="55" t="s">
        <v>2562</v>
      </c>
      <c r="W416" s="55" t="s">
        <v>2563</v>
      </c>
      <c r="X416" s="4"/>
      <c r="Y416" s="4"/>
      <c r="Z416" s="4"/>
    </row>
    <row r="417" customFormat="false" ht="15.75" hidden="false" customHeight="true" outlineLevel="0" collapsed="false">
      <c r="A417" s="55" t="n">
        <v>1938</v>
      </c>
      <c r="B417" s="55"/>
      <c r="C417" s="55" t="s">
        <v>729</v>
      </c>
      <c r="D417" s="55" t="s">
        <v>2564</v>
      </c>
      <c r="E417" s="55"/>
      <c r="F417" s="55" t="s">
        <v>1194</v>
      </c>
      <c r="G417" s="55" t="s">
        <v>1194</v>
      </c>
      <c r="H417" s="55" t="s">
        <v>1196</v>
      </c>
      <c r="I417" s="55" t="s">
        <v>730</v>
      </c>
      <c r="J417" s="55" t="s">
        <v>2565</v>
      </c>
      <c r="K417" s="55" t="s">
        <v>731</v>
      </c>
      <c r="L417" s="55"/>
      <c r="M417" s="55"/>
      <c r="N417" s="55" t="s">
        <v>732</v>
      </c>
      <c r="O417" s="55"/>
      <c r="P417" s="55" t="s">
        <v>1539</v>
      </c>
      <c r="Q417" s="55"/>
      <c r="R417" s="55" t="n">
        <v>0</v>
      </c>
      <c r="S417" s="55" t="n">
        <v>139</v>
      </c>
      <c r="T417" s="55"/>
      <c r="U417" s="55"/>
      <c r="V417" s="55"/>
      <c r="W417" s="55" t="s">
        <v>2566</v>
      </c>
      <c r="X417" s="4"/>
      <c r="Y417" s="4"/>
      <c r="Z417" s="4"/>
    </row>
    <row r="418" customFormat="false" ht="15.75" hidden="false" customHeight="true" outlineLevel="0" collapsed="false">
      <c r="A418" s="55" t="n">
        <v>1944</v>
      </c>
      <c r="B418" s="55" t="s">
        <v>634</v>
      </c>
      <c r="C418" s="55" t="s">
        <v>635</v>
      </c>
      <c r="D418" s="55" t="s">
        <v>2567</v>
      </c>
      <c r="E418" s="55"/>
      <c r="F418" s="55" t="s">
        <v>1194</v>
      </c>
      <c r="G418" s="55" t="s">
        <v>1194</v>
      </c>
      <c r="H418" s="55" t="s">
        <v>1248</v>
      </c>
      <c r="I418" s="55" t="s">
        <v>599</v>
      </c>
      <c r="J418" s="55" t="s">
        <v>2568</v>
      </c>
      <c r="K418" s="55" t="s">
        <v>636</v>
      </c>
      <c r="L418" s="55"/>
      <c r="M418" s="55"/>
      <c r="N418" s="55" t="s">
        <v>417</v>
      </c>
      <c r="O418" s="55"/>
      <c r="P418" s="55"/>
      <c r="Q418" s="55"/>
      <c r="R418" s="55" t="n">
        <v>1</v>
      </c>
      <c r="S418" s="55" t="n">
        <v>282</v>
      </c>
      <c r="T418" s="55"/>
      <c r="U418" s="55"/>
      <c r="V418" s="55"/>
      <c r="W418" s="55" t="s">
        <v>2569</v>
      </c>
      <c r="X418" s="4"/>
      <c r="Y418" s="4"/>
      <c r="Z418" s="4"/>
    </row>
    <row r="419" customFormat="false" ht="15.75" hidden="false" customHeight="true" outlineLevel="0" collapsed="false">
      <c r="A419" s="55" t="n">
        <v>2026</v>
      </c>
      <c r="B419" s="55" t="s">
        <v>1149</v>
      </c>
      <c r="C419" s="55" t="s">
        <v>1150</v>
      </c>
      <c r="D419" s="55" t="s">
        <v>2570</v>
      </c>
      <c r="E419" s="55"/>
      <c r="F419" s="55" t="s">
        <v>1194</v>
      </c>
      <c r="G419" s="55" t="s">
        <v>1194</v>
      </c>
      <c r="H419" s="55" t="s">
        <v>1235</v>
      </c>
      <c r="I419" s="55"/>
      <c r="J419" s="55" t="s">
        <v>2571</v>
      </c>
      <c r="K419" s="55" t="s">
        <v>1151</v>
      </c>
      <c r="L419" s="55"/>
      <c r="M419" s="55"/>
      <c r="N419" s="55" t="s">
        <v>1152</v>
      </c>
      <c r="O419" s="55"/>
      <c r="P419" s="55"/>
      <c r="Q419" s="55" t="s">
        <v>1444</v>
      </c>
      <c r="R419" s="55" t="n">
        <v>8</v>
      </c>
      <c r="S419" s="55" t="n">
        <v>237</v>
      </c>
      <c r="T419" s="55"/>
      <c r="U419" s="55"/>
      <c r="V419" s="55"/>
      <c r="W419" s="55" t="s">
        <v>2569</v>
      </c>
      <c r="X419" s="4"/>
      <c r="Y419" s="4"/>
      <c r="Z419" s="4"/>
    </row>
    <row r="420" customFormat="false" ht="15.75" hidden="false" customHeight="true" outlineLevel="0" collapsed="false">
      <c r="A420" s="55" t="n">
        <v>2062</v>
      </c>
      <c r="B420" s="55" t="s">
        <v>1123</v>
      </c>
      <c r="C420" s="55" t="s">
        <v>1124</v>
      </c>
      <c r="D420" s="55" t="s">
        <v>2572</v>
      </c>
      <c r="E420" s="55" t="s">
        <v>2572</v>
      </c>
      <c r="F420" s="55" t="s">
        <v>1194</v>
      </c>
      <c r="G420" s="55" t="s">
        <v>1195</v>
      </c>
      <c r="H420" s="55" t="s">
        <v>1448</v>
      </c>
      <c r="I420" s="55" t="s">
        <v>1091</v>
      </c>
      <c r="J420" s="55" t="s">
        <v>2573</v>
      </c>
      <c r="K420" s="55"/>
      <c r="L420" s="55"/>
      <c r="M420" s="55"/>
      <c r="N420" s="55"/>
      <c r="O420" s="55"/>
      <c r="P420" s="55"/>
      <c r="Q420" s="55"/>
      <c r="R420" s="55" t="n">
        <v>6</v>
      </c>
      <c r="S420" s="55" t="n">
        <v>40</v>
      </c>
      <c r="T420" s="55"/>
      <c r="U420" s="55" t="s">
        <v>1124</v>
      </c>
      <c r="V420" s="55" t="s">
        <v>2574</v>
      </c>
      <c r="W420" s="55" t="s">
        <v>2575</v>
      </c>
      <c r="X420" s="4"/>
      <c r="Y420" s="4"/>
      <c r="Z420" s="4"/>
    </row>
    <row r="421" customFormat="false" ht="15.75" hidden="false" customHeight="true" outlineLevel="0" collapsed="false">
      <c r="A421" s="55" t="n">
        <v>2061</v>
      </c>
      <c r="B421" s="55" t="s">
        <v>1101</v>
      </c>
      <c r="C421" s="55" t="s">
        <v>1102</v>
      </c>
      <c r="D421" s="55" t="s">
        <v>2576</v>
      </c>
      <c r="E421" s="55" t="s">
        <v>2576</v>
      </c>
      <c r="F421" s="55" t="s">
        <v>1194</v>
      </c>
      <c r="G421" s="55" t="s">
        <v>1195</v>
      </c>
      <c r="H421" s="55" t="s">
        <v>1448</v>
      </c>
      <c r="I421" s="55" t="s">
        <v>1091</v>
      </c>
      <c r="J421" s="55" t="s">
        <v>2577</v>
      </c>
      <c r="K421" s="55"/>
      <c r="L421" s="55"/>
      <c r="M421" s="55"/>
      <c r="N421" s="55"/>
      <c r="O421" s="55"/>
      <c r="P421" s="55"/>
      <c r="Q421" s="55"/>
      <c r="R421" s="55" t="n">
        <v>6</v>
      </c>
      <c r="S421" s="55" t="n">
        <v>4</v>
      </c>
      <c r="T421" s="55"/>
      <c r="U421" s="55" t="s">
        <v>1102</v>
      </c>
      <c r="V421" s="55" t="s">
        <v>2578</v>
      </c>
      <c r="W421" s="55" t="s">
        <v>2575</v>
      </c>
      <c r="X421" s="4"/>
      <c r="Y421" s="4"/>
      <c r="Z421" s="4"/>
    </row>
    <row r="422" customFormat="false" ht="15.75" hidden="false" customHeight="true" outlineLevel="0" collapsed="false">
      <c r="A422" s="55" t="n">
        <v>2074</v>
      </c>
      <c r="B422" s="55" t="s">
        <v>1058</v>
      </c>
      <c r="C422" s="55" t="s">
        <v>1059</v>
      </c>
      <c r="D422" s="55" t="s">
        <v>2579</v>
      </c>
      <c r="E422" s="55" t="s">
        <v>2579</v>
      </c>
      <c r="F422" s="55" t="s">
        <v>1194</v>
      </c>
      <c r="G422" s="55" t="s">
        <v>1195</v>
      </c>
      <c r="H422" s="55" t="s">
        <v>1448</v>
      </c>
      <c r="I422" s="55" t="s">
        <v>1050</v>
      </c>
      <c r="J422" s="55" t="s">
        <v>2580</v>
      </c>
      <c r="K422" s="55"/>
      <c r="L422" s="55"/>
      <c r="M422" s="55"/>
      <c r="N422" s="55"/>
      <c r="O422" s="55"/>
      <c r="P422" s="55"/>
      <c r="Q422" s="55"/>
      <c r="R422" s="55" t="n">
        <v>7</v>
      </c>
      <c r="S422" s="55" t="n">
        <v>49</v>
      </c>
      <c r="T422" s="55"/>
      <c r="U422" s="55" t="s">
        <v>1059</v>
      </c>
      <c r="V422" s="55" t="s">
        <v>2581</v>
      </c>
      <c r="W422" s="55" t="s">
        <v>2575</v>
      </c>
      <c r="X422" s="4"/>
      <c r="Y422" s="4"/>
      <c r="Z422" s="4"/>
    </row>
    <row r="423" customFormat="false" ht="15.75" hidden="false" customHeight="true" outlineLevel="0" collapsed="false">
      <c r="A423" s="55" t="n">
        <v>1697</v>
      </c>
      <c r="B423" s="55" t="s">
        <v>573</v>
      </c>
      <c r="C423" s="55" t="s">
        <v>574</v>
      </c>
      <c r="D423" s="55" t="s">
        <v>2582</v>
      </c>
      <c r="E423" s="55" t="s">
        <v>2582</v>
      </c>
      <c r="F423" s="55" t="s">
        <v>1194</v>
      </c>
      <c r="G423" s="55" t="s">
        <v>1195</v>
      </c>
      <c r="H423" s="55" t="s">
        <v>1248</v>
      </c>
      <c r="I423" s="55" t="s">
        <v>575</v>
      </c>
      <c r="J423" s="55" t="s">
        <v>2583</v>
      </c>
      <c r="K423" s="55"/>
      <c r="L423" s="55"/>
      <c r="M423" s="55"/>
      <c r="N423" s="55" t="s">
        <v>141</v>
      </c>
      <c r="O423" s="55"/>
      <c r="P423" s="55"/>
      <c r="Q423" s="55"/>
      <c r="R423" s="55" t="n">
        <v>16</v>
      </c>
      <c r="S423" s="55" t="n">
        <v>344</v>
      </c>
      <c r="T423" s="55"/>
      <c r="U423" s="55" t="s">
        <v>575</v>
      </c>
      <c r="V423" s="55" t="s">
        <v>1503</v>
      </c>
      <c r="W423" s="55" t="s">
        <v>2575</v>
      </c>
      <c r="X423" s="4"/>
      <c r="Y423" s="4"/>
      <c r="Z423" s="4"/>
    </row>
    <row r="424" customFormat="false" ht="15.75" hidden="false" customHeight="true" outlineLevel="0" collapsed="false">
      <c r="A424" s="55" t="n">
        <v>2073</v>
      </c>
      <c r="B424" s="55" t="s">
        <v>1056</v>
      </c>
      <c r="C424" s="55" t="s">
        <v>1057</v>
      </c>
      <c r="D424" s="55" t="s">
        <v>2584</v>
      </c>
      <c r="E424" s="55" t="s">
        <v>2584</v>
      </c>
      <c r="F424" s="55" t="s">
        <v>1194</v>
      </c>
      <c r="G424" s="55" t="s">
        <v>1195</v>
      </c>
      <c r="H424" s="55" t="s">
        <v>1448</v>
      </c>
      <c r="I424" s="55" t="s">
        <v>1050</v>
      </c>
      <c r="J424" s="55" t="s">
        <v>2585</v>
      </c>
      <c r="K424" s="55"/>
      <c r="L424" s="55"/>
      <c r="M424" s="55"/>
      <c r="N424" s="55"/>
      <c r="O424" s="55"/>
      <c r="P424" s="55"/>
      <c r="Q424" s="55"/>
      <c r="R424" s="55" t="n">
        <v>10</v>
      </c>
      <c r="S424" s="55" t="n">
        <v>33</v>
      </c>
      <c r="T424" s="55"/>
      <c r="U424" s="55" t="s">
        <v>1057</v>
      </c>
      <c r="V424" s="55" t="s">
        <v>2586</v>
      </c>
      <c r="W424" s="55" t="s">
        <v>2575</v>
      </c>
      <c r="X424" s="4"/>
      <c r="Y424" s="4"/>
      <c r="Z424" s="4"/>
    </row>
    <row r="425" customFormat="false" ht="15.75" hidden="false" customHeight="true" outlineLevel="0" collapsed="false">
      <c r="A425" s="55" t="n">
        <v>2077</v>
      </c>
      <c r="B425" s="55" t="s">
        <v>1088</v>
      </c>
      <c r="C425" s="55" t="s">
        <v>1089</v>
      </c>
      <c r="D425" s="55" t="s">
        <v>2587</v>
      </c>
      <c r="E425" s="55" t="s">
        <v>2587</v>
      </c>
      <c r="F425" s="55" t="s">
        <v>1194</v>
      </c>
      <c r="G425" s="55" t="s">
        <v>1195</v>
      </c>
      <c r="H425" s="55" t="s">
        <v>1448</v>
      </c>
      <c r="I425" s="55" t="s">
        <v>1080</v>
      </c>
      <c r="J425" s="55" t="s">
        <v>2588</v>
      </c>
      <c r="K425" s="55"/>
      <c r="L425" s="55"/>
      <c r="M425" s="55"/>
      <c r="N425" s="55"/>
      <c r="O425" s="55"/>
      <c r="P425" s="55"/>
      <c r="Q425" s="55"/>
      <c r="R425" s="55" t="n">
        <v>11</v>
      </c>
      <c r="S425" s="55" t="n">
        <v>10</v>
      </c>
      <c r="T425" s="55"/>
      <c r="U425" s="55" t="s">
        <v>1089</v>
      </c>
      <c r="V425" s="55" t="s">
        <v>2589</v>
      </c>
      <c r="W425" s="55" t="s">
        <v>2575</v>
      </c>
      <c r="X425" s="4"/>
      <c r="Y425" s="4"/>
      <c r="Z425" s="4"/>
    </row>
    <row r="426" customFormat="false" ht="15.75" hidden="false" customHeight="true" outlineLevel="0" collapsed="false">
      <c r="A426" s="55" t="n">
        <v>2024</v>
      </c>
      <c r="B426" s="55" t="s">
        <v>1130</v>
      </c>
      <c r="C426" s="55" t="s">
        <v>1131</v>
      </c>
      <c r="D426" s="55" t="s">
        <v>2590</v>
      </c>
      <c r="E426" s="55" t="s">
        <v>2590</v>
      </c>
      <c r="F426" s="55" t="s">
        <v>1194</v>
      </c>
      <c r="G426" s="55" t="s">
        <v>1195</v>
      </c>
      <c r="H426" s="55" t="s">
        <v>1235</v>
      </c>
      <c r="I426" s="55"/>
      <c r="J426" s="55" t="s">
        <v>2591</v>
      </c>
      <c r="K426" s="55"/>
      <c r="L426" s="55"/>
      <c r="M426" s="55"/>
      <c r="N426" s="55"/>
      <c r="O426" s="55"/>
      <c r="P426" s="55"/>
      <c r="Q426" s="55"/>
      <c r="R426" s="55" t="n">
        <v>11</v>
      </c>
      <c r="S426" s="55" t="n">
        <v>28</v>
      </c>
      <c r="T426" s="55"/>
      <c r="U426" s="55" t="s">
        <v>1131</v>
      </c>
      <c r="V426" s="55" t="s">
        <v>2592</v>
      </c>
      <c r="W426" s="55" t="s">
        <v>2575</v>
      </c>
      <c r="X426" s="4"/>
      <c r="Y426" s="4"/>
      <c r="Z426" s="4"/>
    </row>
    <row r="427" customFormat="false" ht="15.75" hidden="false" customHeight="true" outlineLevel="0" collapsed="false">
      <c r="A427" s="55" t="n">
        <v>2037</v>
      </c>
      <c r="B427" s="55" t="s">
        <v>1082</v>
      </c>
      <c r="C427" s="55" t="s">
        <v>1083</v>
      </c>
      <c r="D427" s="55" t="s">
        <v>2593</v>
      </c>
      <c r="E427" s="55" t="s">
        <v>2593</v>
      </c>
      <c r="F427" s="55" t="s">
        <v>1194</v>
      </c>
      <c r="G427" s="55" t="s">
        <v>1195</v>
      </c>
      <c r="H427" s="55" t="s">
        <v>1448</v>
      </c>
      <c r="I427" s="55" t="s">
        <v>1080</v>
      </c>
      <c r="J427" s="55" t="s">
        <v>2594</v>
      </c>
      <c r="K427" s="55"/>
      <c r="L427" s="55"/>
      <c r="M427" s="55"/>
      <c r="N427" s="55"/>
      <c r="O427" s="55"/>
      <c r="P427" s="55"/>
      <c r="Q427" s="55"/>
      <c r="R427" s="55" t="n">
        <v>8</v>
      </c>
      <c r="S427" s="55" t="n">
        <v>13</v>
      </c>
      <c r="T427" s="55"/>
      <c r="U427" s="55" t="s">
        <v>1083</v>
      </c>
      <c r="V427" s="55" t="s">
        <v>2595</v>
      </c>
      <c r="W427" s="55" t="s">
        <v>2575</v>
      </c>
      <c r="X427" s="4"/>
      <c r="Y427" s="4"/>
      <c r="Z427" s="4"/>
    </row>
    <row r="428" customFormat="false" ht="15.75" hidden="false" customHeight="true" outlineLevel="0" collapsed="false">
      <c r="A428" s="55" t="n">
        <v>2038</v>
      </c>
      <c r="B428" s="55" t="s">
        <v>1084</v>
      </c>
      <c r="C428" s="55" t="s">
        <v>1085</v>
      </c>
      <c r="D428" s="55" t="s">
        <v>2596</v>
      </c>
      <c r="E428" s="55" t="s">
        <v>2596</v>
      </c>
      <c r="F428" s="55" t="s">
        <v>1194</v>
      </c>
      <c r="G428" s="55" t="s">
        <v>1195</v>
      </c>
      <c r="H428" s="55" t="s">
        <v>1448</v>
      </c>
      <c r="I428" s="55" t="s">
        <v>1080</v>
      </c>
      <c r="J428" s="55" t="s">
        <v>2597</v>
      </c>
      <c r="K428" s="55"/>
      <c r="L428" s="55"/>
      <c r="M428" s="55"/>
      <c r="N428" s="55"/>
      <c r="O428" s="55"/>
      <c r="P428" s="55"/>
      <c r="Q428" s="55"/>
      <c r="R428" s="55" t="n">
        <v>6</v>
      </c>
      <c r="S428" s="55" t="n">
        <v>4</v>
      </c>
      <c r="T428" s="55"/>
      <c r="U428" s="55" t="s">
        <v>1085</v>
      </c>
      <c r="V428" s="55" t="s">
        <v>2598</v>
      </c>
      <c r="W428" s="55" t="s">
        <v>2575</v>
      </c>
      <c r="X428" s="4"/>
      <c r="Y428" s="4"/>
      <c r="Z428" s="4"/>
    </row>
    <row r="429" customFormat="false" ht="15.75" hidden="false" customHeight="true" outlineLevel="0" collapsed="false">
      <c r="A429" s="55" t="n">
        <v>2039</v>
      </c>
      <c r="B429" s="55" t="s">
        <v>1086</v>
      </c>
      <c r="C429" s="55" t="s">
        <v>1087</v>
      </c>
      <c r="D429" s="55" t="s">
        <v>2599</v>
      </c>
      <c r="E429" s="55" t="s">
        <v>2599</v>
      </c>
      <c r="F429" s="55" t="s">
        <v>1194</v>
      </c>
      <c r="G429" s="55" t="s">
        <v>1195</v>
      </c>
      <c r="H429" s="55" t="s">
        <v>1448</v>
      </c>
      <c r="I429" s="55" t="s">
        <v>1080</v>
      </c>
      <c r="J429" s="55" t="s">
        <v>2600</v>
      </c>
      <c r="K429" s="55"/>
      <c r="L429" s="55"/>
      <c r="M429" s="55"/>
      <c r="N429" s="55"/>
      <c r="O429" s="55"/>
      <c r="P429" s="55"/>
      <c r="Q429" s="55"/>
      <c r="R429" s="55" t="n">
        <v>4</v>
      </c>
      <c r="S429" s="55" t="n">
        <v>11</v>
      </c>
      <c r="T429" s="55"/>
      <c r="U429" s="55" t="s">
        <v>1087</v>
      </c>
      <c r="V429" s="55" t="s">
        <v>2601</v>
      </c>
      <c r="W429" s="55" t="s">
        <v>2575</v>
      </c>
      <c r="X429" s="4"/>
      <c r="Y429" s="4"/>
      <c r="Z429" s="4"/>
    </row>
    <row r="430" customFormat="false" ht="15.75" hidden="false" customHeight="true" outlineLevel="0" collapsed="false">
      <c r="A430" s="55" t="n">
        <v>2041</v>
      </c>
      <c r="B430" s="55" t="s">
        <v>1054</v>
      </c>
      <c r="C430" s="55" t="s">
        <v>1055</v>
      </c>
      <c r="D430" s="55" t="s">
        <v>2602</v>
      </c>
      <c r="E430" s="55" t="s">
        <v>2602</v>
      </c>
      <c r="F430" s="55" t="s">
        <v>1194</v>
      </c>
      <c r="G430" s="55" t="s">
        <v>1195</v>
      </c>
      <c r="H430" s="55" t="s">
        <v>1448</v>
      </c>
      <c r="I430" s="55" t="s">
        <v>1050</v>
      </c>
      <c r="J430" s="55" t="s">
        <v>2603</v>
      </c>
      <c r="K430" s="55"/>
      <c r="L430" s="55"/>
      <c r="M430" s="55"/>
      <c r="N430" s="55"/>
      <c r="O430" s="55"/>
      <c r="P430" s="55"/>
      <c r="Q430" s="55"/>
      <c r="R430" s="55" t="n">
        <v>7</v>
      </c>
      <c r="S430" s="55" t="n">
        <v>11</v>
      </c>
      <c r="T430" s="55"/>
      <c r="U430" s="55" t="s">
        <v>1055</v>
      </c>
      <c r="V430" s="55" t="s">
        <v>2604</v>
      </c>
      <c r="W430" s="55" t="s">
        <v>2575</v>
      </c>
      <c r="X430" s="4"/>
      <c r="Y430" s="4"/>
      <c r="Z430" s="4"/>
    </row>
    <row r="431" customFormat="false" ht="15.75" hidden="false" customHeight="true" outlineLevel="0" collapsed="false">
      <c r="A431" s="55" t="n">
        <v>1946</v>
      </c>
      <c r="B431" s="55" t="s">
        <v>1073</v>
      </c>
      <c r="C431" s="55" t="s">
        <v>1074</v>
      </c>
      <c r="D431" s="55" t="s">
        <v>2605</v>
      </c>
      <c r="E431" s="55" t="s">
        <v>2605</v>
      </c>
      <c r="F431" s="55" t="s">
        <v>1194</v>
      </c>
      <c r="G431" s="55" t="s">
        <v>1195</v>
      </c>
      <c r="H431" s="55" t="s">
        <v>1448</v>
      </c>
      <c r="I431" s="55" t="s">
        <v>1061</v>
      </c>
      <c r="J431" s="55" t="s">
        <v>2606</v>
      </c>
      <c r="K431" s="55"/>
      <c r="L431" s="55"/>
      <c r="M431" s="55"/>
      <c r="N431" s="55" t="s">
        <v>1075</v>
      </c>
      <c r="O431" s="55"/>
      <c r="P431" s="55"/>
      <c r="Q431" s="55" t="s">
        <v>1078</v>
      </c>
      <c r="R431" s="55" t="n">
        <v>48</v>
      </c>
      <c r="S431" s="55" t="n">
        <v>68</v>
      </c>
      <c r="T431" s="55"/>
      <c r="U431" s="55" t="s">
        <v>1074</v>
      </c>
      <c r="V431" s="55" t="s">
        <v>2607</v>
      </c>
      <c r="W431" s="55" t="s">
        <v>2575</v>
      </c>
      <c r="X431" s="4"/>
      <c r="Y431" s="4"/>
      <c r="Z431" s="4"/>
    </row>
    <row r="432" customFormat="false" ht="15.75" hidden="false" customHeight="true" outlineLevel="0" collapsed="false">
      <c r="A432" s="55" t="n">
        <v>2060</v>
      </c>
      <c r="B432" s="55" t="s">
        <v>1099</v>
      </c>
      <c r="C432" s="55" t="s">
        <v>1100</v>
      </c>
      <c r="D432" s="55" t="s">
        <v>2608</v>
      </c>
      <c r="E432" s="55" t="s">
        <v>2608</v>
      </c>
      <c r="F432" s="55" t="s">
        <v>1194</v>
      </c>
      <c r="G432" s="55" t="s">
        <v>1195</v>
      </c>
      <c r="H432" s="55" t="s">
        <v>1448</v>
      </c>
      <c r="I432" s="55" t="s">
        <v>1091</v>
      </c>
      <c r="J432" s="55" t="s">
        <v>2609</v>
      </c>
      <c r="K432" s="55"/>
      <c r="L432" s="55"/>
      <c r="M432" s="55"/>
      <c r="N432" s="55"/>
      <c r="O432" s="55"/>
      <c r="P432" s="55"/>
      <c r="Q432" s="55"/>
      <c r="R432" s="55" t="n">
        <v>7</v>
      </c>
      <c r="S432" s="55" t="n">
        <v>7</v>
      </c>
      <c r="T432" s="55"/>
      <c r="U432" s="55" t="s">
        <v>1100</v>
      </c>
      <c r="V432" s="55" t="s">
        <v>2610</v>
      </c>
      <c r="W432" s="55" t="s">
        <v>2575</v>
      </c>
      <c r="X432" s="4"/>
      <c r="Y432" s="4"/>
      <c r="Z432" s="4"/>
    </row>
    <row r="433" customFormat="false" ht="15.75" hidden="false" customHeight="true" outlineLevel="0" collapsed="false">
      <c r="A433" s="55" t="n">
        <v>2042</v>
      </c>
      <c r="B433" s="55"/>
      <c r="C433" s="55" t="s">
        <v>1053</v>
      </c>
      <c r="D433" s="55" t="s">
        <v>2611</v>
      </c>
      <c r="E433" s="55" t="s">
        <v>2611</v>
      </c>
      <c r="F433" s="55" t="s">
        <v>1194</v>
      </c>
      <c r="G433" s="55" t="s">
        <v>1195</v>
      </c>
      <c r="H433" s="55" t="s">
        <v>1448</v>
      </c>
      <c r="I433" s="55" t="s">
        <v>1050</v>
      </c>
      <c r="J433" s="55" t="s">
        <v>2612</v>
      </c>
      <c r="K433" s="55"/>
      <c r="L433" s="55"/>
      <c r="M433" s="55"/>
      <c r="N433" s="55"/>
      <c r="O433" s="55"/>
      <c r="P433" s="55"/>
      <c r="Q433" s="55"/>
      <c r="R433" s="55" t="n">
        <v>5</v>
      </c>
      <c r="S433" s="55" t="n">
        <v>41</v>
      </c>
      <c r="T433" s="55"/>
      <c r="U433" s="55" t="s">
        <v>1053</v>
      </c>
      <c r="V433" s="55" t="s">
        <v>2613</v>
      </c>
      <c r="W433" s="55" t="s">
        <v>2614</v>
      </c>
      <c r="X433" s="4"/>
      <c r="Y433" s="4"/>
      <c r="Z433" s="4"/>
    </row>
    <row r="434" customFormat="false" ht="15.75" hidden="false" customHeight="true" outlineLevel="0" collapsed="false">
      <c r="A434" s="55" t="n">
        <v>2040</v>
      </c>
      <c r="B434" s="55"/>
      <c r="C434" s="55" t="s">
        <v>1079</v>
      </c>
      <c r="D434" s="55" t="s">
        <v>2615</v>
      </c>
      <c r="E434" s="55" t="s">
        <v>2615</v>
      </c>
      <c r="F434" s="55" t="s">
        <v>1194</v>
      </c>
      <c r="G434" s="55" t="s">
        <v>1195</v>
      </c>
      <c r="H434" s="55" t="s">
        <v>1448</v>
      </c>
      <c r="I434" s="55" t="s">
        <v>1080</v>
      </c>
      <c r="J434" s="55" t="s">
        <v>2616</v>
      </c>
      <c r="K434" s="55"/>
      <c r="L434" s="55"/>
      <c r="M434" s="55"/>
      <c r="N434" s="55"/>
      <c r="O434" s="55"/>
      <c r="P434" s="55"/>
      <c r="Q434" s="55"/>
      <c r="R434" s="55" t="n">
        <v>4</v>
      </c>
      <c r="S434" s="55" t="n">
        <v>9</v>
      </c>
      <c r="T434" s="55"/>
      <c r="U434" s="55" t="s">
        <v>1079</v>
      </c>
      <c r="V434" s="55" t="s">
        <v>2617</v>
      </c>
      <c r="W434" s="55" t="s">
        <v>2614</v>
      </c>
      <c r="X434" s="4"/>
      <c r="Y434" s="4"/>
      <c r="Z434" s="4"/>
    </row>
    <row r="435" customFormat="false" ht="15.75" hidden="false" customHeight="true" outlineLevel="0" collapsed="false">
      <c r="A435" s="55" t="n">
        <v>2044</v>
      </c>
      <c r="B435" s="55"/>
      <c r="C435" s="55" t="s">
        <v>1052</v>
      </c>
      <c r="D435" s="55" t="s">
        <v>2618</v>
      </c>
      <c r="E435" s="55" t="s">
        <v>2618</v>
      </c>
      <c r="F435" s="55" t="s">
        <v>1194</v>
      </c>
      <c r="G435" s="55" t="s">
        <v>1195</v>
      </c>
      <c r="H435" s="55" t="s">
        <v>1448</v>
      </c>
      <c r="I435" s="55" t="s">
        <v>1050</v>
      </c>
      <c r="J435" s="55" t="s">
        <v>2619</v>
      </c>
      <c r="K435" s="55"/>
      <c r="L435" s="55"/>
      <c r="M435" s="55"/>
      <c r="N435" s="55"/>
      <c r="O435" s="55"/>
      <c r="P435" s="55"/>
      <c r="Q435" s="55"/>
      <c r="R435" s="55" t="n">
        <v>6</v>
      </c>
      <c r="S435" s="55" t="n">
        <v>12</v>
      </c>
      <c r="T435" s="55"/>
      <c r="U435" s="55" t="s">
        <v>1052</v>
      </c>
      <c r="V435" s="55" t="s">
        <v>2620</v>
      </c>
      <c r="W435" s="55" t="s">
        <v>2614</v>
      </c>
      <c r="X435" s="4"/>
      <c r="Y435" s="4"/>
      <c r="Z435" s="4"/>
    </row>
    <row r="436" customFormat="false" ht="15.75" hidden="false" customHeight="true" outlineLevel="0" collapsed="false">
      <c r="A436" s="55" t="n">
        <v>2043</v>
      </c>
      <c r="B436" s="55"/>
      <c r="C436" s="55" t="s">
        <v>1051</v>
      </c>
      <c r="D436" s="55" t="s">
        <v>2621</v>
      </c>
      <c r="E436" s="55" t="s">
        <v>2621</v>
      </c>
      <c r="F436" s="55" t="s">
        <v>1194</v>
      </c>
      <c r="G436" s="55" t="s">
        <v>1195</v>
      </c>
      <c r="H436" s="55" t="s">
        <v>1448</v>
      </c>
      <c r="I436" s="55" t="s">
        <v>1050</v>
      </c>
      <c r="J436" s="55" t="s">
        <v>2622</v>
      </c>
      <c r="K436" s="55"/>
      <c r="L436" s="55"/>
      <c r="M436" s="55"/>
      <c r="N436" s="55"/>
      <c r="O436" s="55"/>
      <c r="P436" s="55"/>
      <c r="Q436" s="55"/>
      <c r="R436" s="55" t="n">
        <v>5</v>
      </c>
      <c r="S436" s="55" t="n">
        <v>19</v>
      </c>
      <c r="T436" s="55"/>
      <c r="U436" s="55" t="s">
        <v>1051</v>
      </c>
      <c r="V436" s="55" t="s">
        <v>2623</v>
      </c>
      <c r="W436" s="55" t="s">
        <v>2614</v>
      </c>
      <c r="X436" s="4"/>
      <c r="Y436" s="4"/>
      <c r="Z436" s="4"/>
    </row>
    <row r="437" customFormat="false" ht="15.75" hidden="false" customHeight="true" outlineLevel="0" collapsed="false">
      <c r="A437" s="55" t="n">
        <v>2056</v>
      </c>
      <c r="B437" s="55"/>
      <c r="C437" s="55" t="s">
        <v>1094</v>
      </c>
      <c r="D437" s="55" t="s">
        <v>2624</v>
      </c>
      <c r="E437" s="55" t="s">
        <v>2624</v>
      </c>
      <c r="F437" s="55" t="s">
        <v>1194</v>
      </c>
      <c r="G437" s="55" t="s">
        <v>1195</v>
      </c>
      <c r="H437" s="55" t="s">
        <v>1448</v>
      </c>
      <c r="I437" s="55" t="s">
        <v>1091</v>
      </c>
      <c r="J437" s="55" t="s">
        <v>2625</v>
      </c>
      <c r="K437" s="55"/>
      <c r="L437" s="55"/>
      <c r="M437" s="55"/>
      <c r="N437" s="55"/>
      <c r="O437" s="55"/>
      <c r="P437" s="55"/>
      <c r="Q437" s="55"/>
      <c r="R437" s="55" t="n">
        <v>11</v>
      </c>
      <c r="S437" s="55" t="n">
        <v>13</v>
      </c>
      <c r="T437" s="55"/>
      <c r="U437" s="55" t="s">
        <v>1094</v>
      </c>
      <c r="V437" s="55" t="s">
        <v>2626</v>
      </c>
      <c r="W437" s="55" t="s">
        <v>2614</v>
      </c>
      <c r="X437" s="4"/>
      <c r="Y437" s="4"/>
      <c r="Z437" s="4"/>
    </row>
    <row r="438" customFormat="false" ht="15.75" hidden="false" customHeight="true" outlineLevel="0" collapsed="false">
      <c r="A438" s="55" t="n">
        <v>2002</v>
      </c>
      <c r="B438" s="55"/>
      <c r="C438" s="55" t="s">
        <v>637</v>
      </c>
      <c r="D438" s="55" t="s">
        <v>2627</v>
      </c>
      <c r="E438" s="55" t="s">
        <v>2627</v>
      </c>
      <c r="F438" s="55" t="s">
        <v>1194</v>
      </c>
      <c r="G438" s="55" t="s">
        <v>1195</v>
      </c>
      <c r="H438" s="55" t="s">
        <v>1248</v>
      </c>
      <c r="I438" s="55" t="s">
        <v>638</v>
      </c>
      <c r="J438" s="55" t="s">
        <v>2628</v>
      </c>
      <c r="K438" s="55"/>
      <c r="L438" s="55"/>
      <c r="M438" s="55"/>
      <c r="N438" s="55"/>
      <c r="O438" s="55"/>
      <c r="P438" s="55"/>
      <c r="Q438" s="55"/>
      <c r="R438" s="55" t="n">
        <v>15</v>
      </c>
      <c r="S438" s="55" t="n">
        <v>122</v>
      </c>
      <c r="T438" s="55"/>
      <c r="U438" s="55" t="s">
        <v>637</v>
      </c>
      <c r="V438" s="55" t="s">
        <v>2629</v>
      </c>
      <c r="W438" s="55" t="s">
        <v>2614</v>
      </c>
      <c r="X438" s="4"/>
      <c r="Y438" s="4"/>
      <c r="Z438" s="4"/>
    </row>
    <row r="439" customFormat="false" ht="15.75" hidden="false" customHeight="true" outlineLevel="0" collapsed="false">
      <c r="A439" s="55" t="n">
        <v>2003</v>
      </c>
      <c r="B439" s="55"/>
      <c r="C439" s="55" t="s">
        <v>1128</v>
      </c>
      <c r="D439" s="55" t="s">
        <v>2630</v>
      </c>
      <c r="E439" s="55" t="s">
        <v>2630</v>
      </c>
      <c r="F439" s="55" t="s">
        <v>1194</v>
      </c>
      <c r="G439" s="55" t="s">
        <v>1195</v>
      </c>
      <c r="H439" s="55" t="s">
        <v>1235</v>
      </c>
      <c r="I439" s="55"/>
      <c r="J439" s="55" t="s">
        <v>2631</v>
      </c>
      <c r="K439" s="55"/>
      <c r="L439" s="55"/>
      <c r="M439" s="55"/>
      <c r="N439" s="55"/>
      <c r="O439" s="55"/>
      <c r="P439" s="55"/>
      <c r="Q439" s="55"/>
      <c r="R439" s="55" t="n">
        <v>16</v>
      </c>
      <c r="S439" s="55" t="n">
        <v>76</v>
      </c>
      <c r="T439" s="55"/>
      <c r="U439" s="55" t="s">
        <v>1128</v>
      </c>
      <c r="V439" s="55" t="s">
        <v>2632</v>
      </c>
      <c r="W439" s="55" t="s">
        <v>2614</v>
      </c>
      <c r="X439" s="4"/>
      <c r="Y439" s="4"/>
      <c r="Z439" s="4"/>
    </row>
    <row r="440" customFormat="false" ht="15.75" hidden="false" customHeight="true" outlineLevel="0" collapsed="false">
      <c r="A440" s="55" t="n">
        <v>2055</v>
      </c>
      <c r="B440" s="55"/>
      <c r="C440" s="55" t="s">
        <v>1092</v>
      </c>
      <c r="D440" s="55" t="s">
        <v>2633</v>
      </c>
      <c r="E440" s="55" t="s">
        <v>2633</v>
      </c>
      <c r="F440" s="55" t="s">
        <v>1194</v>
      </c>
      <c r="G440" s="55" t="s">
        <v>1195</v>
      </c>
      <c r="H440" s="55" t="s">
        <v>1448</v>
      </c>
      <c r="I440" s="55" t="s">
        <v>1091</v>
      </c>
      <c r="J440" s="55" t="s">
        <v>2634</v>
      </c>
      <c r="K440" s="55"/>
      <c r="L440" s="55"/>
      <c r="M440" s="55"/>
      <c r="N440" s="55"/>
      <c r="O440" s="55"/>
      <c r="P440" s="55"/>
      <c r="Q440" s="55"/>
      <c r="R440" s="55" t="n">
        <v>10</v>
      </c>
      <c r="S440" s="55" t="n">
        <v>11</v>
      </c>
      <c r="T440" s="55"/>
      <c r="U440" s="55" t="s">
        <v>1092</v>
      </c>
      <c r="V440" s="55" t="s">
        <v>2635</v>
      </c>
      <c r="W440" s="55" t="s">
        <v>2614</v>
      </c>
      <c r="X440" s="4"/>
      <c r="Y440" s="4"/>
      <c r="Z440" s="4"/>
    </row>
    <row r="441" customFormat="false" ht="15.75" hidden="false" customHeight="true" outlineLevel="0" collapsed="false">
      <c r="A441" s="55" t="n">
        <v>2075</v>
      </c>
      <c r="B441" s="55"/>
      <c r="C441" s="55" t="s">
        <v>1049</v>
      </c>
      <c r="D441" s="55" t="s">
        <v>2636</v>
      </c>
      <c r="E441" s="55" t="s">
        <v>2636</v>
      </c>
      <c r="F441" s="55" t="s">
        <v>1194</v>
      </c>
      <c r="G441" s="55" t="s">
        <v>1195</v>
      </c>
      <c r="H441" s="55" t="s">
        <v>1448</v>
      </c>
      <c r="I441" s="55" t="s">
        <v>1050</v>
      </c>
      <c r="J441" s="55" t="s">
        <v>2637</v>
      </c>
      <c r="K441" s="55"/>
      <c r="L441" s="55"/>
      <c r="M441" s="55"/>
      <c r="N441" s="55"/>
      <c r="O441" s="55"/>
      <c r="P441" s="55"/>
      <c r="Q441" s="55"/>
      <c r="R441" s="55" t="n">
        <v>7</v>
      </c>
      <c r="S441" s="55" t="n">
        <v>24</v>
      </c>
      <c r="T441" s="55"/>
      <c r="U441" s="55" t="s">
        <v>1049</v>
      </c>
      <c r="V441" s="55" t="s">
        <v>2638</v>
      </c>
      <c r="W441" s="55" t="s">
        <v>2614</v>
      </c>
      <c r="X441" s="4"/>
      <c r="Y441" s="4"/>
      <c r="Z441" s="4"/>
    </row>
    <row r="442" customFormat="false" ht="15.75" hidden="false" customHeight="true" outlineLevel="0" collapsed="false">
      <c r="A442" s="55" t="n">
        <v>2078</v>
      </c>
      <c r="B442" s="55"/>
      <c r="C442" s="55" t="s">
        <v>1081</v>
      </c>
      <c r="D442" s="55" t="s">
        <v>2639</v>
      </c>
      <c r="E442" s="55" t="s">
        <v>2639</v>
      </c>
      <c r="F442" s="55" t="s">
        <v>1194</v>
      </c>
      <c r="G442" s="55" t="s">
        <v>1195</v>
      </c>
      <c r="H442" s="55" t="s">
        <v>1448</v>
      </c>
      <c r="I442" s="55" t="s">
        <v>1080</v>
      </c>
      <c r="J442" s="55" t="s">
        <v>2640</v>
      </c>
      <c r="K442" s="55"/>
      <c r="L442" s="55"/>
      <c r="M442" s="55"/>
      <c r="N442" s="55"/>
      <c r="O442" s="55"/>
      <c r="P442" s="55"/>
      <c r="Q442" s="55"/>
      <c r="R442" s="55" t="n">
        <v>11</v>
      </c>
      <c r="S442" s="55" t="n">
        <v>7</v>
      </c>
      <c r="T442" s="55"/>
      <c r="U442" s="55" t="s">
        <v>1081</v>
      </c>
      <c r="V442" s="55" t="s">
        <v>2641</v>
      </c>
      <c r="W442" s="55" t="s">
        <v>2614</v>
      </c>
      <c r="X442" s="4"/>
      <c r="Y442" s="4"/>
      <c r="Z442" s="4"/>
    </row>
    <row r="443" customFormat="false" ht="15.75" hidden="false" customHeight="true" outlineLevel="0" collapsed="false">
      <c r="A443" s="55" t="n">
        <v>1984</v>
      </c>
      <c r="B443" s="55"/>
      <c r="C443" s="55" t="s">
        <v>1127</v>
      </c>
      <c r="D443" s="55" t="s">
        <v>2642</v>
      </c>
      <c r="E443" s="55"/>
      <c r="F443" s="55" t="s">
        <v>1194</v>
      </c>
      <c r="G443" s="55" t="s">
        <v>1194</v>
      </c>
      <c r="H443" s="55" t="s">
        <v>1235</v>
      </c>
      <c r="I443" s="55"/>
      <c r="J443" s="55" t="s">
        <v>2643</v>
      </c>
      <c r="K443" s="55"/>
      <c r="L443" s="55"/>
      <c r="M443" s="55"/>
      <c r="N443" s="55"/>
      <c r="O443" s="55"/>
      <c r="P443" s="55"/>
      <c r="Q443" s="55"/>
      <c r="R443" s="55" t="n">
        <v>12</v>
      </c>
      <c r="S443" s="55" t="n">
        <v>64</v>
      </c>
      <c r="T443" s="55"/>
      <c r="U443" s="55"/>
      <c r="V443" s="55"/>
      <c r="W443" s="55" t="s">
        <v>2644</v>
      </c>
      <c r="X443" s="4"/>
      <c r="Y443" s="4"/>
      <c r="Z443" s="4"/>
    </row>
    <row r="444" customFormat="false" ht="15.75" hidden="false" customHeight="true" outlineLevel="0" collapsed="false">
      <c r="A444" s="55" t="n">
        <v>2049</v>
      </c>
      <c r="B444" s="55"/>
      <c r="C444" s="55" t="s">
        <v>1065</v>
      </c>
      <c r="D444" s="55" t="s">
        <v>2645</v>
      </c>
      <c r="E444" s="55"/>
      <c r="F444" s="55" t="s">
        <v>1194</v>
      </c>
      <c r="G444" s="55" t="s">
        <v>1194</v>
      </c>
      <c r="H444" s="55" t="s">
        <v>1448</v>
      </c>
      <c r="I444" s="55" t="s">
        <v>1061</v>
      </c>
      <c r="J444" s="55" t="s">
        <v>2646</v>
      </c>
      <c r="K444" s="55"/>
      <c r="L444" s="55"/>
      <c r="M444" s="55"/>
      <c r="N444" s="55"/>
      <c r="O444" s="55"/>
      <c r="P444" s="55"/>
      <c r="Q444" s="55"/>
      <c r="R444" s="55" t="n">
        <v>8</v>
      </c>
      <c r="S444" s="55" t="n">
        <v>24</v>
      </c>
      <c r="T444" s="55"/>
      <c r="U444" s="55"/>
      <c r="V444" s="55"/>
      <c r="W444" s="55" t="s">
        <v>2644</v>
      </c>
      <c r="X444" s="4"/>
      <c r="Y444" s="4"/>
      <c r="Z444" s="4"/>
    </row>
    <row r="445" customFormat="false" ht="15.75" hidden="false" customHeight="true" outlineLevel="0" collapsed="false">
      <c r="A445" s="55" t="n">
        <v>2058</v>
      </c>
      <c r="B445" s="55"/>
      <c r="C445" s="55" t="s">
        <v>1068</v>
      </c>
      <c r="D445" s="55" t="s">
        <v>2647</v>
      </c>
      <c r="E445" s="55"/>
      <c r="F445" s="55" t="s">
        <v>1194</v>
      </c>
      <c r="G445" s="55" t="s">
        <v>1194</v>
      </c>
      <c r="H445" s="55" t="s">
        <v>1448</v>
      </c>
      <c r="I445" s="55" t="s">
        <v>1061</v>
      </c>
      <c r="J445" s="55" t="s">
        <v>2648</v>
      </c>
      <c r="K445" s="55"/>
      <c r="L445" s="55"/>
      <c r="M445" s="55"/>
      <c r="N445" s="55"/>
      <c r="O445" s="55"/>
      <c r="P445" s="55"/>
      <c r="Q445" s="55"/>
      <c r="R445" s="55" t="n">
        <v>9</v>
      </c>
      <c r="S445" s="55" t="n">
        <v>30</v>
      </c>
      <c r="T445" s="55"/>
      <c r="U445" s="55"/>
      <c r="V445" s="55"/>
      <c r="W445" s="55" t="s">
        <v>2644</v>
      </c>
      <c r="X445" s="4"/>
      <c r="Y445" s="4"/>
      <c r="Z445" s="4"/>
    </row>
    <row r="446" customFormat="false" ht="15.75" hidden="false" customHeight="true" outlineLevel="0" collapsed="false">
      <c r="A446" s="55" t="n">
        <v>2047</v>
      </c>
      <c r="B446" s="55"/>
      <c r="C446" s="55" t="s">
        <v>1072</v>
      </c>
      <c r="D446" s="55" t="s">
        <v>2649</v>
      </c>
      <c r="E446" s="55"/>
      <c r="F446" s="55" t="s">
        <v>1194</v>
      </c>
      <c r="G446" s="55" t="s">
        <v>1194</v>
      </c>
      <c r="H446" s="55" t="s">
        <v>1448</v>
      </c>
      <c r="I446" s="55" t="s">
        <v>1061</v>
      </c>
      <c r="J446" s="55" t="s">
        <v>2650</v>
      </c>
      <c r="K446" s="55"/>
      <c r="L446" s="55"/>
      <c r="M446" s="55"/>
      <c r="N446" s="55"/>
      <c r="O446" s="55"/>
      <c r="P446" s="55"/>
      <c r="Q446" s="55"/>
      <c r="R446" s="55" t="n">
        <v>8</v>
      </c>
      <c r="S446" s="55" t="n">
        <v>16</v>
      </c>
      <c r="T446" s="55"/>
      <c r="U446" s="55"/>
      <c r="V446" s="55"/>
      <c r="W446" s="55" t="s">
        <v>2644</v>
      </c>
      <c r="X446" s="4"/>
      <c r="Y446" s="4"/>
      <c r="Z446" s="4"/>
    </row>
    <row r="447" customFormat="false" ht="15.75" hidden="false" customHeight="true" outlineLevel="0" collapsed="false">
      <c r="A447" s="55" t="n">
        <v>2059</v>
      </c>
      <c r="B447" s="55"/>
      <c r="C447" s="55" t="s">
        <v>1067</v>
      </c>
      <c r="D447" s="55" t="s">
        <v>2651</v>
      </c>
      <c r="E447" s="55"/>
      <c r="F447" s="55" t="s">
        <v>1194</v>
      </c>
      <c r="G447" s="55" t="s">
        <v>1194</v>
      </c>
      <c r="H447" s="55" t="s">
        <v>1448</v>
      </c>
      <c r="I447" s="55" t="s">
        <v>1061</v>
      </c>
      <c r="J447" s="55" t="s">
        <v>2652</v>
      </c>
      <c r="K447" s="55"/>
      <c r="L447" s="55"/>
      <c r="M447" s="55"/>
      <c r="N447" s="55"/>
      <c r="O447" s="55"/>
      <c r="P447" s="55"/>
      <c r="Q447" s="55"/>
      <c r="R447" s="55" t="n">
        <v>9</v>
      </c>
      <c r="S447" s="55" t="n">
        <v>41</v>
      </c>
      <c r="T447" s="55"/>
      <c r="U447" s="55"/>
      <c r="V447" s="55"/>
      <c r="W447" s="55" t="s">
        <v>2644</v>
      </c>
      <c r="X447" s="4"/>
      <c r="Y447" s="4"/>
      <c r="Z447" s="4"/>
    </row>
    <row r="448" customFormat="false" ht="15.75" hidden="false" customHeight="true" outlineLevel="0" collapsed="false">
      <c r="A448" s="55" t="n">
        <v>2048</v>
      </c>
      <c r="B448" s="55"/>
      <c r="C448" s="55" t="s">
        <v>1071</v>
      </c>
      <c r="D448" s="55" t="s">
        <v>2653</v>
      </c>
      <c r="E448" s="55"/>
      <c r="F448" s="55" t="s">
        <v>1194</v>
      </c>
      <c r="G448" s="55" t="s">
        <v>1194</v>
      </c>
      <c r="H448" s="55" t="s">
        <v>1448</v>
      </c>
      <c r="I448" s="55" t="s">
        <v>1061</v>
      </c>
      <c r="J448" s="55" t="s">
        <v>2654</v>
      </c>
      <c r="K448" s="55"/>
      <c r="L448" s="55"/>
      <c r="M448" s="55"/>
      <c r="N448" s="55"/>
      <c r="O448" s="55"/>
      <c r="P448" s="55"/>
      <c r="Q448" s="55"/>
      <c r="R448" s="55" t="n">
        <v>9</v>
      </c>
      <c r="S448" s="55" t="n">
        <v>52</v>
      </c>
      <c r="T448" s="55"/>
      <c r="U448" s="55"/>
      <c r="V448" s="55"/>
      <c r="W448" s="55" t="s">
        <v>2644</v>
      </c>
      <c r="X448" s="4"/>
      <c r="Y448" s="4"/>
      <c r="Z448" s="4"/>
    </row>
    <row r="449" customFormat="false" ht="15.75" hidden="false" customHeight="true" outlineLevel="0" collapsed="false">
      <c r="A449" s="55" t="n">
        <v>2050</v>
      </c>
      <c r="B449" s="55"/>
      <c r="C449" s="55" t="s">
        <v>1064</v>
      </c>
      <c r="D449" s="55" t="s">
        <v>2655</v>
      </c>
      <c r="E449" s="55"/>
      <c r="F449" s="55" t="s">
        <v>1194</v>
      </c>
      <c r="G449" s="55" t="s">
        <v>1194</v>
      </c>
      <c r="H449" s="55" t="s">
        <v>1448</v>
      </c>
      <c r="I449" s="55" t="s">
        <v>1061</v>
      </c>
      <c r="J449" s="55" t="s">
        <v>2656</v>
      </c>
      <c r="K449" s="55"/>
      <c r="L449" s="55"/>
      <c r="M449" s="55"/>
      <c r="N449" s="55"/>
      <c r="O449" s="55"/>
      <c r="P449" s="55"/>
      <c r="Q449" s="55"/>
      <c r="R449" s="55" t="n">
        <v>9</v>
      </c>
      <c r="S449" s="55" t="n">
        <v>15</v>
      </c>
      <c r="T449" s="55"/>
      <c r="U449" s="55"/>
      <c r="V449" s="55"/>
      <c r="W449" s="55" t="s">
        <v>2644</v>
      </c>
      <c r="X449" s="4"/>
      <c r="Y449" s="4"/>
      <c r="Z449" s="4"/>
    </row>
    <row r="450" customFormat="false" ht="15.75" hidden="false" customHeight="true" outlineLevel="0" collapsed="false">
      <c r="A450" s="55" t="n">
        <v>2051</v>
      </c>
      <c r="B450" s="55"/>
      <c r="C450" s="55" t="s">
        <v>1060</v>
      </c>
      <c r="D450" s="55" t="s">
        <v>2657</v>
      </c>
      <c r="E450" s="55"/>
      <c r="F450" s="55" t="s">
        <v>1194</v>
      </c>
      <c r="G450" s="55" t="s">
        <v>1194</v>
      </c>
      <c r="H450" s="55" t="s">
        <v>1448</v>
      </c>
      <c r="I450" s="55" t="s">
        <v>1061</v>
      </c>
      <c r="J450" s="55" t="s">
        <v>2658</v>
      </c>
      <c r="K450" s="55"/>
      <c r="L450" s="55"/>
      <c r="M450" s="55"/>
      <c r="N450" s="55"/>
      <c r="O450" s="55"/>
      <c r="P450" s="55"/>
      <c r="Q450" s="55"/>
      <c r="R450" s="55" t="n">
        <v>9</v>
      </c>
      <c r="S450" s="55" t="n">
        <v>49</v>
      </c>
      <c r="T450" s="55"/>
      <c r="U450" s="55"/>
      <c r="V450" s="55"/>
      <c r="W450" s="55" t="s">
        <v>2644</v>
      </c>
      <c r="X450" s="4"/>
      <c r="Y450" s="4"/>
      <c r="Z450" s="4"/>
    </row>
    <row r="451" customFormat="false" ht="15.75" hidden="false" customHeight="true" outlineLevel="0" collapsed="false">
      <c r="A451" s="55" t="n">
        <v>2052</v>
      </c>
      <c r="B451" s="55"/>
      <c r="C451" s="55" t="s">
        <v>1070</v>
      </c>
      <c r="D451" s="55" t="s">
        <v>2659</v>
      </c>
      <c r="E451" s="55"/>
      <c r="F451" s="55" t="s">
        <v>1194</v>
      </c>
      <c r="G451" s="55" t="s">
        <v>1194</v>
      </c>
      <c r="H451" s="55" t="s">
        <v>1448</v>
      </c>
      <c r="I451" s="55" t="s">
        <v>1061</v>
      </c>
      <c r="J451" s="55" t="s">
        <v>2660</v>
      </c>
      <c r="K451" s="55"/>
      <c r="L451" s="55"/>
      <c r="M451" s="55"/>
      <c r="N451" s="55"/>
      <c r="O451" s="55"/>
      <c r="P451" s="55"/>
      <c r="Q451" s="55"/>
      <c r="R451" s="55" t="n">
        <v>11</v>
      </c>
      <c r="S451" s="55" t="n">
        <v>8</v>
      </c>
      <c r="T451" s="55"/>
      <c r="U451" s="55"/>
      <c r="V451" s="55"/>
      <c r="W451" s="55" t="s">
        <v>2644</v>
      </c>
      <c r="X451" s="4"/>
      <c r="Y451" s="4"/>
      <c r="Z451" s="4"/>
    </row>
    <row r="452" customFormat="false" ht="15.75" hidden="false" customHeight="true" outlineLevel="0" collapsed="false">
      <c r="A452" s="55" t="n">
        <v>2053</v>
      </c>
      <c r="B452" s="55"/>
      <c r="C452" s="55" t="s">
        <v>1069</v>
      </c>
      <c r="D452" s="55" t="s">
        <v>2661</v>
      </c>
      <c r="E452" s="55"/>
      <c r="F452" s="55" t="s">
        <v>1194</v>
      </c>
      <c r="G452" s="55" t="s">
        <v>1194</v>
      </c>
      <c r="H452" s="55" t="s">
        <v>1448</v>
      </c>
      <c r="I452" s="55" t="s">
        <v>1061</v>
      </c>
      <c r="J452" s="55" t="s">
        <v>2662</v>
      </c>
      <c r="K452" s="55"/>
      <c r="L452" s="55"/>
      <c r="M452" s="55"/>
      <c r="N452" s="55"/>
      <c r="O452" s="55"/>
      <c r="P452" s="55"/>
      <c r="Q452" s="55"/>
      <c r="R452" s="55" t="n">
        <v>12</v>
      </c>
      <c r="S452" s="55" t="n">
        <v>28</v>
      </c>
      <c r="T452" s="55"/>
      <c r="U452" s="55"/>
      <c r="V452" s="55"/>
      <c r="W452" s="55" t="s">
        <v>2644</v>
      </c>
      <c r="X452" s="4"/>
      <c r="Y452" s="4"/>
      <c r="Z452" s="4"/>
    </row>
    <row r="453" customFormat="false" ht="15.75" hidden="false" customHeight="true" outlineLevel="0" collapsed="false">
      <c r="A453" s="55" t="n">
        <v>2079</v>
      </c>
      <c r="B453" s="55"/>
      <c r="C453" s="55" t="s">
        <v>1129</v>
      </c>
      <c r="D453" s="55" t="s">
        <v>2663</v>
      </c>
      <c r="E453" s="55"/>
      <c r="F453" s="55" t="s">
        <v>1194</v>
      </c>
      <c r="G453" s="55" t="s">
        <v>1194</v>
      </c>
      <c r="H453" s="55" t="s">
        <v>1235</v>
      </c>
      <c r="I453" s="55"/>
      <c r="J453" s="55" t="s">
        <v>2664</v>
      </c>
      <c r="K453" s="55"/>
      <c r="L453" s="55"/>
      <c r="M453" s="55"/>
      <c r="N453" s="55"/>
      <c r="O453" s="55"/>
      <c r="P453" s="55"/>
      <c r="Q453" s="55"/>
      <c r="R453" s="55" t="n">
        <v>12</v>
      </c>
      <c r="S453" s="55" t="n">
        <v>123</v>
      </c>
      <c r="T453" s="55"/>
      <c r="U453" s="55"/>
      <c r="V453" s="55"/>
      <c r="W453" s="55" t="s">
        <v>2644</v>
      </c>
      <c r="X453" s="4"/>
      <c r="Y453" s="4"/>
      <c r="Z453" s="4"/>
    </row>
    <row r="454" customFormat="false" ht="15.75" hidden="false" customHeight="true" outlineLevel="0" collapsed="false">
      <c r="A454" s="55" t="n">
        <v>2046</v>
      </c>
      <c r="B454" s="55"/>
      <c r="C454" s="55" t="s">
        <v>1063</v>
      </c>
      <c r="D454" s="55" t="s">
        <v>2665</v>
      </c>
      <c r="E454" s="55"/>
      <c r="F454" s="55" t="s">
        <v>1194</v>
      </c>
      <c r="G454" s="55" t="s">
        <v>1194</v>
      </c>
      <c r="H454" s="55" t="s">
        <v>1448</v>
      </c>
      <c r="I454" s="55" t="s">
        <v>1061</v>
      </c>
      <c r="J454" s="55" t="s">
        <v>2666</v>
      </c>
      <c r="K454" s="55"/>
      <c r="L454" s="55"/>
      <c r="M454" s="55"/>
      <c r="N454" s="55"/>
      <c r="O454" s="55"/>
      <c r="P454" s="55"/>
      <c r="Q454" s="55"/>
      <c r="R454" s="55" t="n">
        <v>10</v>
      </c>
      <c r="S454" s="55" t="n">
        <v>18</v>
      </c>
      <c r="T454" s="55"/>
      <c r="U454" s="55"/>
      <c r="V454" s="55"/>
      <c r="W454" s="55" t="s">
        <v>2667</v>
      </c>
      <c r="X454" s="4"/>
      <c r="Y454" s="4"/>
      <c r="Z454" s="4"/>
    </row>
    <row r="455" customFormat="false" ht="15.75" hidden="false" customHeight="true" outlineLevel="0" collapsed="false">
      <c r="A455" s="55" t="n">
        <v>2045</v>
      </c>
      <c r="B455" s="55"/>
      <c r="C455" s="55" t="s">
        <v>1062</v>
      </c>
      <c r="D455" s="55" t="s">
        <v>2665</v>
      </c>
      <c r="E455" s="55"/>
      <c r="F455" s="55" t="s">
        <v>1194</v>
      </c>
      <c r="G455" s="55" t="s">
        <v>1194</v>
      </c>
      <c r="H455" s="55" t="s">
        <v>1448</v>
      </c>
      <c r="I455" s="55" t="s">
        <v>1061</v>
      </c>
      <c r="J455" s="55" t="s">
        <v>2666</v>
      </c>
      <c r="K455" s="55"/>
      <c r="L455" s="55"/>
      <c r="M455" s="55"/>
      <c r="N455" s="55"/>
      <c r="O455" s="55"/>
      <c r="P455" s="55"/>
      <c r="Q455" s="55"/>
      <c r="R455" s="55" t="n">
        <v>8</v>
      </c>
      <c r="S455" s="55" t="n">
        <v>58</v>
      </c>
      <c r="T455" s="55"/>
      <c r="U455" s="55"/>
      <c r="V455" s="55"/>
      <c r="W455" s="55" t="s">
        <v>2667</v>
      </c>
      <c r="X455" s="4"/>
      <c r="Y455" s="4"/>
      <c r="Z455" s="4"/>
    </row>
    <row r="456" customFormat="false" ht="15.75" hidden="false" customHeight="true" outlineLevel="0" collapsed="false">
      <c r="A456" s="55" t="n">
        <v>2054</v>
      </c>
      <c r="B456" s="55"/>
      <c r="C456" s="55" t="s">
        <v>1090</v>
      </c>
      <c r="D456" s="55" t="s">
        <v>2668</v>
      </c>
      <c r="E456" s="55" t="s">
        <v>2669</v>
      </c>
      <c r="F456" s="55" t="s">
        <v>1195</v>
      </c>
      <c r="G456" s="55" t="s">
        <v>1195</v>
      </c>
      <c r="H456" s="55" t="s">
        <v>1448</v>
      </c>
      <c r="I456" s="55" t="s">
        <v>1091</v>
      </c>
      <c r="J456" s="55" t="s">
        <v>2670</v>
      </c>
      <c r="K456" s="55"/>
      <c r="L456" s="55"/>
      <c r="M456" s="55"/>
      <c r="N456" s="55"/>
      <c r="O456" s="55"/>
      <c r="P456" s="55"/>
      <c r="Q456" s="55"/>
      <c r="R456" s="55" t="n">
        <v>6</v>
      </c>
      <c r="S456" s="55" t="n">
        <v>57</v>
      </c>
      <c r="T456" s="55"/>
      <c r="U456" s="55" t="s">
        <v>1090</v>
      </c>
      <c r="V456" s="55" t="s">
        <v>2671</v>
      </c>
      <c r="W456" s="55" t="s">
        <v>2672</v>
      </c>
      <c r="X456" s="4"/>
      <c r="Y456" s="4"/>
      <c r="Z456" s="4"/>
    </row>
    <row r="457" customFormat="false" ht="15.75" hidden="false" customHeight="true" outlineLevel="0" collapsed="false">
      <c r="A457" s="55" t="n">
        <v>2087</v>
      </c>
      <c r="B457" s="55"/>
      <c r="C457" s="55" t="s">
        <v>882</v>
      </c>
      <c r="D457" s="55" t="s">
        <v>2673</v>
      </c>
      <c r="E457" s="55" t="s">
        <v>2674</v>
      </c>
      <c r="F457" s="55" t="s">
        <v>1195</v>
      </c>
      <c r="G457" s="55" t="s">
        <v>1195</v>
      </c>
      <c r="H457" s="55" t="s">
        <v>1196</v>
      </c>
      <c r="I457" s="55" t="s">
        <v>883</v>
      </c>
      <c r="J457" s="55" t="s">
        <v>2675</v>
      </c>
      <c r="K457" s="55"/>
      <c r="L457" s="55"/>
      <c r="M457" s="55"/>
      <c r="N457" s="55"/>
      <c r="O457" s="55"/>
      <c r="P457" s="55"/>
      <c r="Q457" s="55"/>
      <c r="R457" s="55" t="n">
        <v>22</v>
      </c>
      <c r="S457" s="55" t="n">
        <v>82</v>
      </c>
      <c r="T457" s="55"/>
      <c r="U457" s="55" t="s">
        <v>882</v>
      </c>
      <c r="V457" s="55" t="s">
        <v>2676</v>
      </c>
      <c r="W457" s="55" t="s">
        <v>2672</v>
      </c>
      <c r="X457" s="4"/>
      <c r="Y457" s="4"/>
      <c r="Z457" s="4"/>
    </row>
    <row r="458" customFormat="false" ht="15.75" hidden="false" customHeight="true" outlineLevel="0" collapsed="false">
      <c r="A458" s="55" t="n">
        <v>2057</v>
      </c>
      <c r="B458" s="55"/>
      <c r="C458" s="55" t="s">
        <v>1093</v>
      </c>
      <c r="D458" s="55" t="s">
        <v>2677</v>
      </c>
      <c r="E458" s="55" t="s">
        <v>2678</v>
      </c>
      <c r="F458" s="55" t="s">
        <v>1195</v>
      </c>
      <c r="G458" s="55" t="s">
        <v>1195</v>
      </c>
      <c r="H458" s="55" t="s">
        <v>1448</v>
      </c>
      <c r="I458" s="55" t="s">
        <v>1091</v>
      </c>
      <c r="J458" s="55" t="s">
        <v>2679</v>
      </c>
      <c r="K458" s="55"/>
      <c r="L458" s="55"/>
      <c r="M458" s="55"/>
      <c r="N458" s="55"/>
      <c r="O458" s="55"/>
      <c r="P458" s="55"/>
      <c r="Q458" s="55"/>
      <c r="R458" s="55" t="n">
        <v>11</v>
      </c>
      <c r="S458" s="55" t="n">
        <v>22</v>
      </c>
      <c r="T458" s="55"/>
      <c r="U458" s="55" t="s">
        <v>1093</v>
      </c>
      <c r="V458" s="55" t="s">
        <v>2680</v>
      </c>
      <c r="W458" s="55" t="s">
        <v>2672</v>
      </c>
      <c r="X458" s="4"/>
      <c r="Y458" s="4"/>
      <c r="Z458" s="4"/>
    </row>
    <row r="459" customFormat="false" ht="15.75" hidden="false" customHeight="true" outlineLevel="0" collapsed="false">
      <c r="A459" s="55" t="n">
        <v>2025</v>
      </c>
      <c r="B459" s="55"/>
      <c r="C459" s="55" t="s">
        <v>1125</v>
      </c>
      <c r="D459" s="55" t="s">
        <v>2681</v>
      </c>
      <c r="E459" s="55" t="s">
        <v>2682</v>
      </c>
      <c r="F459" s="55" t="s">
        <v>1195</v>
      </c>
      <c r="G459" s="55" t="s">
        <v>1195</v>
      </c>
      <c r="H459" s="55" t="s">
        <v>1235</v>
      </c>
      <c r="I459" s="55"/>
      <c r="J459" s="55" t="s">
        <v>2683</v>
      </c>
      <c r="K459" s="55"/>
      <c r="L459" s="55"/>
      <c r="M459" s="55"/>
      <c r="N459" s="55"/>
      <c r="O459" s="55"/>
      <c r="P459" s="55"/>
      <c r="Q459" s="55"/>
      <c r="R459" s="55" t="n">
        <v>6</v>
      </c>
      <c r="S459" s="55" t="n">
        <v>72</v>
      </c>
      <c r="T459" s="55"/>
      <c r="U459" s="55" t="s">
        <v>1125</v>
      </c>
      <c r="V459" s="55" t="s">
        <v>2684</v>
      </c>
      <c r="W459" s="55" t="s">
        <v>2672</v>
      </c>
      <c r="X459" s="4"/>
      <c r="Y459" s="4"/>
      <c r="Z459" s="4"/>
    </row>
    <row r="460" customFormat="false" ht="15.75" hidden="false" customHeight="true" outlineLevel="0" collapsed="false">
      <c r="A460" s="55" t="n">
        <v>1951</v>
      </c>
      <c r="B460" s="55" t="s">
        <v>931</v>
      </c>
      <c r="C460" s="55" t="s">
        <v>932</v>
      </c>
      <c r="D460" s="55" t="s">
        <v>2685</v>
      </c>
      <c r="E460" s="55" t="s">
        <v>2685</v>
      </c>
      <c r="F460" s="55" t="s">
        <v>1194</v>
      </c>
      <c r="G460" s="55" t="s">
        <v>1195</v>
      </c>
      <c r="H460" s="55" t="s">
        <v>1196</v>
      </c>
      <c r="I460" s="55" t="s">
        <v>886</v>
      </c>
      <c r="J460" s="55" t="s">
        <v>2686</v>
      </c>
      <c r="K460" s="55"/>
      <c r="L460" s="55"/>
      <c r="M460" s="55"/>
      <c r="N460" s="55" t="s">
        <v>732</v>
      </c>
      <c r="O460" s="55"/>
      <c r="P460" s="55" t="s">
        <v>1539</v>
      </c>
      <c r="Q460" s="55"/>
      <c r="R460" s="55" t="n">
        <v>0</v>
      </c>
      <c r="S460" s="55" t="n">
        <v>0</v>
      </c>
      <c r="T460" s="55"/>
      <c r="U460" s="55" t="s">
        <v>932</v>
      </c>
      <c r="V460" s="55" t="s">
        <v>2687</v>
      </c>
      <c r="W460" s="55" t="s">
        <v>2688</v>
      </c>
      <c r="X460" s="4"/>
      <c r="Y460" s="4"/>
      <c r="Z460" s="4"/>
    </row>
    <row r="461" customFormat="false" ht="15.75" hidden="false" customHeight="true" outlineLevel="0" collapsed="false">
      <c r="A461" s="55" t="n">
        <v>1952</v>
      </c>
      <c r="B461" s="55" t="s">
        <v>928</v>
      </c>
      <c r="C461" s="55" t="s">
        <v>929</v>
      </c>
      <c r="D461" s="55" t="s">
        <v>2689</v>
      </c>
      <c r="E461" s="55" t="s">
        <v>2689</v>
      </c>
      <c r="F461" s="55" t="s">
        <v>1194</v>
      </c>
      <c r="G461" s="55" t="s">
        <v>1195</v>
      </c>
      <c r="H461" s="55" t="s">
        <v>1196</v>
      </c>
      <c r="I461" s="55" t="s">
        <v>886</v>
      </c>
      <c r="J461" s="55" t="s">
        <v>2690</v>
      </c>
      <c r="K461" s="55"/>
      <c r="L461" s="55"/>
      <c r="M461" s="55"/>
      <c r="N461" s="55" t="s">
        <v>930</v>
      </c>
      <c r="O461" s="55"/>
      <c r="P461" s="55" t="s">
        <v>1539</v>
      </c>
      <c r="Q461" s="55"/>
      <c r="R461" s="55" t="n">
        <v>0</v>
      </c>
      <c r="S461" s="55" t="n">
        <v>48</v>
      </c>
      <c r="T461" s="55"/>
      <c r="U461" s="55" t="s">
        <v>929</v>
      </c>
      <c r="V461" s="55" t="s">
        <v>2691</v>
      </c>
      <c r="W461" s="55" t="s">
        <v>2688</v>
      </c>
      <c r="X461" s="4"/>
      <c r="Y461" s="4"/>
      <c r="Z461" s="4"/>
    </row>
    <row r="462" customFormat="false" ht="15.75" hidden="false" customHeight="true" outlineLevel="0" collapsed="false">
      <c r="A462" s="55" t="n">
        <v>1943</v>
      </c>
      <c r="B462" s="55"/>
      <c r="C462" s="55" t="s">
        <v>735</v>
      </c>
      <c r="D462" s="55" t="s">
        <v>2692</v>
      </c>
      <c r="E462" s="55" t="s">
        <v>2692</v>
      </c>
      <c r="F462" s="55" t="s">
        <v>1194</v>
      </c>
      <c r="G462" s="55" t="s">
        <v>1195</v>
      </c>
      <c r="H462" s="55" t="s">
        <v>1196</v>
      </c>
      <c r="I462" s="55" t="s">
        <v>736</v>
      </c>
      <c r="J462" s="55" t="s">
        <v>2693</v>
      </c>
      <c r="K462" s="55"/>
      <c r="L462" s="55"/>
      <c r="M462" s="55"/>
      <c r="N462" s="55" t="s">
        <v>732</v>
      </c>
      <c r="O462" s="55"/>
      <c r="P462" s="55" t="s">
        <v>1539</v>
      </c>
      <c r="Q462" s="55"/>
      <c r="R462" s="55" t="n">
        <v>0</v>
      </c>
      <c r="S462" s="55" t="n">
        <v>10</v>
      </c>
      <c r="T462" s="55"/>
      <c r="U462" s="55" t="s">
        <v>735</v>
      </c>
      <c r="V462" s="55" t="s">
        <v>1201</v>
      </c>
      <c r="W462" s="55" t="s">
        <v>2694</v>
      </c>
      <c r="X462" s="4"/>
      <c r="Y462" s="4"/>
      <c r="Z462" s="4"/>
    </row>
    <row r="463" customFormat="false" ht="15.75" hidden="false" customHeight="true" outlineLevel="0" collapsed="false">
      <c r="A463" s="55" t="n">
        <v>1953</v>
      </c>
      <c r="B463" s="55"/>
      <c r="C463" s="55" t="s">
        <v>885</v>
      </c>
      <c r="D463" s="55" t="s">
        <v>2695</v>
      </c>
      <c r="E463" s="55" t="s">
        <v>2695</v>
      </c>
      <c r="F463" s="55" t="s">
        <v>1194</v>
      </c>
      <c r="G463" s="55" t="s">
        <v>1195</v>
      </c>
      <c r="H463" s="55" t="s">
        <v>1196</v>
      </c>
      <c r="I463" s="55" t="s">
        <v>886</v>
      </c>
      <c r="J463" s="55" t="s">
        <v>2696</v>
      </c>
      <c r="K463" s="55"/>
      <c r="L463" s="55"/>
      <c r="M463" s="55"/>
      <c r="N463" s="55"/>
      <c r="O463" s="55"/>
      <c r="P463" s="55"/>
      <c r="Q463" s="55"/>
      <c r="R463" s="55" t="n">
        <v>0</v>
      </c>
      <c r="S463" s="55" t="n">
        <v>33</v>
      </c>
      <c r="T463" s="55"/>
      <c r="U463" s="55" t="s">
        <v>885</v>
      </c>
      <c r="V463" s="55" t="s">
        <v>2697</v>
      </c>
      <c r="W463" s="55" t="s">
        <v>2694</v>
      </c>
      <c r="X463" s="4"/>
      <c r="Y463" s="4"/>
      <c r="Z463" s="4"/>
    </row>
    <row r="464" customFormat="false" ht="15.75" hidden="false" customHeight="true" outlineLevel="0" collapsed="false">
      <c r="A464" s="55" t="n">
        <v>1989</v>
      </c>
      <c r="B464" s="55"/>
      <c r="C464" s="55" t="s">
        <v>1066</v>
      </c>
      <c r="D464" s="55" t="s">
        <v>2698</v>
      </c>
      <c r="E464" s="55" t="s">
        <v>2698</v>
      </c>
      <c r="F464" s="55" t="s">
        <v>1194</v>
      </c>
      <c r="G464" s="55" t="s">
        <v>1195</v>
      </c>
      <c r="H464" s="55" t="s">
        <v>1448</v>
      </c>
      <c r="I464" s="55" t="s">
        <v>1061</v>
      </c>
      <c r="J464" s="55" t="s">
        <v>2699</v>
      </c>
      <c r="K464" s="55"/>
      <c r="L464" s="55"/>
      <c r="M464" s="55"/>
      <c r="N464" s="55"/>
      <c r="O464" s="55"/>
      <c r="P464" s="55"/>
      <c r="Q464" s="55"/>
      <c r="R464" s="55" t="n">
        <v>0</v>
      </c>
      <c r="S464" s="55" t="n">
        <v>280</v>
      </c>
      <c r="T464" s="55"/>
      <c r="U464" s="55" t="s">
        <v>1066</v>
      </c>
      <c r="V464" s="55" t="s">
        <v>2700</v>
      </c>
      <c r="W464" s="55" t="s">
        <v>2694</v>
      </c>
      <c r="X464" s="4"/>
      <c r="Y464" s="4"/>
      <c r="Z464" s="4"/>
    </row>
    <row r="465" customFormat="false" ht="15.75" hidden="false" customHeight="true" outlineLevel="0" collapsed="false">
      <c r="A465" s="55" t="n">
        <v>2086</v>
      </c>
      <c r="B465" s="55"/>
      <c r="C465" s="55" t="s">
        <v>884</v>
      </c>
      <c r="D465" s="55" t="s">
        <v>2701</v>
      </c>
      <c r="E465" s="55" t="s">
        <v>2701</v>
      </c>
      <c r="F465" s="55" t="s">
        <v>1194</v>
      </c>
      <c r="G465" s="55" t="s">
        <v>1195</v>
      </c>
      <c r="H465" s="55" t="s">
        <v>1196</v>
      </c>
      <c r="I465" s="55" t="s">
        <v>883</v>
      </c>
      <c r="J465" s="55" t="s">
        <v>2702</v>
      </c>
      <c r="K465" s="55"/>
      <c r="L465" s="55"/>
      <c r="M465" s="55"/>
      <c r="N465" s="55"/>
      <c r="O465" s="55"/>
      <c r="P465" s="55"/>
      <c r="Q465" s="55"/>
      <c r="R465" s="55" t="n">
        <v>0</v>
      </c>
      <c r="S465" s="55" t="n">
        <v>65</v>
      </c>
      <c r="T465" s="55"/>
      <c r="U465" s="55" t="s">
        <v>884</v>
      </c>
      <c r="V465" s="55" t="s">
        <v>2703</v>
      </c>
      <c r="W465" s="55" t="s">
        <v>2694</v>
      </c>
      <c r="X465" s="4"/>
      <c r="Y465" s="4"/>
      <c r="Z465" s="4"/>
    </row>
    <row r="466" customFormat="false" ht="15.75" hidden="false" customHeight="true" outlineLevel="0" collapsed="false">
      <c r="A466" s="55" t="n">
        <v>2069</v>
      </c>
      <c r="B466" s="55" t="s">
        <v>1113</v>
      </c>
      <c r="C466" s="55" t="s">
        <v>1114</v>
      </c>
      <c r="D466" s="55" t="s">
        <v>2704</v>
      </c>
      <c r="E466" s="55"/>
      <c r="F466" s="55" t="s">
        <v>1194</v>
      </c>
      <c r="G466" s="55" t="s">
        <v>1194</v>
      </c>
      <c r="H466" s="55" t="s">
        <v>1448</v>
      </c>
      <c r="I466" s="55" t="s">
        <v>1091</v>
      </c>
      <c r="J466" s="55" t="s">
        <v>2705</v>
      </c>
      <c r="K466" s="55"/>
      <c r="L466" s="55"/>
      <c r="M466" s="55"/>
      <c r="N466" s="55"/>
      <c r="O466" s="55"/>
      <c r="P466" s="55"/>
      <c r="Q466" s="55"/>
      <c r="R466" s="55" t="n">
        <v>8</v>
      </c>
      <c r="S466" s="55" t="n">
        <v>34</v>
      </c>
      <c r="T466" s="55"/>
      <c r="U466" s="55"/>
      <c r="V466" s="55"/>
      <c r="W466" s="55" t="s">
        <v>2706</v>
      </c>
      <c r="X466" s="4"/>
      <c r="Y466" s="4"/>
      <c r="Z466" s="4"/>
    </row>
    <row r="467" customFormat="false" ht="15.75" hidden="false" customHeight="true" outlineLevel="0" collapsed="false">
      <c r="A467" s="55" t="n">
        <v>2064</v>
      </c>
      <c r="B467" s="55" t="s">
        <v>1105</v>
      </c>
      <c r="C467" s="55" t="s">
        <v>1106</v>
      </c>
      <c r="D467" s="55" t="s">
        <v>2707</v>
      </c>
      <c r="E467" s="55"/>
      <c r="F467" s="55" t="s">
        <v>1194</v>
      </c>
      <c r="G467" s="55" t="s">
        <v>1194</v>
      </c>
      <c r="H467" s="55" t="s">
        <v>1448</v>
      </c>
      <c r="I467" s="55" t="s">
        <v>1091</v>
      </c>
      <c r="J467" s="55" t="s">
        <v>2708</v>
      </c>
      <c r="K467" s="55"/>
      <c r="L467" s="55"/>
      <c r="M467" s="55"/>
      <c r="N467" s="55"/>
      <c r="O467" s="55"/>
      <c r="P467" s="55"/>
      <c r="Q467" s="55"/>
      <c r="R467" s="55" t="n">
        <v>6</v>
      </c>
      <c r="S467" s="55" t="n">
        <v>5</v>
      </c>
      <c r="T467" s="55"/>
      <c r="U467" s="55"/>
      <c r="V467" s="55"/>
      <c r="W467" s="55" t="s">
        <v>2706</v>
      </c>
      <c r="X467" s="4"/>
      <c r="Y467" s="4"/>
      <c r="Z467" s="4"/>
    </row>
    <row r="468" customFormat="false" ht="15.75" hidden="false" customHeight="true" outlineLevel="0" collapsed="false">
      <c r="A468" s="55" t="n">
        <v>2066</v>
      </c>
      <c r="B468" s="55" t="s">
        <v>1107</v>
      </c>
      <c r="C468" s="55" t="s">
        <v>1108</v>
      </c>
      <c r="D468" s="55" t="s">
        <v>2709</v>
      </c>
      <c r="E468" s="55"/>
      <c r="F468" s="55" t="s">
        <v>1194</v>
      </c>
      <c r="G468" s="55" t="s">
        <v>1194</v>
      </c>
      <c r="H468" s="55" t="s">
        <v>1448</v>
      </c>
      <c r="I468" s="55" t="s">
        <v>1091</v>
      </c>
      <c r="J468" s="55" t="s">
        <v>2710</v>
      </c>
      <c r="K468" s="55"/>
      <c r="L468" s="55"/>
      <c r="M468" s="55"/>
      <c r="N468" s="55"/>
      <c r="O468" s="55"/>
      <c r="P468" s="55"/>
      <c r="Q468" s="55"/>
      <c r="R468" s="55" t="n">
        <v>9</v>
      </c>
      <c r="S468" s="55" t="n">
        <v>13</v>
      </c>
      <c r="T468" s="55"/>
      <c r="U468" s="55"/>
      <c r="V468" s="55"/>
      <c r="W468" s="55" t="s">
        <v>2706</v>
      </c>
      <c r="X468" s="4"/>
      <c r="Y468" s="4"/>
      <c r="Z468" s="4"/>
    </row>
    <row r="469" customFormat="false" ht="15.75" hidden="false" customHeight="true" outlineLevel="0" collapsed="false">
      <c r="A469" s="55" t="n">
        <v>2071</v>
      </c>
      <c r="B469" s="55" t="s">
        <v>1117</v>
      </c>
      <c r="C469" s="55" t="s">
        <v>1118</v>
      </c>
      <c r="D469" s="55" t="s">
        <v>2711</v>
      </c>
      <c r="E469" s="55"/>
      <c r="F469" s="55" t="s">
        <v>1194</v>
      </c>
      <c r="G469" s="55" t="s">
        <v>1194</v>
      </c>
      <c r="H469" s="55" t="s">
        <v>1448</v>
      </c>
      <c r="I469" s="55" t="s">
        <v>1091</v>
      </c>
      <c r="J469" s="55" t="s">
        <v>2712</v>
      </c>
      <c r="K469" s="55"/>
      <c r="L469" s="55"/>
      <c r="M469" s="55"/>
      <c r="N469" s="55"/>
      <c r="O469" s="55"/>
      <c r="P469" s="55"/>
      <c r="Q469" s="55"/>
      <c r="R469" s="55" t="n">
        <v>4</v>
      </c>
      <c r="S469" s="55" t="n">
        <v>11</v>
      </c>
      <c r="T469" s="55"/>
      <c r="U469" s="55"/>
      <c r="V469" s="55"/>
      <c r="W469" s="55" t="s">
        <v>2706</v>
      </c>
      <c r="X469" s="4"/>
      <c r="Y469" s="4"/>
      <c r="Z469" s="4"/>
    </row>
    <row r="470" customFormat="false" ht="15.75" hidden="false" customHeight="true" outlineLevel="0" collapsed="false">
      <c r="A470" s="55" t="n">
        <v>2067</v>
      </c>
      <c r="B470" s="55" t="s">
        <v>1109</v>
      </c>
      <c r="C470" s="55" t="s">
        <v>1110</v>
      </c>
      <c r="D470" s="55" t="s">
        <v>2713</v>
      </c>
      <c r="E470" s="55"/>
      <c r="F470" s="55" t="s">
        <v>1194</v>
      </c>
      <c r="G470" s="55" t="s">
        <v>1194</v>
      </c>
      <c r="H470" s="55" t="s">
        <v>1448</v>
      </c>
      <c r="I470" s="55" t="s">
        <v>1091</v>
      </c>
      <c r="J470" s="55" t="s">
        <v>2714</v>
      </c>
      <c r="K470" s="55"/>
      <c r="L470" s="55"/>
      <c r="M470" s="55"/>
      <c r="N470" s="55"/>
      <c r="O470" s="55"/>
      <c r="P470" s="55"/>
      <c r="Q470" s="55"/>
      <c r="R470" s="55" t="n">
        <v>7</v>
      </c>
      <c r="S470" s="55" t="n">
        <v>4</v>
      </c>
      <c r="T470" s="55"/>
      <c r="U470" s="55"/>
      <c r="V470" s="55"/>
      <c r="W470" s="55" t="s">
        <v>2706</v>
      </c>
      <c r="X470" s="4"/>
      <c r="Y470" s="4"/>
      <c r="Z470" s="4"/>
    </row>
    <row r="471" customFormat="false" ht="15.75" hidden="false" customHeight="true" outlineLevel="0" collapsed="false">
      <c r="A471" s="55" t="n">
        <v>2068</v>
      </c>
      <c r="B471" s="55" t="s">
        <v>1111</v>
      </c>
      <c r="C471" s="55" t="s">
        <v>1112</v>
      </c>
      <c r="D471" s="55" t="s">
        <v>2715</v>
      </c>
      <c r="E471" s="55"/>
      <c r="F471" s="55" t="s">
        <v>1194</v>
      </c>
      <c r="G471" s="55" t="s">
        <v>1194</v>
      </c>
      <c r="H471" s="55" t="s">
        <v>1448</v>
      </c>
      <c r="I471" s="55" t="s">
        <v>1091</v>
      </c>
      <c r="J471" s="55" t="s">
        <v>2716</v>
      </c>
      <c r="K471" s="55"/>
      <c r="L471" s="55"/>
      <c r="M471" s="55"/>
      <c r="N471" s="55"/>
      <c r="O471" s="55"/>
      <c r="P471" s="55"/>
      <c r="Q471" s="55"/>
      <c r="R471" s="55" t="n">
        <v>6</v>
      </c>
      <c r="S471" s="55" t="n">
        <v>13</v>
      </c>
      <c r="T471" s="55"/>
      <c r="U471" s="55"/>
      <c r="V471" s="55"/>
      <c r="W471" s="55" t="s">
        <v>2706</v>
      </c>
      <c r="X471" s="4"/>
      <c r="Y471" s="4"/>
      <c r="Z471" s="4"/>
    </row>
    <row r="472" customFormat="false" ht="15.75" hidden="false" customHeight="true" outlineLevel="0" collapsed="false">
      <c r="A472" s="55" t="n">
        <v>2070</v>
      </c>
      <c r="B472" s="55" t="s">
        <v>1115</v>
      </c>
      <c r="C472" s="55" t="s">
        <v>1116</v>
      </c>
      <c r="D472" s="55" t="s">
        <v>2717</v>
      </c>
      <c r="E472" s="55"/>
      <c r="F472" s="55" t="s">
        <v>1194</v>
      </c>
      <c r="G472" s="55" t="s">
        <v>1194</v>
      </c>
      <c r="H472" s="55" t="s">
        <v>1448</v>
      </c>
      <c r="I472" s="55" t="s">
        <v>1091</v>
      </c>
      <c r="J472" s="55" t="s">
        <v>2718</v>
      </c>
      <c r="K472" s="55"/>
      <c r="L472" s="55"/>
      <c r="M472" s="55"/>
      <c r="N472" s="55"/>
      <c r="O472" s="55"/>
      <c r="P472" s="55"/>
      <c r="Q472" s="55"/>
      <c r="R472" s="55" t="n">
        <v>11</v>
      </c>
      <c r="S472" s="55" t="n">
        <v>41</v>
      </c>
      <c r="T472" s="55"/>
      <c r="U472" s="55"/>
      <c r="V472" s="55"/>
      <c r="W472" s="55" t="s">
        <v>2706</v>
      </c>
      <c r="X472" s="4"/>
      <c r="Y472" s="4"/>
      <c r="Z472" s="4"/>
    </row>
    <row r="473" customFormat="false" ht="15.75" hidden="false" customHeight="true" outlineLevel="0" collapsed="false">
      <c r="A473" s="55" t="n">
        <v>2072</v>
      </c>
      <c r="B473" s="55" t="s">
        <v>1119</v>
      </c>
      <c r="C473" s="55" t="s">
        <v>1120</v>
      </c>
      <c r="D473" s="55" t="s">
        <v>2719</v>
      </c>
      <c r="E473" s="55"/>
      <c r="F473" s="55" t="s">
        <v>1194</v>
      </c>
      <c r="G473" s="55" t="s">
        <v>1194</v>
      </c>
      <c r="H473" s="55" t="s">
        <v>1448</v>
      </c>
      <c r="I473" s="55" t="s">
        <v>1091</v>
      </c>
      <c r="J473" s="55" t="s">
        <v>2720</v>
      </c>
      <c r="K473" s="55"/>
      <c r="L473" s="55"/>
      <c r="M473" s="55"/>
      <c r="N473" s="55"/>
      <c r="O473" s="55"/>
      <c r="P473" s="55"/>
      <c r="Q473" s="55"/>
      <c r="R473" s="55" t="n">
        <v>12</v>
      </c>
      <c r="S473" s="55" t="n">
        <v>49</v>
      </c>
      <c r="T473" s="55"/>
      <c r="U473" s="55"/>
      <c r="V473" s="55"/>
      <c r="W473" s="55" t="s">
        <v>2706</v>
      </c>
      <c r="X473" s="4"/>
      <c r="Y473" s="4"/>
      <c r="Z473" s="4"/>
    </row>
    <row r="474" customFormat="false" ht="15.75" hidden="false" customHeight="true" outlineLevel="0" collapsed="false">
      <c r="A474" s="55" t="n">
        <v>2034</v>
      </c>
      <c r="B474" s="55" t="s">
        <v>1045</v>
      </c>
      <c r="C474" s="55" t="s">
        <v>1046</v>
      </c>
      <c r="D474" s="55" t="s">
        <v>2721</v>
      </c>
      <c r="E474" s="55"/>
      <c r="F474" s="55" t="s">
        <v>1194</v>
      </c>
      <c r="G474" s="55" t="s">
        <v>1194</v>
      </c>
      <c r="H474" s="55" t="s">
        <v>1448</v>
      </c>
      <c r="I474" s="55" t="s">
        <v>1038</v>
      </c>
      <c r="J474" s="55" t="s">
        <v>2722</v>
      </c>
      <c r="K474" s="55"/>
      <c r="L474" s="55"/>
      <c r="M474" s="55"/>
      <c r="N474" s="55"/>
      <c r="O474" s="55"/>
      <c r="P474" s="55"/>
      <c r="Q474" s="55"/>
      <c r="R474" s="55" t="n">
        <v>13</v>
      </c>
      <c r="S474" s="55" t="n">
        <v>62</v>
      </c>
      <c r="T474" s="55"/>
      <c r="U474" s="55"/>
      <c r="V474" s="55"/>
      <c r="W474" s="55" t="s">
        <v>2706</v>
      </c>
      <c r="X474" s="4"/>
      <c r="Y474" s="4"/>
      <c r="Z474" s="4"/>
    </row>
    <row r="475" customFormat="false" ht="15.75" hidden="false" customHeight="true" outlineLevel="0" collapsed="false">
      <c r="A475" s="55" t="n">
        <v>2035</v>
      </c>
      <c r="B475" s="55" t="s">
        <v>1097</v>
      </c>
      <c r="C475" s="55" t="s">
        <v>1098</v>
      </c>
      <c r="D475" s="55" t="s">
        <v>2723</v>
      </c>
      <c r="E475" s="55"/>
      <c r="F475" s="55" t="s">
        <v>1194</v>
      </c>
      <c r="G475" s="55" t="s">
        <v>1194</v>
      </c>
      <c r="H475" s="55" t="s">
        <v>1448</v>
      </c>
      <c r="I475" s="55" t="s">
        <v>1091</v>
      </c>
      <c r="J475" s="55" t="s">
        <v>2724</v>
      </c>
      <c r="K475" s="55"/>
      <c r="L475" s="55"/>
      <c r="M475" s="55"/>
      <c r="N475" s="55"/>
      <c r="O475" s="55"/>
      <c r="P475" s="55"/>
      <c r="Q475" s="55"/>
      <c r="R475" s="55" t="n">
        <v>5</v>
      </c>
      <c r="S475" s="55" t="n">
        <v>26</v>
      </c>
      <c r="T475" s="55"/>
      <c r="U475" s="55"/>
      <c r="V475" s="55"/>
      <c r="W475" s="55" t="s">
        <v>2706</v>
      </c>
      <c r="X475" s="4"/>
      <c r="Y475" s="4"/>
      <c r="Z475" s="4"/>
    </row>
    <row r="476" customFormat="false" ht="15.75" hidden="false" customHeight="true" outlineLevel="0" collapsed="false">
      <c r="A476" s="55" t="n">
        <v>1948</v>
      </c>
      <c r="B476" s="55" t="s">
        <v>1076</v>
      </c>
      <c r="C476" s="55" t="s">
        <v>1077</v>
      </c>
      <c r="D476" s="55" t="s">
        <v>2725</v>
      </c>
      <c r="E476" s="55"/>
      <c r="F476" s="55" t="s">
        <v>1194</v>
      </c>
      <c r="G476" s="55" t="s">
        <v>1194</v>
      </c>
      <c r="H476" s="55" t="s">
        <v>1448</v>
      </c>
      <c r="I476" s="55" t="s">
        <v>1061</v>
      </c>
      <c r="J476" s="55" t="s">
        <v>2726</v>
      </c>
      <c r="K476" s="55"/>
      <c r="L476" s="55"/>
      <c r="M476" s="55"/>
      <c r="N476" s="55" t="s">
        <v>1078</v>
      </c>
      <c r="O476" s="55"/>
      <c r="P476" s="55"/>
      <c r="Q476" s="55" t="s">
        <v>1078</v>
      </c>
      <c r="R476" s="55" t="n">
        <v>32</v>
      </c>
      <c r="S476" s="55" t="n">
        <v>45</v>
      </c>
      <c r="T476" s="55"/>
      <c r="U476" s="55"/>
      <c r="V476" s="55"/>
      <c r="W476" s="55" t="s">
        <v>2706</v>
      </c>
      <c r="X476" s="4"/>
      <c r="Y476" s="4"/>
      <c r="Z476" s="4"/>
    </row>
    <row r="477" customFormat="false" ht="15.75" hidden="false" customHeight="true" outlineLevel="0" collapsed="false">
      <c r="A477" s="55" t="n">
        <v>2007</v>
      </c>
      <c r="B477" s="55" t="s">
        <v>1136</v>
      </c>
      <c r="C477" s="55" t="s">
        <v>1137</v>
      </c>
      <c r="D477" s="55" t="s">
        <v>2727</v>
      </c>
      <c r="E477" s="55"/>
      <c r="F477" s="55" t="s">
        <v>1194</v>
      </c>
      <c r="G477" s="55" t="s">
        <v>1194</v>
      </c>
      <c r="H477" s="55" t="s">
        <v>1235</v>
      </c>
      <c r="I477" s="55"/>
      <c r="J477" s="55" t="s">
        <v>2728</v>
      </c>
      <c r="K477" s="55"/>
      <c r="L477" s="55"/>
      <c r="M477" s="55"/>
      <c r="N477" s="55"/>
      <c r="O477" s="55"/>
      <c r="P477" s="55"/>
      <c r="Q477" s="55"/>
      <c r="R477" s="55" t="n">
        <v>7</v>
      </c>
      <c r="S477" s="55" t="n">
        <v>6</v>
      </c>
      <c r="T477" s="55"/>
      <c r="U477" s="55"/>
      <c r="V477" s="55"/>
      <c r="W477" s="55" t="s">
        <v>2706</v>
      </c>
      <c r="X477" s="4"/>
      <c r="Y477" s="4"/>
      <c r="Z477" s="4"/>
    </row>
    <row r="478" customFormat="false" ht="15.75" hidden="false" customHeight="true" outlineLevel="0" collapsed="false">
      <c r="A478" s="55" t="n">
        <v>2009</v>
      </c>
      <c r="B478" s="55" t="s">
        <v>1138</v>
      </c>
      <c r="C478" s="55" t="s">
        <v>1139</v>
      </c>
      <c r="D478" s="55" t="s">
        <v>2729</v>
      </c>
      <c r="E478" s="55"/>
      <c r="F478" s="55" t="s">
        <v>1194</v>
      </c>
      <c r="G478" s="55" t="s">
        <v>1194</v>
      </c>
      <c r="H478" s="55" t="s">
        <v>1235</v>
      </c>
      <c r="I478" s="55"/>
      <c r="J478" s="55" t="s">
        <v>2730</v>
      </c>
      <c r="K478" s="55"/>
      <c r="L478" s="55"/>
      <c r="M478" s="55"/>
      <c r="N478" s="55"/>
      <c r="O478" s="55"/>
      <c r="P478" s="55"/>
      <c r="Q478" s="55"/>
      <c r="R478" s="55" t="n">
        <v>6</v>
      </c>
      <c r="S478" s="55" t="n">
        <v>74</v>
      </c>
      <c r="T478" s="55"/>
      <c r="U478" s="55"/>
      <c r="V478" s="55"/>
      <c r="W478" s="55" t="s">
        <v>2706</v>
      </c>
      <c r="X478" s="4"/>
      <c r="Y478" s="4"/>
      <c r="Z478" s="4"/>
    </row>
    <row r="479" customFormat="false" ht="15.75" hidden="false" customHeight="true" outlineLevel="0" collapsed="false">
      <c r="A479" s="55" t="n">
        <v>2012</v>
      </c>
      <c r="B479" s="55" t="s">
        <v>1142</v>
      </c>
      <c r="C479" s="55" t="s">
        <v>1143</v>
      </c>
      <c r="D479" s="55" t="s">
        <v>2731</v>
      </c>
      <c r="E479" s="55"/>
      <c r="F479" s="55" t="s">
        <v>1194</v>
      </c>
      <c r="G479" s="55" t="s">
        <v>1194</v>
      </c>
      <c r="H479" s="55" t="s">
        <v>1235</v>
      </c>
      <c r="I479" s="55"/>
      <c r="J479" s="55" t="s">
        <v>2732</v>
      </c>
      <c r="K479" s="55"/>
      <c r="L479" s="55"/>
      <c r="M479" s="55"/>
      <c r="N479" s="55"/>
      <c r="O479" s="55"/>
      <c r="P479" s="55"/>
      <c r="Q479" s="55"/>
      <c r="R479" s="55" t="n">
        <v>4</v>
      </c>
      <c r="S479" s="55" t="n">
        <v>129</v>
      </c>
      <c r="T479" s="55"/>
      <c r="U479" s="55"/>
      <c r="V479" s="55"/>
      <c r="W479" s="55" t="s">
        <v>2706</v>
      </c>
      <c r="X479" s="4"/>
      <c r="Y479" s="4"/>
      <c r="Z479" s="4"/>
    </row>
    <row r="480" customFormat="false" ht="15.75" hidden="false" customHeight="true" outlineLevel="0" collapsed="false">
      <c r="A480" s="55" t="n">
        <v>2013</v>
      </c>
      <c r="B480" s="55" t="s">
        <v>1144</v>
      </c>
      <c r="C480" s="55" t="s">
        <v>1145</v>
      </c>
      <c r="D480" s="55" t="s">
        <v>2733</v>
      </c>
      <c r="E480" s="55"/>
      <c r="F480" s="55" t="s">
        <v>1194</v>
      </c>
      <c r="G480" s="55" t="s">
        <v>1194</v>
      </c>
      <c r="H480" s="55" t="s">
        <v>1235</v>
      </c>
      <c r="I480" s="55"/>
      <c r="J480" s="55" t="s">
        <v>2734</v>
      </c>
      <c r="K480" s="55"/>
      <c r="L480" s="55"/>
      <c r="M480" s="55"/>
      <c r="N480" s="55"/>
      <c r="O480" s="55"/>
      <c r="P480" s="55"/>
      <c r="Q480" s="55"/>
      <c r="R480" s="55" t="n">
        <v>3</v>
      </c>
      <c r="S480" s="55" t="n">
        <v>60</v>
      </c>
      <c r="T480" s="55"/>
      <c r="U480" s="55"/>
      <c r="V480" s="55"/>
      <c r="W480" s="55" t="s">
        <v>2706</v>
      </c>
      <c r="X480" s="4"/>
      <c r="Y480" s="4"/>
      <c r="Z480" s="4"/>
    </row>
    <row r="481" customFormat="false" ht="15.75" hidden="false" customHeight="true" outlineLevel="0" collapsed="false">
      <c r="A481" s="55" t="n">
        <v>2014</v>
      </c>
      <c r="B481" s="55" t="s">
        <v>1146</v>
      </c>
      <c r="C481" s="55" t="s">
        <v>1148</v>
      </c>
      <c r="D481" s="55" t="s">
        <v>2735</v>
      </c>
      <c r="E481" s="55"/>
      <c r="F481" s="55" t="s">
        <v>1194</v>
      </c>
      <c r="G481" s="55" t="s">
        <v>1194</v>
      </c>
      <c r="H481" s="55" t="s">
        <v>1235</v>
      </c>
      <c r="I481" s="55"/>
      <c r="J481" s="55" t="s">
        <v>2736</v>
      </c>
      <c r="K481" s="55"/>
      <c r="L481" s="55"/>
      <c r="M481" s="55"/>
      <c r="N481" s="55"/>
      <c r="O481" s="55"/>
      <c r="P481" s="55"/>
      <c r="Q481" s="55"/>
      <c r="R481" s="55" t="n">
        <v>8</v>
      </c>
      <c r="S481" s="55" t="n">
        <v>111</v>
      </c>
      <c r="T481" s="55"/>
      <c r="U481" s="55"/>
      <c r="V481" s="55"/>
      <c r="W481" s="55" t="s">
        <v>2706</v>
      </c>
      <c r="X481" s="4"/>
      <c r="Y481" s="4"/>
      <c r="Z481" s="4"/>
    </row>
    <row r="482" customFormat="false" ht="15.75" hidden="false" customHeight="true" outlineLevel="0" collapsed="false">
      <c r="A482" s="55" t="n">
        <v>2015</v>
      </c>
      <c r="B482" s="55" t="s">
        <v>1146</v>
      </c>
      <c r="C482" s="55" t="s">
        <v>1147</v>
      </c>
      <c r="D482" s="55" t="s">
        <v>2737</v>
      </c>
      <c r="E482" s="55"/>
      <c r="F482" s="55" t="s">
        <v>1194</v>
      </c>
      <c r="G482" s="55" t="s">
        <v>1194</v>
      </c>
      <c r="H482" s="55" t="s">
        <v>1235</v>
      </c>
      <c r="I482" s="55"/>
      <c r="J482" s="55" t="s">
        <v>2738</v>
      </c>
      <c r="K482" s="55"/>
      <c r="L482" s="55"/>
      <c r="M482" s="55"/>
      <c r="N482" s="55"/>
      <c r="O482" s="55"/>
      <c r="P482" s="55"/>
      <c r="Q482" s="55"/>
      <c r="R482" s="55" t="n">
        <v>5</v>
      </c>
      <c r="S482" s="55" t="n">
        <v>38</v>
      </c>
      <c r="T482" s="55"/>
      <c r="U482" s="55"/>
      <c r="V482" s="55"/>
      <c r="W482" s="55" t="s">
        <v>2706</v>
      </c>
      <c r="X482" s="4"/>
      <c r="Y482" s="4"/>
      <c r="Z482" s="4"/>
    </row>
    <row r="483" customFormat="false" ht="15.75" hidden="false" customHeight="true" outlineLevel="0" collapsed="false">
      <c r="A483" s="55" t="n">
        <v>2016</v>
      </c>
      <c r="B483" s="55" t="s">
        <v>1153</v>
      </c>
      <c r="C483" s="55" t="s">
        <v>1154</v>
      </c>
      <c r="D483" s="55" t="s">
        <v>2739</v>
      </c>
      <c r="E483" s="55"/>
      <c r="F483" s="55" t="s">
        <v>1194</v>
      </c>
      <c r="G483" s="55" t="s">
        <v>1194</v>
      </c>
      <c r="H483" s="55" t="s">
        <v>1235</v>
      </c>
      <c r="I483" s="55"/>
      <c r="J483" s="55" t="s">
        <v>2740</v>
      </c>
      <c r="K483" s="55"/>
      <c r="L483" s="55"/>
      <c r="M483" s="55"/>
      <c r="N483" s="55"/>
      <c r="O483" s="55"/>
      <c r="P483" s="55"/>
      <c r="Q483" s="55"/>
      <c r="R483" s="55" t="n">
        <v>10</v>
      </c>
      <c r="S483" s="55" t="n">
        <v>187</v>
      </c>
      <c r="T483" s="55"/>
      <c r="U483" s="55"/>
      <c r="V483" s="55"/>
      <c r="W483" s="55" t="s">
        <v>2706</v>
      </c>
      <c r="X483" s="4"/>
      <c r="Y483" s="4"/>
      <c r="Z483" s="4"/>
    </row>
    <row r="484" customFormat="false" ht="15.75" hidden="false" customHeight="true" outlineLevel="0" collapsed="false">
      <c r="A484" s="55" t="n">
        <v>2036</v>
      </c>
      <c r="B484" s="55" t="s">
        <v>1047</v>
      </c>
      <c r="C484" s="55" t="s">
        <v>1048</v>
      </c>
      <c r="D484" s="55" t="s">
        <v>2741</v>
      </c>
      <c r="E484" s="55"/>
      <c r="F484" s="55" t="s">
        <v>1194</v>
      </c>
      <c r="G484" s="55" t="s">
        <v>1194</v>
      </c>
      <c r="H484" s="55" t="s">
        <v>1448</v>
      </c>
      <c r="I484" s="55" t="s">
        <v>1038</v>
      </c>
      <c r="J484" s="55" t="s">
        <v>2742</v>
      </c>
      <c r="K484" s="55"/>
      <c r="L484" s="55"/>
      <c r="M484" s="55"/>
      <c r="N484" s="55"/>
      <c r="O484" s="55"/>
      <c r="P484" s="55"/>
      <c r="Q484" s="55"/>
      <c r="R484" s="55" t="n">
        <v>5</v>
      </c>
      <c r="S484" s="55" t="n">
        <v>29</v>
      </c>
      <c r="T484" s="55"/>
      <c r="U484" s="55"/>
      <c r="V484" s="55"/>
      <c r="W484" s="55" t="s">
        <v>2706</v>
      </c>
      <c r="X484" s="4"/>
      <c r="Y484" s="4"/>
      <c r="Z484" s="4"/>
    </row>
    <row r="485" customFormat="false" ht="15.75" hidden="false" customHeight="true" outlineLevel="0" collapsed="false">
      <c r="A485" s="55" t="n">
        <v>2018</v>
      </c>
      <c r="B485" s="55" t="s">
        <v>1157</v>
      </c>
      <c r="C485" s="55" t="s">
        <v>1158</v>
      </c>
      <c r="D485" s="55" t="s">
        <v>2743</v>
      </c>
      <c r="E485" s="55"/>
      <c r="F485" s="55" t="s">
        <v>1194</v>
      </c>
      <c r="G485" s="55" t="s">
        <v>1194</v>
      </c>
      <c r="H485" s="55" t="s">
        <v>1235</v>
      </c>
      <c r="I485" s="55"/>
      <c r="J485" s="55" t="s">
        <v>2744</v>
      </c>
      <c r="K485" s="55"/>
      <c r="L485" s="55"/>
      <c r="M485" s="55"/>
      <c r="N485" s="55"/>
      <c r="O485" s="55"/>
      <c r="P485" s="55"/>
      <c r="Q485" s="55"/>
      <c r="R485" s="55" t="n">
        <v>8</v>
      </c>
      <c r="S485" s="55" t="n">
        <v>115</v>
      </c>
      <c r="T485" s="55"/>
      <c r="U485" s="55"/>
      <c r="V485" s="55"/>
      <c r="W485" s="55" t="s">
        <v>2706</v>
      </c>
      <c r="X485" s="4"/>
      <c r="Y485" s="4"/>
      <c r="Z485" s="4"/>
    </row>
    <row r="486" customFormat="false" ht="15.75" hidden="false" customHeight="true" outlineLevel="0" collapsed="false">
      <c r="A486" s="55" t="n">
        <v>2019</v>
      </c>
      <c r="B486" s="55" t="s">
        <v>1159</v>
      </c>
      <c r="C486" s="55" t="s">
        <v>1160</v>
      </c>
      <c r="D486" s="55" t="s">
        <v>2745</v>
      </c>
      <c r="E486" s="55"/>
      <c r="F486" s="55" t="s">
        <v>1194</v>
      </c>
      <c r="G486" s="55" t="s">
        <v>1194</v>
      </c>
      <c r="H486" s="55" t="s">
        <v>1235</v>
      </c>
      <c r="I486" s="55"/>
      <c r="J486" s="55" t="s">
        <v>2746</v>
      </c>
      <c r="K486" s="55"/>
      <c r="L486" s="55"/>
      <c r="M486" s="55"/>
      <c r="N486" s="55"/>
      <c r="O486" s="55"/>
      <c r="P486" s="55"/>
      <c r="Q486" s="55"/>
      <c r="R486" s="55" t="n">
        <v>7</v>
      </c>
      <c r="S486" s="55" t="n">
        <v>53</v>
      </c>
      <c r="T486" s="55"/>
      <c r="U486" s="55"/>
      <c r="V486" s="55"/>
      <c r="W486" s="55" t="s">
        <v>2706</v>
      </c>
      <c r="X486" s="4"/>
      <c r="Y486" s="4"/>
      <c r="Z486" s="4"/>
    </row>
    <row r="487" customFormat="false" ht="15.75" hidden="false" customHeight="true" outlineLevel="0" collapsed="false">
      <c r="A487" s="55" t="n">
        <v>2017</v>
      </c>
      <c r="B487" s="55" t="s">
        <v>1155</v>
      </c>
      <c r="C487" s="55" t="s">
        <v>1156</v>
      </c>
      <c r="D487" s="55" t="s">
        <v>2747</v>
      </c>
      <c r="E487" s="55"/>
      <c r="F487" s="55" t="s">
        <v>1194</v>
      </c>
      <c r="G487" s="55" t="s">
        <v>1194</v>
      </c>
      <c r="H487" s="55" t="s">
        <v>1235</v>
      </c>
      <c r="I487" s="55"/>
      <c r="J487" s="55" t="s">
        <v>2748</v>
      </c>
      <c r="K487" s="55"/>
      <c r="L487" s="55"/>
      <c r="M487" s="55"/>
      <c r="N487" s="55"/>
      <c r="O487" s="55"/>
      <c r="P487" s="55"/>
      <c r="Q487" s="55"/>
      <c r="R487" s="55" t="n">
        <v>31</v>
      </c>
      <c r="S487" s="55" t="n">
        <v>24</v>
      </c>
      <c r="T487" s="55"/>
      <c r="U487" s="55"/>
      <c r="V487" s="55"/>
      <c r="W487" s="55" t="s">
        <v>2706</v>
      </c>
      <c r="X487" s="4"/>
      <c r="Y487" s="4"/>
      <c r="Z487" s="4"/>
    </row>
    <row r="488" customFormat="false" ht="15.75" hidden="false" customHeight="true" outlineLevel="0" collapsed="false">
      <c r="A488" s="55" t="n">
        <v>2021</v>
      </c>
      <c r="B488" s="55" t="s">
        <v>1163</v>
      </c>
      <c r="C488" s="55" t="s">
        <v>1164</v>
      </c>
      <c r="D488" s="55" t="s">
        <v>2749</v>
      </c>
      <c r="E488" s="55"/>
      <c r="F488" s="55" t="s">
        <v>1194</v>
      </c>
      <c r="G488" s="55" t="s">
        <v>1194</v>
      </c>
      <c r="H488" s="55" t="s">
        <v>1235</v>
      </c>
      <c r="I488" s="55"/>
      <c r="J488" s="55" t="s">
        <v>2750</v>
      </c>
      <c r="K488" s="55"/>
      <c r="L488" s="55"/>
      <c r="M488" s="55"/>
      <c r="N488" s="55"/>
      <c r="O488" s="55"/>
      <c r="P488" s="55"/>
      <c r="Q488" s="55"/>
      <c r="R488" s="55" t="n">
        <v>31</v>
      </c>
      <c r="S488" s="55" t="n">
        <v>37</v>
      </c>
      <c r="T488" s="55"/>
      <c r="U488" s="55"/>
      <c r="V488" s="55"/>
      <c r="W488" s="55" t="s">
        <v>2706</v>
      </c>
      <c r="X488" s="4"/>
      <c r="Y488" s="4"/>
      <c r="Z488" s="4"/>
    </row>
    <row r="489" customFormat="false" ht="15.75" hidden="false" customHeight="true" outlineLevel="0" collapsed="false">
      <c r="A489" s="55" t="n">
        <v>2022</v>
      </c>
      <c r="B489" s="55" t="s">
        <v>1132</v>
      </c>
      <c r="C489" s="55" t="s">
        <v>1133</v>
      </c>
      <c r="D489" s="55" t="s">
        <v>2751</v>
      </c>
      <c r="E489" s="55"/>
      <c r="F489" s="55" t="s">
        <v>1194</v>
      </c>
      <c r="G489" s="55" t="s">
        <v>1194</v>
      </c>
      <c r="H489" s="55" t="s">
        <v>1235</v>
      </c>
      <c r="I489" s="55"/>
      <c r="J489" s="55" t="s">
        <v>2752</v>
      </c>
      <c r="K489" s="55"/>
      <c r="L489" s="55"/>
      <c r="M489" s="55"/>
      <c r="N489" s="55"/>
      <c r="O489" s="55"/>
      <c r="P489" s="55"/>
      <c r="Q489" s="55"/>
      <c r="R489" s="55" t="n">
        <v>10</v>
      </c>
      <c r="S489" s="55" t="n">
        <v>48</v>
      </c>
      <c r="T489" s="55"/>
      <c r="U489" s="55"/>
      <c r="V489" s="55"/>
      <c r="W489" s="55" t="s">
        <v>2706</v>
      </c>
      <c r="X489" s="4"/>
      <c r="Y489" s="4"/>
      <c r="Z489" s="4"/>
    </row>
    <row r="490" customFormat="false" ht="15.75" hidden="false" customHeight="true" outlineLevel="0" collapsed="false">
      <c r="A490" s="55" t="n">
        <v>2028</v>
      </c>
      <c r="B490" s="55" t="s">
        <v>1140</v>
      </c>
      <c r="C490" s="55" t="s">
        <v>1141</v>
      </c>
      <c r="D490" s="55" t="s">
        <v>2753</v>
      </c>
      <c r="E490" s="55"/>
      <c r="F490" s="55" t="s">
        <v>1194</v>
      </c>
      <c r="G490" s="55" t="s">
        <v>1194</v>
      </c>
      <c r="H490" s="55" t="s">
        <v>1235</v>
      </c>
      <c r="I490" s="55"/>
      <c r="J490" s="55" t="s">
        <v>2754</v>
      </c>
      <c r="K490" s="55"/>
      <c r="L490" s="55"/>
      <c r="M490" s="55"/>
      <c r="N490" s="55"/>
      <c r="O490" s="55"/>
      <c r="P490" s="55"/>
      <c r="Q490" s="55"/>
      <c r="R490" s="55" t="n">
        <v>3</v>
      </c>
      <c r="S490" s="55" t="n">
        <v>125</v>
      </c>
      <c r="T490" s="55"/>
      <c r="U490" s="55"/>
      <c r="V490" s="55"/>
      <c r="W490" s="55" t="s">
        <v>2706</v>
      </c>
      <c r="X490" s="4"/>
      <c r="Y490" s="4"/>
      <c r="Z490" s="4"/>
    </row>
    <row r="491" customFormat="false" ht="15.75" hidden="false" customHeight="true" outlineLevel="0" collapsed="false">
      <c r="A491" s="55" t="n">
        <v>2029</v>
      </c>
      <c r="B491" s="55" t="s">
        <v>1095</v>
      </c>
      <c r="C491" s="55" t="s">
        <v>1096</v>
      </c>
      <c r="D491" s="55" t="s">
        <v>2755</v>
      </c>
      <c r="E491" s="55"/>
      <c r="F491" s="55" t="s">
        <v>1194</v>
      </c>
      <c r="G491" s="55" t="s">
        <v>1194</v>
      </c>
      <c r="H491" s="55" t="s">
        <v>1448</v>
      </c>
      <c r="I491" s="55" t="s">
        <v>1091</v>
      </c>
      <c r="J491" s="55" t="s">
        <v>2756</v>
      </c>
      <c r="K491" s="55"/>
      <c r="L491" s="55"/>
      <c r="M491" s="55"/>
      <c r="N491" s="55"/>
      <c r="O491" s="55"/>
      <c r="P491" s="55"/>
      <c r="Q491" s="55"/>
      <c r="R491" s="55" t="n">
        <v>5</v>
      </c>
      <c r="S491" s="55" t="n">
        <v>29</v>
      </c>
      <c r="T491" s="55"/>
      <c r="U491" s="55"/>
      <c r="V491" s="55"/>
      <c r="W491" s="55" t="s">
        <v>2706</v>
      </c>
      <c r="X491" s="4"/>
      <c r="Y491" s="4"/>
      <c r="Z491" s="4"/>
    </row>
    <row r="492" customFormat="false" ht="15.75" hidden="false" customHeight="true" outlineLevel="0" collapsed="false">
      <c r="A492" s="55" t="n">
        <v>2030</v>
      </c>
      <c r="B492" s="55" t="s">
        <v>1036</v>
      </c>
      <c r="C492" s="55" t="s">
        <v>1037</v>
      </c>
      <c r="D492" s="55" t="s">
        <v>2757</v>
      </c>
      <c r="E492" s="55"/>
      <c r="F492" s="55" t="s">
        <v>1194</v>
      </c>
      <c r="G492" s="55" t="s">
        <v>1194</v>
      </c>
      <c r="H492" s="55" t="s">
        <v>1448</v>
      </c>
      <c r="I492" s="55" t="s">
        <v>1038</v>
      </c>
      <c r="J492" s="55" t="s">
        <v>2758</v>
      </c>
      <c r="K492" s="55"/>
      <c r="L492" s="55"/>
      <c r="M492" s="55"/>
      <c r="N492" s="55"/>
      <c r="O492" s="55"/>
      <c r="P492" s="55"/>
      <c r="Q492" s="55"/>
      <c r="R492" s="55" t="n">
        <v>8</v>
      </c>
      <c r="S492" s="55" t="n">
        <v>49</v>
      </c>
      <c r="T492" s="55"/>
      <c r="U492" s="55"/>
      <c r="V492" s="55"/>
      <c r="W492" s="55" t="s">
        <v>2706</v>
      </c>
      <c r="X492" s="4"/>
      <c r="Y492" s="4"/>
      <c r="Z492" s="4"/>
    </row>
    <row r="493" customFormat="false" ht="15.75" hidden="false" customHeight="true" outlineLevel="0" collapsed="false">
      <c r="A493" s="55" t="n">
        <v>2020</v>
      </c>
      <c r="B493" s="55" t="s">
        <v>1161</v>
      </c>
      <c r="C493" s="55" t="s">
        <v>1162</v>
      </c>
      <c r="D493" s="55" t="s">
        <v>2759</v>
      </c>
      <c r="E493" s="55"/>
      <c r="F493" s="55" t="s">
        <v>1194</v>
      </c>
      <c r="G493" s="55" t="s">
        <v>1194</v>
      </c>
      <c r="H493" s="55" t="s">
        <v>1235</v>
      </c>
      <c r="I493" s="55"/>
      <c r="J493" s="55" t="s">
        <v>2760</v>
      </c>
      <c r="K493" s="55"/>
      <c r="L493" s="55"/>
      <c r="M493" s="55"/>
      <c r="N493" s="55"/>
      <c r="O493" s="55"/>
      <c r="P493" s="55"/>
      <c r="Q493" s="55"/>
      <c r="R493" s="55" t="n">
        <v>3</v>
      </c>
      <c r="S493" s="55" t="n">
        <v>97</v>
      </c>
      <c r="T493" s="55"/>
      <c r="U493" s="55"/>
      <c r="V493" s="55"/>
      <c r="W493" s="55" t="s">
        <v>2706</v>
      </c>
      <c r="X493" s="4"/>
      <c r="Y493" s="4"/>
      <c r="Z493" s="4"/>
    </row>
    <row r="494" customFormat="false" ht="15.75" hidden="false" customHeight="true" outlineLevel="0" collapsed="false">
      <c r="A494" s="55" t="n">
        <v>2032</v>
      </c>
      <c r="B494" s="55" t="s">
        <v>1041</v>
      </c>
      <c r="C494" s="55" t="s">
        <v>1042</v>
      </c>
      <c r="D494" s="55" t="s">
        <v>2761</v>
      </c>
      <c r="E494" s="55"/>
      <c r="F494" s="55" t="s">
        <v>1194</v>
      </c>
      <c r="G494" s="55" t="s">
        <v>1194</v>
      </c>
      <c r="H494" s="55" t="s">
        <v>1448</v>
      </c>
      <c r="I494" s="55" t="s">
        <v>1038</v>
      </c>
      <c r="J494" s="55" t="s">
        <v>2762</v>
      </c>
      <c r="K494" s="55"/>
      <c r="L494" s="55"/>
      <c r="M494" s="55"/>
      <c r="N494" s="55"/>
      <c r="O494" s="55"/>
      <c r="P494" s="55"/>
      <c r="Q494" s="55"/>
      <c r="R494" s="55" t="n">
        <v>8</v>
      </c>
      <c r="S494" s="55" t="n">
        <v>7</v>
      </c>
      <c r="T494" s="55"/>
      <c r="U494" s="55"/>
      <c r="V494" s="55"/>
      <c r="W494" s="55" t="s">
        <v>2706</v>
      </c>
      <c r="X494" s="4"/>
      <c r="Y494" s="4"/>
      <c r="Z494" s="4"/>
    </row>
    <row r="495" customFormat="false" ht="15.75" hidden="false" customHeight="true" outlineLevel="0" collapsed="false">
      <c r="A495" s="55" t="n">
        <v>2031</v>
      </c>
      <c r="B495" s="55" t="s">
        <v>1039</v>
      </c>
      <c r="C495" s="55" t="s">
        <v>1040</v>
      </c>
      <c r="D495" s="55" t="s">
        <v>2763</v>
      </c>
      <c r="E495" s="55"/>
      <c r="F495" s="55" t="s">
        <v>1194</v>
      </c>
      <c r="G495" s="55" t="s">
        <v>1194</v>
      </c>
      <c r="H495" s="55" t="s">
        <v>1448</v>
      </c>
      <c r="I495" s="55" t="s">
        <v>1038</v>
      </c>
      <c r="J495" s="55" t="s">
        <v>2764</v>
      </c>
      <c r="K495" s="55"/>
      <c r="L495" s="55"/>
      <c r="M495" s="55"/>
      <c r="N495" s="55"/>
      <c r="O495" s="55"/>
      <c r="P495" s="55"/>
      <c r="Q495" s="55"/>
      <c r="R495" s="55" t="n">
        <v>8</v>
      </c>
      <c r="S495" s="55" t="n">
        <v>24</v>
      </c>
      <c r="T495" s="55"/>
      <c r="U495" s="55"/>
      <c r="V495" s="55"/>
      <c r="W495" s="55" t="s">
        <v>2706</v>
      </c>
      <c r="X495" s="4"/>
      <c r="Y495" s="4"/>
      <c r="Z495" s="4"/>
    </row>
    <row r="496" customFormat="false" ht="15.75" hidden="false" customHeight="true" outlineLevel="0" collapsed="false">
      <c r="A496" s="55" t="n">
        <v>2023</v>
      </c>
      <c r="B496" s="55" t="s">
        <v>1134</v>
      </c>
      <c r="C496" s="55" t="s">
        <v>1135</v>
      </c>
      <c r="D496" s="55" t="s">
        <v>2765</v>
      </c>
      <c r="E496" s="55" t="s">
        <v>2766</v>
      </c>
      <c r="F496" s="55" t="s">
        <v>1195</v>
      </c>
      <c r="G496" s="55" t="s">
        <v>1195</v>
      </c>
      <c r="H496" s="55" t="s">
        <v>1235</v>
      </c>
      <c r="I496" s="55"/>
      <c r="J496" s="55" t="s">
        <v>2767</v>
      </c>
      <c r="K496" s="55"/>
      <c r="L496" s="55"/>
      <c r="M496" s="55"/>
      <c r="N496" s="55"/>
      <c r="O496" s="55"/>
      <c r="P496" s="55"/>
      <c r="Q496" s="55"/>
      <c r="R496" s="55" t="n">
        <v>12</v>
      </c>
      <c r="S496" s="55" t="n">
        <v>18</v>
      </c>
      <c r="T496" s="55"/>
      <c r="U496" s="55" t="s">
        <v>2768</v>
      </c>
      <c r="V496" s="55" t="s">
        <v>2769</v>
      </c>
      <c r="W496" s="55" t="s">
        <v>2770</v>
      </c>
      <c r="X496" s="4"/>
      <c r="Y496" s="4"/>
      <c r="Z496" s="4"/>
    </row>
    <row r="497" customFormat="false" ht="15.75" hidden="false" customHeight="true" outlineLevel="0" collapsed="false">
      <c r="A497" s="55" t="n">
        <v>2076</v>
      </c>
      <c r="B497" s="55" t="s">
        <v>1121</v>
      </c>
      <c r="C497" s="55" t="s">
        <v>1122</v>
      </c>
      <c r="D497" s="55" t="s">
        <v>2771</v>
      </c>
      <c r="E497" s="55" t="s">
        <v>2772</v>
      </c>
      <c r="F497" s="55" t="s">
        <v>1195</v>
      </c>
      <c r="G497" s="55" t="s">
        <v>1195</v>
      </c>
      <c r="H497" s="55" t="s">
        <v>1448</v>
      </c>
      <c r="I497" s="55" t="s">
        <v>1091</v>
      </c>
      <c r="J497" s="55" t="s">
        <v>2773</v>
      </c>
      <c r="K497" s="55"/>
      <c r="L497" s="55"/>
      <c r="M497" s="55"/>
      <c r="N497" s="55"/>
      <c r="O497" s="55"/>
      <c r="P497" s="55"/>
      <c r="Q497" s="55"/>
      <c r="R497" s="55" t="n">
        <v>9</v>
      </c>
      <c r="S497" s="55" t="n">
        <v>29</v>
      </c>
      <c r="T497" s="55"/>
      <c r="U497" s="55" t="s">
        <v>1122</v>
      </c>
      <c r="V497" s="55" t="s">
        <v>2774</v>
      </c>
      <c r="W497" s="55" t="s">
        <v>2770</v>
      </c>
      <c r="X497" s="4"/>
      <c r="Y497" s="4"/>
      <c r="Z497" s="4"/>
    </row>
    <row r="498" customFormat="false" ht="15.75" hidden="false" customHeight="true" outlineLevel="0" collapsed="false">
      <c r="A498" s="55" t="n">
        <v>2063</v>
      </c>
      <c r="B498" s="55" t="s">
        <v>1103</v>
      </c>
      <c r="C498" s="55" t="s">
        <v>1104</v>
      </c>
      <c r="D498" s="55" t="s">
        <v>2775</v>
      </c>
      <c r="E498" s="55" t="s">
        <v>2776</v>
      </c>
      <c r="F498" s="55" t="s">
        <v>1195</v>
      </c>
      <c r="G498" s="55" t="s">
        <v>1195</v>
      </c>
      <c r="H498" s="55" t="s">
        <v>1448</v>
      </c>
      <c r="I498" s="55" t="s">
        <v>1091</v>
      </c>
      <c r="J498" s="55" t="s">
        <v>2777</v>
      </c>
      <c r="K498" s="55"/>
      <c r="L498" s="55"/>
      <c r="M498" s="55"/>
      <c r="N498" s="55"/>
      <c r="O498" s="55"/>
      <c r="P498" s="55"/>
      <c r="Q498" s="55"/>
      <c r="R498" s="55" t="n">
        <v>9</v>
      </c>
      <c r="S498" s="55" t="n">
        <v>34</v>
      </c>
      <c r="T498" s="55"/>
      <c r="U498" s="55" t="s">
        <v>1104</v>
      </c>
      <c r="V498" s="55" t="s">
        <v>2778</v>
      </c>
      <c r="W498" s="55" t="s">
        <v>2770</v>
      </c>
      <c r="X498" s="4"/>
      <c r="Y498" s="4"/>
      <c r="Z498" s="4"/>
    </row>
    <row r="499" customFormat="false" ht="15.75" hidden="false" customHeight="true" outlineLevel="0" collapsed="false">
      <c r="A499" s="55" t="n">
        <v>2033</v>
      </c>
      <c r="B499" s="55" t="s">
        <v>1043</v>
      </c>
      <c r="C499" s="55" t="s">
        <v>1044</v>
      </c>
      <c r="D499" s="55" t="s">
        <v>2779</v>
      </c>
      <c r="E499" s="55" t="s">
        <v>2780</v>
      </c>
      <c r="F499" s="55" t="s">
        <v>1195</v>
      </c>
      <c r="G499" s="55" t="s">
        <v>1195</v>
      </c>
      <c r="H499" s="55" t="s">
        <v>1448</v>
      </c>
      <c r="I499" s="55" t="s">
        <v>1038</v>
      </c>
      <c r="J499" s="55" t="s">
        <v>2781</v>
      </c>
      <c r="K499" s="55"/>
      <c r="L499" s="55"/>
      <c r="M499" s="55"/>
      <c r="N499" s="55"/>
      <c r="O499" s="55"/>
      <c r="P499" s="55"/>
      <c r="Q499" s="55"/>
      <c r="R499" s="55" t="n">
        <v>8</v>
      </c>
      <c r="S499" s="55" t="n">
        <v>10</v>
      </c>
      <c r="T499" s="55"/>
      <c r="U499" s="55" t="s">
        <v>1044</v>
      </c>
      <c r="V499" s="55" t="s">
        <v>2782</v>
      </c>
      <c r="W499" s="55" t="s">
        <v>2770</v>
      </c>
      <c r="X499" s="4"/>
      <c r="Y499" s="4"/>
      <c r="Z499" s="4"/>
    </row>
    <row r="500" customFormat="false" ht="15.75" hidden="false" customHeight="true" outlineLevel="0" collapsed="false">
      <c r="A500" s="55" t="n">
        <v>1895</v>
      </c>
      <c r="B500" s="55" t="s">
        <v>954</v>
      </c>
      <c r="C500" s="55" t="s">
        <v>955</v>
      </c>
      <c r="D500" s="55" t="s">
        <v>2783</v>
      </c>
      <c r="E500" s="55" t="s">
        <v>2784</v>
      </c>
      <c r="F500" s="55" t="s">
        <v>1195</v>
      </c>
      <c r="G500" s="55" t="s">
        <v>1195</v>
      </c>
      <c r="H500" s="55" t="s">
        <v>1196</v>
      </c>
      <c r="I500" s="55" t="s">
        <v>934</v>
      </c>
      <c r="J500" s="55" t="s">
        <v>2785</v>
      </c>
      <c r="K500" s="55" t="s">
        <v>889</v>
      </c>
      <c r="L500" s="55"/>
      <c r="M500" s="55"/>
      <c r="N500" s="55" t="s">
        <v>732</v>
      </c>
      <c r="O500" s="55"/>
      <c r="P500" s="55" t="s">
        <v>1539</v>
      </c>
      <c r="Q500" s="55"/>
      <c r="R500" s="55" t="n">
        <v>11</v>
      </c>
      <c r="S500" s="55" t="n">
        <v>46</v>
      </c>
      <c r="T500" s="55"/>
      <c r="U500" s="55" t="s">
        <v>955</v>
      </c>
      <c r="V500" s="55" t="s">
        <v>1201</v>
      </c>
      <c r="W500" s="55" t="s">
        <v>2786</v>
      </c>
      <c r="X500" s="4"/>
      <c r="Y500" s="4"/>
      <c r="Z500" s="4"/>
    </row>
    <row r="501" customFormat="false" ht="15.75" hidden="false" customHeight="true" outlineLevel="0" collapsed="false">
      <c r="A501" s="55" t="n">
        <v>1798</v>
      </c>
      <c r="B501" s="55" t="s">
        <v>765</v>
      </c>
      <c r="C501" s="55" t="s">
        <v>766</v>
      </c>
      <c r="D501" s="55" t="s">
        <v>2787</v>
      </c>
      <c r="E501" s="55" t="s">
        <v>2788</v>
      </c>
      <c r="F501" s="55" t="s">
        <v>1195</v>
      </c>
      <c r="G501" s="55" t="s">
        <v>1195</v>
      </c>
      <c r="H501" s="55" t="s">
        <v>1196</v>
      </c>
      <c r="I501" s="55" t="s">
        <v>738</v>
      </c>
      <c r="J501" s="55" t="s">
        <v>2789</v>
      </c>
      <c r="K501" s="55" t="s">
        <v>739</v>
      </c>
      <c r="L501" s="55"/>
      <c r="M501" s="55"/>
      <c r="N501" s="55" t="s">
        <v>732</v>
      </c>
      <c r="O501" s="55"/>
      <c r="P501" s="55" t="s">
        <v>1539</v>
      </c>
      <c r="Q501" s="55"/>
      <c r="R501" s="55" t="n">
        <v>9</v>
      </c>
      <c r="S501" s="55" t="n">
        <v>102</v>
      </c>
      <c r="T501" s="55"/>
      <c r="U501" s="55" t="s">
        <v>2790</v>
      </c>
      <c r="V501" s="55" t="s">
        <v>2791</v>
      </c>
      <c r="W501" s="55" t="s">
        <v>2786</v>
      </c>
      <c r="X501" s="4"/>
      <c r="Y501" s="4"/>
      <c r="Z501" s="4"/>
    </row>
    <row r="502" customFormat="false" ht="15.75" hidden="false" customHeight="true" outlineLevel="0" collapsed="false">
      <c r="A502" s="55" t="n">
        <v>1800</v>
      </c>
      <c r="B502" s="55" t="s">
        <v>769</v>
      </c>
      <c r="C502" s="55" t="s">
        <v>770</v>
      </c>
      <c r="D502" s="55" t="s">
        <v>2792</v>
      </c>
      <c r="E502" s="55" t="s">
        <v>2793</v>
      </c>
      <c r="F502" s="55" t="s">
        <v>1195</v>
      </c>
      <c r="G502" s="55" t="s">
        <v>1195</v>
      </c>
      <c r="H502" s="55" t="s">
        <v>1196</v>
      </c>
      <c r="I502" s="55" t="s">
        <v>738</v>
      </c>
      <c r="J502" s="55" t="s">
        <v>2794</v>
      </c>
      <c r="K502" s="55" t="s">
        <v>739</v>
      </c>
      <c r="L502" s="55"/>
      <c r="M502" s="55"/>
      <c r="N502" s="55" t="s">
        <v>732</v>
      </c>
      <c r="O502" s="55"/>
      <c r="P502" s="55" t="s">
        <v>1539</v>
      </c>
      <c r="Q502" s="55"/>
      <c r="R502" s="55" t="n">
        <v>10</v>
      </c>
      <c r="S502" s="55" t="n">
        <v>67</v>
      </c>
      <c r="T502" s="55"/>
      <c r="U502" s="55" t="s">
        <v>2795</v>
      </c>
      <c r="V502" s="55" t="s">
        <v>2796</v>
      </c>
      <c r="W502" s="55" t="s">
        <v>2786</v>
      </c>
      <c r="X502" s="4"/>
      <c r="Y502" s="4"/>
      <c r="Z502" s="4"/>
    </row>
    <row r="503" customFormat="false" ht="15.75" hidden="false" customHeight="true" outlineLevel="0" collapsed="false">
      <c r="A503" s="55" t="n">
        <v>1799</v>
      </c>
      <c r="B503" s="55" t="s">
        <v>763</v>
      </c>
      <c r="C503" s="55" t="s">
        <v>764</v>
      </c>
      <c r="D503" s="55" t="s">
        <v>2797</v>
      </c>
      <c r="E503" s="55" t="s">
        <v>2798</v>
      </c>
      <c r="F503" s="55" t="s">
        <v>1195</v>
      </c>
      <c r="G503" s="55" t="s">
        <v>1195</v>
      </c>
      <c r="H503" s="55" t="s">
        <v>1196</v>
      </c>
      <c r="I503" s="55" t="s">
        <v>738</v>
      </c>
      <c r="J503" s="55" t="s">
        <v>2799</v>
      </c>
      <c r="K503" s="55" t="s">
        <v>739</v>
      </c>
      <c r="L503" s="55"/>
      <c r="M503" s="55"/>
      <c r="N503" s="55" t="s">
        <v>732</v>
      </c>
      <c r="O503" s="55"/>
      <c r="P503" s="55" t="s">
        <v>1539</v>
      </c>
      <c r="Q503" s="55"/>
      <c r="R503" s="55" t="n">
        <v>26</v>
      </c>
      <c r="S503" s="55" t="n">
        <v>147</v>
      </c>
      <c r="T503" s="55"/>
      <c r="U503" s="55" t="s">
        <v>2800</v>
      </c>
      <c r="V503" s="55" t="s">
        <v>2801</v>
      </c>
      <c r="W503" s="55" t="s">
        <v>2786</v>
      </c>
      <c r="X503" s="4"/>
      <c r="Y503" s="4"/>
      <c r="Z503" s="4"/>
    </row>
    <row r="504" customFormat="false" ht="15.75" hidden="false" customHeight="true" outlineLevel="0" collapsed="false">
      <c r="A504" s="55" t="n">
        <v>1547</v>
      </c>
      <c r="B504" s="55" t="s">
        <v>166</v>
      </c>
      <c r="C504" s="55" t="s">
        <v>167</v>
      </c>
      <c r="D504" s="55" t="s">
        <v>2802</v>
      </c>
      <c r="E504" s="55" t="s">
        <v>2803</v>
      </c>
      <c r="F504" s="55" t="s">
        <v>1195</v>
      </c>
      <c r="G504" s="55" t="s">
        <v>1195</v>
      </c>
      <c r="H504" s="55" t="s">
        <v>1248</v>
      </c>
      <c r="I504" s="55" t="s">
        <v>168</v>
      </c>
      <c r="J504" s="55" t="s">
        <v>2804</v>
      </c>
      <c r="K504" s="55" t="s">
        <v>169</v>
      </c>
      <c r="L504" s="55" t="n">
        <v>0.75</v>
      </c>
      <c r="M504" s="55" t="n">
        <v>1.5</v>
      </c>
      <c r="N504" s="55" t="s">
        <v>141</v>
      </c>
      <c r="O504" s="55"/>
      <c r="P504" s="55"/>
      <c r="Q504" s="55"/>
      <c r="R504" s="55" t="n">
        <v>52</v>
      </c>
      <c r="S504" s="55" t="n">
        <v>428</v>
      </c>
      <c r="T504" s="55"/>
      <c r="U504" s="55" t="s">
        <v>2805</v>
      </c>
      <c r="V504" s="55" t="s">
        <v>2806</v>
      </c>
      <c r="W504" s="55" t="s">
        <v>2786</v>
      </c>
      <c r="X504" s="4"/>
      <c r="Y504" s="4"/>
      <c r="Z504" s="4"/>
    </row>
    <row r="505" customFormat="false" ht="15.75" hidden="false" customHeight="true" outlineLevel="0" collapsed="false">
      <c r="A505" s="55" t="n">
        <v>1806</v>
      </c>
      <c r="B505" s="55" t="s">
        <v>775</v>
      </c>
      <c r="C505" s="55" t="s">
        <v>776</v>
      </c>
      <c r="D505" s="55" t="s">
        <v>2807</v>
      </c>
      <c r="E505" s="55" t="s">
        <v>2808</v>
      </c>
      <c r="F505" s="55" t="s">
        <v>1195</v>
      </c>
      <c r="G505" s="55" t="s">
        <v>1195</v>
      </c>
      <c r="H505" s="55" t="s">
        <v>1196</v>
      </c>
      <c r="I505" s="55" t="s">
        <v>738</v>
      </c>
      <c r="J505" s="55" t="s">
        <v>2809</v>
      </c>
      <c r="K505" s="55" t="s">
        <v>739</v>
      </c>
      <c r="L505" s="55"/>
      <c r="M505" s="55"/>
      <c r="N505" s="55" t="s">
        <v>732</v>
      </c>
      <c r="O505" s="55"/>
      <c r="P505" s="55" t="s">
        <v>1539</v>
      </c>
      <c r="Q505" s="55"/>
      <c r="R505" s="55" t="n">
        <v>9</v>
      </c>
      <c r="S505" s="55" t="n">
        <v>159</v>
      </c>
      <c r="T505" s="55"/>
      <c r="U505" s="55" t="s">
        <v>2810</v>
      </c>
      <c r="V505" s="55" t="s">
        <v>2811</v>
      </c>
      <c r="W505" s="55" t="s">
        <v>2786</v>
      </c>
      <c r="X505" s="4"/>
      <c r="Y505" s="4"/>
      <c r="Z505" s="4"/>
    </row>
    <row r="506" customFormat="false" ht="15.75" hidden="false" customHeight="true" outlineLevel="0" collapsed="false">
      <c r="A506" s="55" t="n">
        <v>1960</v>
      </c>
      <c r="B506" s="55" t="s">
        <v>181</v>
      </c>
      <c r="C506" s="55" t="s">
        <v>182</v>
      </c>
      <c r="D506" s="55" t="s">
        <v>2812</v>
      </c>
      <c r="E506" s="55" t="s">
        <v>2813</v>
      </c>
      <c r="F506" s="55" t="s">
        <v>1195</v>
      </c>
      <c r="G506" s="55" t="s">
        <v>1195</v>
      </c>
      <c r="H506" s="55" t="s">
        <v>1248</v>
      </c>
      <c r="I506" s="55" t="s">
        <v>172</v>
      </c>
      <c r="J506" s="55" t="s">
        <v>2814</v>
      </c>
      <c r="K506" s="55" t="s">
        <v>183</v>
      </c>
      <c r="L506" s="55" t="n">
        <v>0.5</v>
      </c>
      <c r="M506" s="55" t="n">
        <v>3.5</v>
      </c>
      <c r="N506" s="55" t="s">
        <v>184</v>
      </c>
      <c r="O506" s="55"/>
      <c r="P506" s="55"/>
      <c r="Q506" s="55" t="s">
        <v>1262</v>
      </c>
      <c r="R506" s="55" t="n">
        <v>4</v>
      </c>
      <c r="S506" s="55" t="n">
        <v>122</v>
      </c>
      <c r="T506" s="55"/>
      <c r="U506" s="55" t="s">
        <v>182</v>
      </c>
      <c r="V506" s="55" t="s">
        <v>2815</v>
      </c>
      <c r="W506" s="55" t="s">
        <v>2786</v>
      </c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W50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5" min="4" style="0" width="4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52"/>
    <col collapsed="false" customWidth="true" hidden="false" outlineLevel="0" max="11" min="11" style="0" width="2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26"/>
    <col collapsed="false" customWidth="true" hidden="false" outlineLevel="0" max="16" min="16" style="0" width="24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0" min="20" style="0" width="9"/>
    <col collapsed="false" customWidth="true" hidden="false" outlineLevel="0" max="21" min="21" style="0" width="46"/>
    <col collapsed="false" customWidth="true" hidden="false" outlineLevel="0" max="22" min="22" style="0" width="18"/>
    <col collapsed="false" customWidth="true" hidden="false" outlineLevel="0" max="23" min="23" style="0" width="52"/>
  </cols>
  <sheetData>
    <row r="1" customFormat="false" ht="30" hidden="false" customHeight="true" outlineLevel="0" collapsed="false">
      <c r="A1" s="54" t="s">
        <v>1169</v>
      </c>
      <c r="B1" s="54" t="s">
        <v>1170</v>
      </c>
      <c r="C1" s="54" t="s">
        <v>1171</v>
      </c>
      <c r="D1" s="54" t="s">
        <v>1172</v>
      </c>
      <c r="E1" s="54" t="s">
        <v>1173</v>
      </c>
      <c r="F1" s="54" t="s">
        <v>1174</v>
      </c>
      <c r="G1" s="54" t="s">
        <v>1175</v>
      </c>
      <c r="H1" s="54" t="s">
        <v>1176</v>
      </c>
      <c r="I1" s="54" t="s">
        <v>1177</v>
      </c>
      <c r="J1" s="54" t="s">
        <v>1178</v>
      </c>
      <c r="K1" s="54" t="s">
        <v>1179</v>
      </c>
      <c r="L1" s="54" t="s">
        <v>1180</v>
      </c>
      <c r="M1" s="54" t="s">
        <v>1181</v>
      </c>
      <c r="N1" s="54" t="s">
        <v>1182</v>
      </c>
      <c r="O1" s="56" t="s">
        <v>1183</v>
      </c>
      <c r="P1" s="54" t="s">
        <v>1184</v>
      </c>
      <c r="Q1" s="54" t="s">
        <v>1185</v>
      </c>
      <c r="R1" s="54" t="s">
        <v>1186</v>
      </c>
      <c r="S1" s="54" t="s">
        <v>1187</v>
      </c>
      <c r="T1" s="54" t="s">
        <v>1188</v>
      </c>
      <c r="U1" s="54" t="s">
        <v>1189</v>
      </c>
      <c r="V1" s="54" t="s">
        <v>1190</v>
      </c>
      <c r="W1" s="54" t="s">
        <v>1191</v>
      </c>
      <c r="X1" s="4"/>
      <c r="Y1" s="4"/>
      <c r="Z1" s="4"/>
    </row>
    <row r="2" customFormat="false" ht="15" hidden="false" customHeight="false" outlineLevel="0" collapsed="false">
      <c r="A2" s="55" t="n">
        <v>1487</v>
      </c>
      <c r="B2" s="55" t="s">
        <v>1165</v>
      </c>
      <c r="C2" s="55" t="s">
        <v>1168</v>
      </c>
      <c r="D2" s="55" t="s">
        <v>2022</v>
      </c>
      <c r="E2" s="55"/>
      <c r="F2" s="55" t="s">
        <v>1194</v>
      </c>
      <c r="G2" s="55" t="s">
        <v>1194</v>
      </c>
      <c r="H2" s="55" t="s">
        <v>2023</v>
      </c>
      <c r="I2" s="55"/>
      <c r="J2" s="55" t="s">
        <v>2024</v>
      </c>
      <c r="K2" s="55" t="s">
        <v>1167</v>
      </c>
      <c r="L2" s="55" t="n">
        <v>0.75</v>
      </c>
      <c r="M2" s="55" t="n">
        <v>3</v>
      </c>
      <c r="N2" s="55" t="s">
        <v>141</v>
      </c>
      <c r="O2" s="57"/>
      <c r="P2" s="55"/>
      <c r="Q2" s="55"/>
      <c r="R2" s="55" t="n">
        <v>0</v>
      </c>
      <c r="S2" s="55" t="n">
        <v>0</v>
      </c>
      <c r="T2" s="55"/>
      <c r="U2" s="55"/>
      <c r="V2" s="55"/>
      <c r="W2" s="58" t="s">
        <v>2025</v>
      </c>
      <c r="X2" s="4"/>
      <c r="Y2" s="4"/>
      <c r="Z2" s="4"/>
    </row>
    <row r="3" customFormat="false" ht="15" hidden="false" customHeight="false" outlineLevel="0" collapsed="false">
      <c r="A3" s="55" t="n">
        <v>1523</v>
      </c>
      <c r="B3" s="55" t="s">
        <v>137</v>
      </c>
      <c r="C3" s="55" t="s">
        <v>138</v>
      </c>
      <c r="D3" s="55" t="s">
        <v>1757</v>
      </c>
      <c r="E3" s="55" t="s">
        <v>1757</v>
      </c>
      <c r="F3" s="55" t="s">
        <v>1194</v>
      </c>
      <c r="G3" s="55" t="s">
        <v>1195</v>
      </c>
      <c r="H3" s="55" t="s">
        <v>1248</v>
      </c>
      <c r="I3" s="55" t="s">
        <v>139</v>
      </c>
      <c r="J3" s="55" t="s">
        <v>1758</v>
      </c>
      <c r="K3" s="55" t="s">
        <v>140</v>
      </c>
      <c r="L3" s="55" t="n">
        <v>1.75</v>
      </c>
      <c r="M3" s="55" t="n">
        <v>4.75</v>
      </c>
      <c r="N3" s="55" t="s">
        <v>141</v>
      </c>
      <c r="O3" s="57"/>
      <c r="P3" s="55"/>
      <c r="Q3" s="55"/>
      <c r="R3" s="55" t="n">
        <v>100</v>
      </c>
      <c r="S3" s="55" t="n">
        <v>643</v>
      </c>
      <c r="T3" s="55"/>
      <c r="U3" s="55" t="s">
        <v>1759</v>
      </c>
      <c r="V3" s="55" t="s">
        <v>1760</v>
      </c>
      <c r="W3" s="55" t="s">
        <v>1500</v>
      </c>
      <c r="X3" s="4"/>
      <c r="Y3" s="4"/>
      <c r="Z3" s="4"/>
    </row>
    <row r="4" customFormat="false" ht="15" hidden="false" customHeight="false" outlineLevel="0" collapsed="false">
      <c r="A4" s="55" t="n">
        <v>1525</v>
      </c>
      <c r="B4" s="55" t="s">
        <v>156</v>
      </c>
      <c r="C4" s="55" t="s">
        <v>157</v>
      </c>
      <c r="D4" s="55" t="s">
        <v>1736</v>
      </c>
      <c r="E4" s="55" t="s">
        <v>1736</v>
      </c>
      <c r="F4" s="55" t="s">
        <v>1194</v>
      </c>
      <c r="G4" s="55" t="s">
        <v>1195</v>
      </c>
      <c r="H4" s="55" t="s">
        <v>1248</v>
      </c>
      <c r="I4" s="55" t="s">
        <v>145</v>
      </c>
      <c r="J4" s="55" t="s">
        <v>1737</v>
      </c>
      <c r="K4" s="55" t="s">
        <v>158</v>
      </c>
      <c r="L4" s="55" t="n">
        <v>0.8125</v>
      </c>
      <c r="M4" s="55" t="n">
        <v>1.375</v>
      </c>
      <c r="N4" s="55" t="s">
        <v>141</v>
      </c>
      <c r="O4" s="57"/>
      <c r="P4" s="55"/>
      <c r="Q4" s="55"/>
      <c r="R4" s="55" t="n">
        <v>32</v>
      </c>
      <c r="S4" s="55" t="n">
        <v>280</v>
      </c>
      <c r="T4" s="55"/>
      <c r="U4" s="55" t="s">
        <v>1738</v>
      </c>
      <c r="V4" s="55" t="s">
        <v>1739</v>
      </c>
      <c r="W4" s="55" t="s">
        <v>1500</v>
      </c>
      <c r="X4" s="4"/>
      <c r="Y4" s="4"/>
      <c r="Z4" s="4"/>
    </row>
    <row r="5" customFormat="false" ht="15" hidden="false" customHeight="false" outlineLevel="0" collapsed="false">
      <c r="A5" s="55" t="n">
        <v>1526</v>
      </c>
      <c r="B5" s="55" t="s">
        <v>159</v>
      </c>
      <c r="C5" s="55" t="s">
        <v>160</v>
      </c>
      <c r="D5" s="55" t="s">
        <v>1818</v>
      </c>
      <c r="E5" s="55" t="s">
        <v>1818</v>
      </c>
      <c r="F5" s="55" t="s">
        <v>1194</v>
      </c>
      <c r="G5" s="55" t="s">
        <v>1195</v>
      </c>
      <c r="H5" s="55" t="s">
        <v>1248</v>
      </c>
      <c r="I5" s="55" t="s">
        <v>145</v>
      </c>
      <c r="J5" s="55" t="s">
        <v>1819</v>
      </c>
      <c r="K5" s="55" t="s">
        <v>161</v>
      </c>
      <c r="L5" s="55" t="n">
        <v>1.3125</v>
      </c>
      <c r="M5" s="55" t="n">
        <v>1.3125</v>
      </c>
      <c r="N5" s="55" t="s">
        <v>162</v>
      </c>
      <c r="O5" s="57"/>
      <c r="P5" s="55"/>
      <c r="Q5" s="55"/>
      <c r="R5" s="55" t="n">
        <v>31</v>
      </c>
      <c r="S5" s="55" t="n">
        <v>413</v>
      </c>
      <c r="T5" s="55"/>
      <c r="U5" s="55" t="s">
        <v>1820</v>
      </c>
      <c r="V5" s="55" t="s">
        <v>1821</v>
      </c>
      <c r="W5" s="55" t="s">
        <v>1500</v>
      </c>
      <c r="X5" s="4"/>
      <c r="Y5" s="4"/>
      <c r="Z5" s="4"/>
    </row>
    <row r="6" customFormat="false" ht="15" hidden="false" customHeight="false" outlineLevel="0" collapsed="false">
      <c r="A6" s="55" t="n">
        <v>1527</v>
      </c>
      <c r="B6" s="55" t="s">
        <v>143</v>
      </c>
      <c r="C6" s="55" t="s">
        <v>144</v>
      </c>
      <c r="D6" s="55" t="s">
        <v>1983</v>
      </c>
      <c r="E6" s="55" t="s">
        <v>1983</v>
      </c>
      <c r="F6" s="55" t="s">
        <v>1194</v>
      </c>
      <c r="G6" s="55" t="s">
        <v>1195</v>
      </c>
      <c r="H6" s="55" t="s">
        <v>1248</v>
      </c>
      <c r="I6" s="55" t="s">
        <v>145</v>
      </c>
      <c r="J6" s="55" t="s">
        <v>1984</v>
      </c>
      <c r="K6" s="55" t="s">
        <v>146</v>
      </c>
      <c r="L6" s="55" t="n">
        <v>0.75</v>
      </c>
      <c r="M6" s="55" t="n">
        <v>1.25</v>
      </c>
      <c r="N6" s="55" t="s">
        <v>141</v>
      </c>
      <c r="O6" s="57"/>
      <c r="P6" s="55"/>
      <c r="Q6" s="55"/>
      <c r="R6" s="55" t="n">
        <v>31</v>
      </c>
      <c r="S6" s="55" t="n">
        <v>344</v>
      </c>
      <c r="T6" s="55"/>
      <c r="U6" s="55" t="s">
        <v>1985</v>
      </c>
      <c r="V6" s="55" t="s">
        <v>1986</v>
      </c>
      <c r="W6" s="55" t="s">
        <v>1500</v>
      </c>
      <c r="X6" s="4"/>
      <c r="Y6" s="4"/>
      <c r="Z6" s="4"/>
    </row>
    <row r="7" customFormat="false" ht="15" hidden="false" customHeight="false" outlineLevel="0" collapsed="false">
      <c r="A7" s="55" t="n">
        <v>1528</v>
      </c>
      <c r="B7" s="55" t="s">
        <v>147</v>
      </c>
      <c r="C7" s="55" t="s">
        <v>148</v>
      </c>
      <c r="D7" s="55" t="s">
        <v>1848</v>
      </c>
      <c r="E7" s="55" t="s">
        <v>1848</v>
      </c>
      <c r="F7" s="55" t="s">
        <v>1194</v>
      </c>
      <c r="G7" s="55" t="s">
        <v>1195</v>
      </c>
      <c r="H7" s="55" t="s">
        <v>1248</v>
      </c>
      <c r="I7" s="55" t="s">
        <v>145</v>
      </c>
      <c r="J7" s="55" t="s">
        <v>1849</v>
      </c>
      <c r="K7" s="55" t="s">
        <v>149</v>
      </c>
      <c r="L7" s="55" t="n">
        <v>0.8125</v>
      </c>
      <c r="M7" s="55" t="n">
        <v>1.5625</v>
      </c>
      <c r="N7" s="55" t="s">
        <v>141</v>
      </c>
      <c r="O7" s="57"/>
      <c r="P7" s="55"/>
      <c r="Q7" s="55"/>
      <c r="R7" s="55" t="n">
        <v>33</v>
      </c>
      <c r="S7" s="55" t="n">
        <v>351</v>
      </c>
      <c r="T7" s="55"/>
      <c r="U7" s="55" t="s">
        <v>1850</v>
      </c>
      <c r="V7" s="55" t="s">
        <v>1851</v>
      </c>
      <c r="W7" s="55" t="s">
        <v>1500</v>
      </c>
      <c r="X7" s="4"/>
      <c r="Y7" s="4"/>
      <c r="Z7" s="4"/>
    </row>
    <row r="8" customFormat="false" ht="15" hidden="false" customHeight="false" outlineLevel="0" collapsed="false">
      <c r="A8" s="55" t="n">
        <v>1529</v>
      </c>
      <c r="B8" s="55" t="s">
        <v>150</v>
      </c>
      <c r="C8" s="55" t="s">
        <v>151</v>
      </c>
      <c r="D8" s="55" t="s">
        <v>1772</v>
      </c>
      <c r="E8" s="55" t="s">
        <v>1772</v>
      </c>
      <c r="F8" s="55" t="s">
        <v>1194</v>
      </c>
      <c r="G8" s="55" t="s">
        <v>1195</v>
      </c>
      <c r="H8" s="55" t="s">
        <v>1248</v>
      </c>
      <c r="I8" s="55" t="s">
        <v>145</v>
      </c>
      <c r="J8" s="55" t="s">
        <v>1773</v>
      </c>
      <c r="K8" s="55" t="s">
        <v>146</v>
      </c>
      <c r="L8" s="55" t="n">
        <v>0.75</v>
      </c>
      <c r="M8" s="55" t="n">
        <v>1.25</v>
      </c>
      <c r="N8" s="55" t="s">
        <v>141</v>
      </c>
      <c r="O8" s="57"/>
      <c r="P8" s="55"/>
      <c r="Q8" s="55"/>
      <c r="R8" s="55" t="n">
        <v>119</v>
      </c>
      <c r="S8" s="55" t="n">
        <v>403</v>
      </c>
      <c r="T8" s="55"/>
      <c r="U8" s="55" t="s">
        <v>1774</v>
      </c>
      <c r="V8" s="55" t="s">
        <v>1775</v>
      </c>
      <c r="W8" s="55" t="s">
        <v>1500</v>
      </c>
      <c r="X8" s="4"/>
      <c r="Y8" s="4"/>
      <c r="Z8" s="4"/>
    </row>
    <row r="9" customFormat="false" ht="15" hidden="false" customHeight="false" outlineLevel="0" collapsed="false">
      <c r="A9" s="55" t="n">
        <v>1530</v>
      </c>
      <c r="B9" s="55" t="s">
        <v>153</v>
      </c>
      <c r="C9" s="55" t="s">
        <v>154</v>
      </c>
      <c r="D9" s="55" t="s">
        <v>1776</v>
      </c>
      <c r="E9" s="55" t="s">
        <v>1776</v>
      </c>
      <c r="F9" s="55" t="s">
        <v>1194</v>
      </c>
      <c r="G9" s="55" t="s">
        <v>1195</v>
      </c>
      <c r="H9" s="55" t="s">
        <v>1248</v>
      </c>
      <c r="I9" s="55" t="s">
        <v>145</v>
      </c>
      <c r="J9" s="55" t="s">
        <v>1777</v>
      </c>
      <c r="K9" s="55" t="s">
        <v>155</v>
      </c>
      <c r="L9" s="55" t="n">
        <v>1.625</v>
      </c>
      <c r="M9" s="55" t="n">
        <v>1.625</v>
      </c>
      <c r="N9" s="55" t="s">
        <v>141</v>
      </c>
      <c r="O9" s="57"/>
      <c r="P9" s="55"/>
      <c r="Q9" s="55"/>
      <c r="R9" s="55" t="n">
        <v>88</v>
      </c>
      <c r="S9" s="55" t="n">
        <v>215</v>
      </c>
      <c r="T9" s="55"/>
      <c r="U9" s="55" t="s">
        <v>1778</v>
      </c>
      <c r="V9" s="55" t="s">
        <v>1779</v>
      </c>
      <c r="W9" s="55" t="s">
        <v>1500</v>
      </c>
      <c r="X9" s="4"/>
      <c r="Y9" s="4"/>
      <c r="Z9" s="4"/>
    </row>
    <row r="10" customFormat="false" ht="15" hidden="false" customHeight="false" outlineLevel="0" collapsed="false">
      <c r="A10" s="55" t="n">
        <v>1531</v>
      </c>
      <c r="B10" s="55" t="s">
        <v>503</v>
      </c>
      <c r="C10" s="55" t="s">
        <v>504</v>
      </c>
      <c r="D10" s="55" t="s">
        <v>1780</v>
      </c>
      <c r="E10" s="55" t="s">
        <v>1780</v>
      </c>
      <c r="F10" s="55" t="s">
        <v>1194</v>
      </c>
      <c r="G10" s="55" t="s">
        <v>1195</v>
      </c>
      <c r="H10" s="55" t="s">
        <v>1248</v>
      </c>
      <c r="I10" s="55" t="s">
        <v>505</v>
      </c>
      <c r="J10" s="55" t="s">
        <v>1781</v>
      </c>
      <c r="K10" s="55" t="s">
        <v>506</v>
      </c>
      <c r="L10" s="55" t="n">
        <v>0.5</v>
      </c>
      <c r="M10" s="55" t="n">
        <v>2</v>
      </c>
      <c r="N10" s="55" t="s">
        <v>141</v>
      </c>
      <c r="O10" s="57"/>
      <c r="P10" s="55"/>
      <c r="Q10" s="55"/>
      <c r="R10" s="55" t="n">
        <v>31</v>
      </c>
      <c r="S10" s="55" t="n">
        <v>109</v>
      </c>
      <c r="T10" s="55"/>
      <c r="U10" s="55" t="s">
        <v>504</v>
      </c>
      <c r="V10" s="55" t="s">
        <v>1503</v>
      </c>
      <c r="W10" s="55" t="s">
        <v>1500</v>
      </c>
      <c r="X10" s="4"/>
      <c r="Y10" s="4"/>
      <c r="Z10" s="4"/>
    </row>
    <row r="11" customFormat="false" ht="15" hidden="false" customHeight="false" outlineLevel="0" collapsed="false">
      <c r="A11" s="55" t="n">
        <v>1532</v>
      </c>
      <c r="B11" s="55" t="s">
        <v>418</v>
      </c>
      <c r="C11" s="55" t="s">
        <v>419</v>
      </c>
      <c r="D11" s="55" t="s">
        <v>2501</v>
      </c>
      <c r="E11" s="55"/>
      <c r="F11" s="55" t="s">
        <v>1194</v>
      </c>
      <c r="G11" s="55" t="s">
        <v>1194</v>
      </c>
      <c r="H11" s="55" t="s">
        <v>1248</v>
      </c>
      <c r="I11" s="55" t="s">
        <v>420</v>
      </c>
      <c r="J11" s="55" t="s">
        <v>2502</v>
      </c>
      <c r="K11" s="55" t="s">
        <v>421</v>
      </c>
      <c r="L11" s="55" t="n">
        <v>0.5</v>
      </c>
      <c r="M11" s="55" t="n">
        <v>2.5</v>
      </c>
      <c r="N11" s="55" t="s">
        <v>141</v>
      </c>
      <c r="O11" s="57"/>
      <c r="P11" s="55"/>
      <c r="Q11" s="55"/>
      <c r="R11" s="55" t="n">
        <v>5</v>
      </c>
      <c r="S11" s="55" t="n">
        <v>173</v>
      </c>
      <c r="T11" s="55"/>
      <c r="U11" s="55"/>
      <c r="V11" s="55"/>
      <c r="W11" s="58" t="s">
        <v>2454</v>
      </c>
      <c r="X11" s="4"/>
      <c r="Y11" s="4"/>
      <c r="Z11" s="4"/>
    </row>
    <row r="12" customFormat="false" ht="15" hidden="false" customHeight="false" outlineLevel="0" collapsed="false">
      <c r="A12" s="55" t="n">
        <v>1533</v>
      </c>
      <c r="B12" s="55" t="s">
        <v>422</v>
      </c>
      <c r="C12" s="55" t="s">
        <v>423</v>
      </c>
      <c r="D12" s="55" t="s">
        <v>2503</v>
      </c>
      <c r="E12" s="55"/>
      <c r="F12" s="55" t="s">
        <v>1194</v>
      </c>
      <c r="G12" s="55" t="s">
        <v>1194</v>
      </c>
      <c r="H12" s="55" t="s">
        <v>1248</v>
      </c>
      <c r="I12" s="55" t="s">
        <v>420</v>
      </c>
      <c r="J12" s="55" t="s">
        <v>2504</v>
      </c>
      <c r="K12" s="55" t="s">
        <v>424</v>
      </c>
      <c r="L12" s="55" t="n">
        <v>0.5</v>
      </c>
      <c r="M12" s="55" t="n">
        <v>4</v>
      </c>
      <c r="N12" s="55" t="s">
        <v>141</v>
      </c>
      <c r="O12" s="57"/>
      <c r="P12" s="55"/>
      <c r="Q12" s="55"/>
      <c r="R12" s="55" t="n">
        <v>5</v>
      </c>
      <c r="S12" s="55" t="n">
        <v>83</v>
      </c>
      <c r="T12" s="55"/>
      <c r="U12" s="55"/>
      <c r="V12" s="55"/>
      <c r="W12" s="58" t="s">
        <v>2454</v>
      </c>
      <c r="X12" s="4"/>
      <c r="Y12" s="4"/>
      <c r="Z12" s="4"/>
    </row>
    <row r="13" customFormat="false" ht="15" hidden="false" customHeight="false" outlineLevel="0" collapsed="false">
      <c r="A13" s="55" t="n">
        <v>1534</v>
      </c>
      <c r="B13" s="55" t="s">
        <v>2816</v>
      </c>
      <c r="C13" s="55" t="s">
        <v>2817</v>
      </c>
      <c r="D13" s="55" t="s">
        <v>2818</v>
      </c>
      <c r="E13" s="55" t="s">
        <v>2818</v>
      </c>
      <c r="F13" s="55" t="s">
        <v>1194</v>
      </c>
      <c r="G13" s="55" t="s">
        <v>1195</v>
      </c>
      <c r="H13" s="55" t="s">
        <v>1248</v>
      </c>
      <c r="I13" s="55" t="s">
        <v>145</v>
      </c>
      <c r="J13" s="55" t="s">
        <v>2819</v>
      </c>
      <c r="K13" s="55" t="s">
        <v>2820</v>
      </c>
      <c r="L13" s="55" t="n">
        <v>0.625</v>
      </c>
      <c r="M13" s="55" t="n">
        <v>1.3125</v>
      </c>
      <c r="N13" s="55" t="s">
        <v>2821</v>
      </c>
      <c r="O13" s="55" t="s">
        <v>1298</v>
      </c>
      <c r="P13" s="55"/>
      <c r="Q13" s="55" t="s">
        <v>2822</v>
      </c>
      <c r="R13" s="55" t="n">
        <v>78</v>
      </c>
      <c r="S13" s="55" t="n">
        <v>198</v>
      </c>
      <c r="T13" s="55"/>
      <c r="U13" s="55" t="s">
        <v>2823</v>
      </c>
      <c r="V13" s="55" t="s">
        <v>2824</v>
      </c>
      <c r="W13" s="55"/>
      <c r="X13" s="4"/>
      <c r="Y13" s="4"/>
      <c r="Z13" s="4"/>
    </row>
    <row r="14" customFormat="false" ht="15" hidden="false" customHeight="false" outlineLevel="0" collapsed="false">
      <c r="A14" s="55" t="n">
        <v>1535</v>
      </c>
      <c r="B14" s="55" t="s">
        <v>597</v>
      </c>
      <c r="C14" s="55" t="s">
        <v>598</v>
      </c>
      <c r="D14" s="55" t="s">
        <v>2499</v>
      </c>
      <c r="E14" s="55"/>
      <c r="F14" s="55" t="s">
        <v>1194</v>
      </c>
      <c r="G14" s="55" t="s">
        <v>1194</v>
      </c>
      <c r="H14" s="55" t="s">
        <v>1248</v>
      </c>
      <c r="I14" s="55" t="s">
        <v>599</v>
      </c>
      <c r="J14" s="55" t="s">
        <v>2500</v>
      </c>
      <c r="K14" s="55" t="s">
        <v>600</v>
      </c>
      <c r="L14" s="55" t="n">
        <v>1.25</v>
      </c>
      <c r="M14" s="55" t="n">
        <v>3.625</v>
      </c>
      <c r="N14" s="55" t="s">
        <v>141</v>
      </c>
      <c r="O14" s="57"/>
      <c r="P14" s="55"/>
      <c r="Q14" s="55"/>
      <c r="R14" s="55" t="n">
        <v>13</v>
      </c>
      <c r="S14" s="55" t="n">
        <v>247</v>
      </c>
      <c r="T14" s="55"/>
      <c r="U14" s="55"/>
      <c r="V14" s="55"/>
      <c r="W14" s="58" t="s">
        <v>2454</v>
      </c>
      <c r="X14" s="4"/>
      <c r="Y14" s="4"/>
      <c r="Z14" s="4"/>
    </row>
    <row r="15" customFormat="false" ht="15" hidden="false" customHeight="false" outlineLevel="0" collapsed="false">
      <c r="A15" s="55" t="n">
        <v>1536</v>
      </c>
      <c r="B15" s="55" t="s">
        <v>601</v>
      </c>
      <c r="C15" s="55" t="s">
        <v>602</v>
      </c>
      <c r="D15" s="55" t="s">
        <v>2497</v>
      </c>
      <c r="E15" s="55"/>
      <c r="F15" s="55" t="s">
        <v>1194</v>
      </c>
      <c r="G15" s="55" t="s">
        <v>1194</v>
      </c>
      <c r="H15" s="55" t="s">
        <v>1248</v>
      </c>
      <c r="I15" s="55" t="s">
        <v>599</v>
      </c>
      <c r="J15" s="55" t="s">
        <v>2498</v>
      </c>
      <c r="K15" s="55" t="s">
        <v>603</v>
      </c>
      <c r="L15" s="55" t="n">
        <v>1.75</v>
      </c>
      <c r="M15" s="55" t="n">
        <v>5.25</v>
      </c>
      <c r="N15" s="55" t="s">
        <v>141</v>
      </c>
      <c r="O15" s="57"/>
      <c r="P15" s="55"/>
      <c r="Q15" s="55"/>
      <c r="R15" s="55" t="n">
        <v>13</v>
      </c>
      <c r="S15" s="55" t="n">
        <v>97</v>
      </c>
      <c r="T15" s="55"/>
      <c r="U15" s="55"/>
      <c r="V15" s="55"/>
      <c r="W15" s="58" t="s">
        <v>2454</v>
      </c>
      <c r="X15" s="4"/>
      <c r="Y15" s="4"/>
      <c r="Z15" s="4"/>
    </row>
    <row r="16" customFormat="false" ht="15" hidden="false" customHeight="false" outlineLevel="0" collapsed="false">
      <c r="A16" s="55" t="n">
        <v>1537</v>
      </c>
      <c r="B16" s="55" t="s">
        <v>200</v>
      </c>
      <c r="C16" s="55" t="s">
        <v>201</v>
      </c>
      <c r="D16" s="55" t="s">
        <v>1782</v>
      </c>
      <c r="E16" s="55" t="s">
        <v>1782</v>
      </c>
      <c r="F16" s="55" t="s">
        <v>1194</v>
      </c>
      <c r="G16" s="55" t="s">
        <v>1195</v>
      </c>
      <c r="H16" s="55" t="s">
        <v>1248</v>
      </c>
      <c r="I16" s="55" t="s">
        <v>172</v>
      </c>
      <c r="J16" s="55" t="s">
        <v>1783</v>
      </c>
      <c r="K16" s="55" t="s">
        <v>197</v>
      </c>
      <c r="L16" s="55" t="n">
        <v>0.625</v>
      </c>
      <c r="M16" s="55" t="n">
        <v>5.25</v>
      </c>
      <c r="N16" s="55" t="s">
        <v>141</v>
      </c>
      <c r="O16" s="57"/>
      <c r="P16" s="55"/>
      <c r="Q16" s="55"/>
      <c r="R16" s="55" t="n">
        <v>76</v>
      </c>
      <c r="S16" s="55" t="n">
        <v>594</v>
      </c>
      <c r="T16" s="55"/>
      <c r="U16" s="55" t="s">
        <v>1784</v>
      </c>
      <c r="V16" s="55" t="s">
        <v>1785</v>
      </c>
      <c r="W16" s="55" t="s">
        <v>1500</v>
      </c>
      <c r="X16" s="4"/>
      <c r="Y16" s="4"/>
      <c r="Z16" s="4"/>
    </row>
    <row r="17" customFormat="false" ht="15" hidden="false" customHeight="false" outlineLevel="0" collapsed="false">
      <c r="A17" s="55" t="n">
        <v>1538</v>
      </c>
      <c r="B17" s="55" t="s">
        <v>202</v>
      </c>
      <c r="C17" s="55" t="s">
        <v>203</v>
      </c>
      <c r="D17" s="55" t="s">
        <v>1786</v>
      </c>
      <c r="E17" s="55" t="s">
        <v>1786</v>
      </c>
      <c r="F17" s="55" t="s">
        <v>1194</v>
      </c>
      <c r="G17" s="55" t="s">
        <v>1195</v>
      </c>
      <c r="H17" s="55" t="s">
        <v>1248</v>
      </c>
      <c r="I17" s="55" t="s">
        <v>172</v>
      </c>
      <c r="J17" s="55" t="s">
        <v>1787</v>
      </c>
      <c r="K17" s="55" t="s">
        <v>197</v>
      </c>
      <c r="L17" s="55" t="n">
        <v>0.625</v>
      </c>
      <c r="M17" s="55" t="n">
        <v>5.25</v>
      </c>
      <c r="N17" s="55" t="s">
        <v>141</v>
      </c>
      <c r="O17" s="57"/>
      <c r="P17" s="55"/>
      <c r="Q17" s="55"/>
      <c r="R17" s="55" t="n">
        <v>70</v>
      </c>
      <c r="S17" s="55" t="n">
        <v>116</v>
      </c>
      <c r="T17" s="55"/>
      <c r="U17" s="55" t="s">
        <v>1788</v>
      </c>
      <c r="V17" s="55" t="s">
        <v>1789</v>
      </c>
      <c r="W17" s="55" t="s">
        <v>1500</v>
      </c>
      <c r="X17" s="4"/>
      <c r="Y17" s="4"/>
      <c r="Z17" s="4"/>
    </row>
    <row r="18" customFormat="false" ht="15" hidden="false" customHeight="false" outlineLevel="0" collapsed="false">
      <c r="A18" s="55" t="n">
        <v>1539</v>
      </c>
      <c r="B18" s="55" t="s">
        <v>204</v>
      </c>
      <c r="C18" s="55" t="s">
        <v>205</v>
      </c>
      <c r="D18" s="55" t="s">
        <v>2495</v>
      </c>
      <c r="E18" s="55"/>
      <c r="F18" s="55" t="s">
        <v>1194</v>
      </c>
      <c r="G18" s="55" t="s">
        <v>1194</v>
      </c>
      <c r="H18" s="55" t="s">
        <v>1248</v>
      </c>
      <c r="I18" s="55" t="s">
        <v>172</v>
      </c>
      <c r="J18" s="55" t="s">
        <v>2496</v>
      </c>
      <c r="K18" s="55" t="s">
        <v>197</v>
      </c>
      <c r="L18" s="55" t="n">
        <v>0.625</v>
      </c>
      <c r="M18" s="55" t="n">
        <v>5.25</v>
      </c>
      <c r="N18" s="55" t="s">
        <v>141</v>
      </c>
      <c r="O18" s="57"/>
      <c r="P18" s="55"/>
      <c r="Q18" s="55"/>
      <c r="R18" s="55" t="n">
        <v>71</v>
      </c>
      <c r="S18" s="55" t="n">
        <v>118</v>
      </c>
      <c r="T18" s="55"/>
      <c r="U18" s="55"/>
      <c r="V18" s="55"/>
      <c r="W18" s="58" t="s">
        <v>2454</v>
      </c>
      <c r="X18" s="4"/>
      <c r="Y18" s="4"/>
      <c r="Z18" s="4"/>
    </row>
    <row r="19" customFormat="false" ht="15" hidden="false" customHeight="false" outlineLevel="0" collapsed="false">
      <c r="A19" s="55" t="n">
        <v>1540</v>
      </c>
      <c r="B19" s="55" t="s">
        <v>2825</v>
      </c>
      <c r="C19" s="55" t="s">
        <v>2826</v>
      </c>
      <c r="D19" s="55" t="s">
        <v>2827</v>
      </c>
      <c r="E19" s="55" t="s">
        <v>2827</v>
      </c>
      <c r="F19" s="55" t="s">
        <v>1194</v>
      </c>
      <c r="G19" s="55" t="s">
        <v>1195</v>
      </c>
      <c r="H19" s="55" t="s">
        <v>1248</v>
      </c>
      <c r="I19" s="55" t="s">
        <v>172</v>
      </c>
      <c r="J19" s="55" t="s">
        <v>2828</v>
      </c>
      <c r="K19" s="55" t="s">
        <v>2829</v>
      </c>
      <c r="L19" s="55" t="n">
        <v>0.625</v>
      </c>
      <c r="M19" s="55" t="n">
        <v>5.25</v>
      </c>
      <c r="N19" s="55" t="s">
        <v>665</v>
      </c>
      <c r="O19" s="55" t="s">
        <v>1270</v>
      </c>
      <c r="P19" s="55"/>
      <c r="Q19" s="55"/>
      <c r="R19" s="55" t="n">
        <v>97</v>
      </c>
      <c r="S19" s="55" t="n">
        <v>575</v>
      </c>
      <c r="T19" s="55"/>
      <c r="U19" s="55" t="s">
        <v>2830</v>
      </c>
      <c r="V19" s="55" t="s">
        <v>2831</v>
      </c>
      <c r="W19" s="55"/>
      <c r="X19" s="4"/>
      <c r="Y19" s="4"/>
      <c r="Z19" s="4"/>
    </row>
    <row r="20" customFormat="false" ht="15" hidden="false" customHeight="false" outlineLevel="0" collapsed="false">
      <c r="A20" s="55" t="n">
        <v>1541</v>
      </c>
      <c r="B20" s="55" t="s">
        <v>206</v>
      </c>
      <c r="C20" s="55" t="s">
        <v>207</v>
      </c>
      <c r="D20" s="55" t="s">
        <v>1790</v>
      </c>
      <c r="E20" s="55" t="s">
        <v>1790</v>
      </c>
      <c r="F20" s="55" t="s">
        <v>1194</v>
      </c>
      <c r="G20" s="55" t="s">
        <v>1195</v>
      </c>
      <c r="H20" s="55" t="s">
        <v>1248</v>
      </c>
      <c r="I20" s="55" t="s">
        <v>172</v>
      </c>
      <c r="J20" s="55" t="s">
        <v>1791</v>
      </c>
      <c r="K20" s="55" t="s">
        <v>208</v>
      </c>
      <c r="L20" s="55" t="n">
        <v>0.6875</v>
      </c>
      <c r="M20" s="55" t="n">
        <v>5.25</v>
      </c>
      <c r="N20" s="55" t="s">
        <v>141</v>
      </c>
      <c r="O20" s="57"/>
      <c r="P20" s="55"/>
      <c r="Q20" s="55"/>
      <c r="R20" s="55" t="n">
        <v>108</v>
      </c>
      <c r="S20" s="55" t="n">
        <v>269</v>
      </c>
      <c r="T20" s="55"/>
      <c r="U20" s="55" t="s">
        <v>1792</v>
      </c>
      <c r="V20" s="55" t="s">
        <v>1793</v>
      </c>
      <c r="W20" s="55" t="s">
        <v>1500</v>
      </c>
      <c r="X20" s="4"/>
      <c r="Y20" s="4"/>
      <c r="Z20" s="4"/>
    </row>
    <row r="21" customFormat="false" ht="15.75" hidden="false" customHeight="true" outlineLevel="0" collapsed="false">
      <c r="A21" s="55" t="n">
        <v>1542</v>
      </c>
      <c r="B21" s="55" t="s">
        <v>220</v>
      </c>
      <c r="C21" s="55" t="s">
        <v>221</v>
      </c>
      <c r="D21" s="55" t="s">
        <v>1794</v>
      </c>
      <c r="E21" s="55" t="s">
        <v>1794</v>
      </c>
      <c r="F21" s="55" t="s">
        <v>1194</v>
      </c>
      <c r="G21" s="55" t="s">
        <v>1195</v>
      </c>
      <c r="H21" s="55" t="s">
        <v>1248</v>
      </c>
      <c r="I21" s="55" t="s">
        <v>172</v>
      </c>
      <c r="J21" s="55" t="s">
        <v>1795</v>
      </c>
      <c r="K21" s="55" t="s">
        <v>211</v>
      </c>
      <c r="L21" s="55" t="n">
        <v>0.6875</v>
      </c>
      <c r="M21" s="55" t="n">
        <v>7.25</v>
      </c>
      <c r="N21" s="55" t="s">
        <v>141</v>
      </c>
      <c r="O21" s="57"/>
      <c r="P21" s="55"/>
      <c r="Q21" s="55"/>
      <c r="R21" s="55" t="n">
        <v>71</v>
      </c>
      <c r="S21" s="55" t="n">
        <v>99</v>
      </c>
      <c r="T21" s="55"/>
      <c r="U21" s="55" t="s">
        <v>1796</v>
      </c>
      <c r="V21" s="55" t="s">
        <v>1797</v>
      </c>
      <c r="W21" s="55" t="s">
        <v>1500</v>
      </c>
      <c r="X21" s="4"/>
      <c r="Y21" s="4"/>
      <c r="Z21" s="4"/>
    </row>
    <row r="22" customFormat="false" ht="15.75" hidden="false" customHeight="true" outlineLevel="0" collapsed="false">
      <c r="A22" s="55" t="n">
        <v>1543</v>
      </c>
      <c r="B22" s="55" t="s">
        <v>2832</v>
      </c>
      <c r="C22" s="55" t="s">
        <v>2833</v>
      </c>
      <c r="D22" s="55" t="s">
        <v>2834</v>
      </c>
      <c r="E22" s="55" t="s">
        <v>2834</v>
      </c>
      <c r="F22" s="55" t="s">
        <v>1194</v>
      </c>
      <c r="G22" s="55" t="s">
        <v>1195</v>
      </c>
      <c r="H22" s="55" t="s">
        <v>1248</v>
      </c>
      <c r="I22" s="55" t="s">
        <v>172</v>
      </c>
      <c r="J22" s="55" t="s">
        <v>2835</v>
      </c>
      <c r="K22" s="55" t="s">
        <v>211</v>
      </c>
      <c r="L22" s="55" t="n">
        <v>0.6875</v>
      </c>
      <c r="M22" s="55" t="n">
        <v>7.25</v>
      </c>
      <c r="N22" s="55" t="s">
        <v>665</v>
      </c>
      <c r="O22" s="55" t="s">
        <v>1270</v>
      </c>
      <c r="P22" s="55"/>
      <c r="Q22" s="55"/>
      <c r="R22" s="55" t="n">
        <v>93</v>
      </c>
      <c r="S22" s="55" t="n">
        <v>1492</v>
      </c>
      <c r="T22" s="55"/>
      <c r="U22" s="55" t="s">
        <v>2836</v>
      </c>
      <c r="V22" s="55" t="s">
        <v>2837</v>
      </c>
      <c r="W22" s="55"/>
      <c r="X22" s="4"/>
      <c r="Y22" s="4"/>
      <c r="Z22" s="4"/>
    </row>
    <row r="23" customFormat="false" ht="15.75" hidden="false" customHeight="true" outlineLevel="0" collapsed="false">
      <c r="A23" s="55" t="n">
        <v>1544</v>
      </c>
      <c r="B23" s="55" t="s">
        <v>222</v>
      </c>
      <c r="C23" s="55" t="s">
        <v>223</v>
      </c>
      <c r="D23" s="55" t="s">
        <v>1798</v>
      </c>
      <c r="E23" s="55" t="s">
        <v>1798</v>
      </c>
      <c r="F23" s="55" t="s">
        <v>1194</v>
      </c>
      <c r="G23" s="55" t="s">
        <v>1195</v>
      </c>
      <c r="H23" s="55" t="s">
        <v>1248</v>
      </c>
      <c r="I23" s="55" t="s">
        <v>172</v>
      </c>
      <c r="J23" s="55" t="s">
        <v>1799</v>
      </c>
      <c r="K23" s="55" t="s">
        <v>211</v>
      </c>
      <c r="L23" s="55" t="n">
        <v>0.6875</v>
      </c>
      <c r="M23" s="55" t="n">
        <v>7.25</v>
      </c>
      <c r="N23" s="55" t="s">
        <v>141</v>
      </c>
      <c r="O23" s="57"/>
      <c r="P23" s="55"/>
      <c r="Q23" s="55"/>
      <c r="R23" s="55" t="n">
        <v>84</v>
      </c>
      <c r="S23" s="55" t="n">
        <v>196</v>
      </c>
      <c r="T23" s="55"/>
      <c r="U23" s="55" t="s">
        <v>1800</v>
      </c>
      <c r="V23" s="55" t="s">
        <v>1801</v>
      </c>
      <c r="W23" s="55" t="s">
        <v>1500</v>
      </c>
      <c r="X23" s="4"/>
      <c r="Y23" s="4"/>
      <c r="Z23" s="4"/>
    </row>
    <row r="24" customFormat="false" ht="15.75" hidden="false" customHeight="true" outlineLevel="0" collapsed="false">
      <c r="A24" s="55" t="n">
        <v>1545</v>
      </c>
      <c r="B24" s="55" t="s">
        <v>224</v>
      </c>
      <c r="C24" s="55" t="s">
        <v>225</v>
      </c>
      <c r="D24" s="55" t="s">
        <v>1802</v>
      </c>
      <c r="E24" s="55" t="s">
        <v>1802</v>
      </c>
      <c r="F24" s="55" t="s">
        <v>1194</v>
      </c>
      <c r="G24" s="55" t="s">
        <v>1195</v>
      </c>
      <c r="H24" s="55" t="s">
        <v>1248</v>
      </c>
      <c r="I24" s="55" t="s">
        <v>172</v>
      </c>
      <c r="J24" s="55" t="s">
        <v>1803</v>
      </c>
      <c r="K24" s="55" t="s">
        <v>211</v>
      </c>
      <c r="L24" s="55" t="n">
        <v>0.6875</v>
      </c>
      <c r="M24" s="55" t="n">
        <v>7.25</v>
      </c>
      <c r="N24" s="55" t="s">
        <v>141</v>
      </c>
      <c r="O24" s="57"/>
      <c r="P24" s="55"/>
      <c r="Q24" s="55"/>
      <c r="R24" s="55" t="n">
        <v>72</v>
      </c>
      <c r="S24" s="55" t="n">
        <v>157</v>
      </c>
      <c r="T24" s="55"/>
      <c r="U24" s="55" t="s">
        <v>1804</v>
      </c>
      <c r="V24" s="55" t="s">
        <v>1805</v>
      </c>
      <c r="W24" s="55" t="s">
        <v>1500</v>
      </c>
      <c r="X24" s="4"/>
      <c r="Y24" s="4"/>
      <c r="Z24" s="4"/>
    </row>
    <row r="25" customFormat="false" ht="15.75" hidden="false" customHeight="true" outlineLevel="0" collapsed="false">
      <c r="A25" s="55" t="n">
        <v>1546</v>
      </c>
      <c r="B25" s="55" t="s">
        <v>226</v>
      </c>
      <c r="C25" s="55" t="s">
        <v>227</v>
      </c>
      <c r="D25" s="55" t="s">
        <v>2542</v>
      </c>
      <c r="E25" s="55" t="s">
        <v>2542</v>
      </c>
      <c r="F25" s="55" t="s">
        <v>1194</v>
      </c>
      <c r="G25" s="55" t="s">
        <v>1195</v>
      </c>
      <c r="H25" s="55" t="s">
        <v>1248</v>
      </c>
      <c r="I25" s="55" t="s">
        <v>172</v>
      </c>
      <c r="J25" s="55" t="s">
        <v>2543</v>
      </c>
      <c r="K25" s="55" t="s">
        <v>228</v>
      </c>
      <c r="L25" s="55" t="n">
        <v>0.6471</v>
      </c>
      <c r="M25" s="55" t="n">
        <v>7.25</v>
      </c>
      <c r="N25" s="55" t="s">
        <v>141</v>
      </c>
      <c r="O25" s="57"/>
      <c r="P25" s="55"/>
      <c r="Q25" s="55"/>
      <c r="R25" s="55" t="n">
        <v>78</v>
      </c>
      <c r="S25" s="55" t="n">
        <v>508</v>
      </c>
      <c r="T25" s="55"/>
      <c r="U25" s="55" t="s">
        <v>2544</v>
      </c>
      <c r="V25" s="55" t="s">
        <v>2545</v>
      </c>
      <c r="W25" s="58" t="s">
        <v>2541</v>
      </c>
      <c r="X25" s="4"/>
      <c r="Y25" s="4"/>
      <c r="Z25" s="4"/>
    </row>
    <row r="26" customFormat="false" ht="15.75" hidden="false" customHeight="true" outlineLevel="0" collapsed="false">
      <c r="A26" s="55" t="n">
        <v>1547</v>
      </c>
      <c r="B26" s="55" t="s">
        <v>166</v>
      </c>
      <c r="C26" s="55" t="s">
        <v>167</v>
      </c>
      <c r="D26" s="55" t="s">
        <v>2802</v>
      </c>
      <c r="E26" s="55" t="s">
        <v>2803</v>
      </c>
      <c r="F26" s="55" t="s">
        <v>1195</v>
      </c>
      <c r="G26" s="55" t="s">
        <v>1195</v>
      </c>
      <c r="H26" s="55" t="s">
        <v>1248</v>
      </c>
      <c r="I26" s="55" t="s">
        <v>168</v>
      </c>
      <c r="J26" s="55" t="s">
        <v>2804</v>
      </c>
      <c r="K26" s="55" t="s">
        <v>169</v>
      </c>
      <c r="L26" s="55" t="n">
        <v>0.75</v>
      </c>
      <c r="M26" s="55" t="n">
        <v>1.5</v>
      </c>
      <c r="N26" s="55" t="s">
        <v>141</v>
      </c>
      <c r="O26" s="57"/>
      <c r="P26" s="55"/>
      <c r="Q26" s="55"/>
      <c r="R26" s="55" t="n">
        <v>52</v>
      </c>
      <c r="S26" s="55" t="n">
        <v>428</v>
      </c>
      <c r="T26" s="55"/>
      <c r="U26" s="55" t="s">
        <v>2805</v>
      </c>
      <c r="V26" s="55" t="s">
        <v>2806</v>
      </c>
      <c r="W26" s="55" t="s">
        <v>2786</v>
      </c>
      <c r="X26" s="4"/>
      <c r="Y26" s="4"/>
      <c r="Z26" s="4"/>
    </row>
    <row r="27" customFormat="false" ht="15.75" hidden="false" customHeight="true" outlineLevel="0" collapsed="false">
      <c r="A27" s="55" t="n">
        <v>1549</v>
      </c>
      <c r="B27" s="55" t="s">
        <v>170</v>
      </c>
      <c r="C27" s="55" t="s">
        <v>171</v>
      </c>
      <c r="D27" s="55" t="s">
        <v>1806</v>
      </c>
      <c r="E27" s="55" t="s">
        <v>1806</v>
      </c>
      <c r="F27" s="55" t="s">
        <v>1194</v>
      </c>
      <c r="G27" s="55" t="s">
        <v>1195</v>
      </c>
      <c r="H27" s="55" t="s">
        <v>1248</v>
      </c>
      <c r="I27" s="55" t="s">
        <v>172</v>
      </c>
      <c r="J27" s="55" t="s">
        <v>1807</v>
      </c>
      <c r="K27" s="55" t="s">
        <v>173</v>
      </c>
      <c r="L27" s="55" t="n">
        <v>0.3125</v>
      </c>
      <c r="M27" s="55" t="n">
        <v>3.25</v>
      </c>
      <c r="N27" s="55" t="s">
        <v>141</v>
      </c>
      <c r="O27" s="57"/>
      <c r="P27" s="55"/>
      <c r="Q27" s="55"/>
      <c r="R27" s="55" t="n">
        <v>65</v>
      </c>
      <c r="S27" s="55" t="n">
        <v>442</v>
      </c>
      <c r="T27" s="55"/>
      <c r="U27" s="55" t="s">
        <v>1808</v>
      </c>
      <c r="V27" s="55" t="s">
        <v>1809</v>
      </c>
      <c r="W27" s="55" t="s">
        <v>1500</v>
      </c>
      <c r="X27" s="4"/>
      <c r="Y27" s="4"/>
      <c r="Z27" s="4"/>
    </row>
    <row r="28" customFormat="false" ht="15.75" hidden="false" customHeight="true" outlineLevel="0" collapsed="false">
      <c r="A28" s="55" t="n">
        <v>1550</v>
      </c>
      <c r="B28" s="55" t="s">
        <v>174</v>
      </c>
      <c r="C28" s="55" t="s">
        <v>175</v>
      </c>
      <c r="D28" s="55" t="s">
        <v>2546</v>
      </c>
      <c r="E28" s="55" t="s">
        <v>2546</v>
      </c>
      <c r="F28" s="55" t="s">
        <v>1194</v>
      </c>
      <c r="G28" s="55" t="s">
        <v>1195</v>
      </c>
      <c r="H28" s="55" t="s">
        <v>1248</v>
      </c>
      <c r="I28" s="55" t="s">
        <v>172</v>
      </c>
      <c r="J28" s="55" t="s">
        <v>2547</v>
      </c>
      <c r="K28" s="55" t="s">
        <v>176</v>
      </c>
      <c r="L28" s="55" t="n">
        <v>0.3333</v>
      </c>
      <c r="M28" s="55" t="n">
        <v>3.25</v>
      </c>
      <c r="N28" s="55" t="s">
        <v>141</v>
      </c>
      <c r="O28" s="57"/>
      <c r="P28" s="55"/>
      <c r="Q28" s="55"/>
      <c r="R28" s="55" t="n">
        <v>65</v>
      </c>
      <c r="S28" s="55" t="n">
        <v>76</v>
      </c>
      <c r="T28" s="55"/>
      <c r="U28" s="55" t="s">
        <v>2548</v>
      </c>
      <c r="V28" s="55" t="s">
        <v>2549</v>
      </c>
      <c r="W28" s="58" t="s">
        <v>2541</v>
      </c>
      <c r="X28" s="4"/>
      <c r="Y28" s="4"/>
      <c r="Z28" s="4"/>
    </row>
    <row r="29" customFormat="false" ht="15.75" hidden="false" customHeight="true" outlineLevel="0" collapsed="false">
      <c r="A29" s="55" t="n">
        <v>1551</v>
      </c>
      <c r="B29" s="55" t="s">
        <v>177</v>
      </c>
      <c r="C29" s="55" t="s">
        <v>178</v>
      </c>
      <c r="D29" s="55" t="s">
        <v>2493</v>
      </c>
      <c r="E29" s="55"/>
      <c r="F29" s="55" t="s">
        <v>1194</v>
      </c>
      <c r="G29" s="55" t="s">
        <v>1194</v>
      </c>
      <c r="H29" s="55" t="s">
        <v>1248</v>
      </c>
      <c r="I29" s="55" t="s">
        <v>172</v>
      </c>
      <c r="J29" s="55" t="s">
        <v>2494</v>
      </c>
      <c r="K29" s="55" t="s">
        <v>179</v>
      </c>
      <c r="L29" s="55" t="n">
        <v>0.625</v>
      </c>
      <c r="M29" s="55" t="n">
        <v>3.5</v>
      </c>
      <c r="N29" s="55" t="s">
        <v>141</v>
      </c>
      <c r="O29" s="57"/>
      <c r="P29" s="55"/>
      <c r="Q29" s="55"/>
      <c r="R29" s="55" t="n">
        <v>74</v>
      </c>
      <c r="S29" s="55" t="n">
        <v>104</v>
      </c>
      <c r="T29" s="55"/>
      <c r="U29" s="55"/>
      <c r="V29" s="55"/>
      <c r="W29" s="58" t="s">
        <v>2454</v>
      </c>
      <c r="X29" s="4"/>
      <c r="Y29" s="4"/>
      <c r="Z29" s="4"/>
    </row>
    <row r="30" customFormat="false" ht="15.75" hidden="false" customHeight="true" outlineLevel="0" collapsed="false">
      <c r="A30" s="55" t="n">
        <v>1552</v>
      </c>
      <c r="B30" s="55" t="s">
        <v>185</v>
      </c>
      <c r="C30" s="55" t="s">
        <v>186</v>
      </c>
      <c r="D30" s="55" t="s">
        <v>1810</v>
      </c>
      <c r="E30" s="55" t="s">
        <v>1810</v>
      </c>
      <c r="F30" s="55" t="s">
        <v>1194</v>
      </c>
      <c r="G30" s="55" t="s">
        <v>1195</v>
      </c>
      <c r="H30" s="55" t="s">
        <v>1248</v>
      </c>
      <c r="I30" s="55" t="s">
        <v>172</v>
      </c>
      <c r="J30" s="55" t="s">
        <v>1811</v>
      </c>
      <c r="K30" s="55" t="s">
        <v>187</v>
      </c>
      <c r="L30" s="55" t="n">
        <v>0.625</v>
      </c>
      <c r="M30" s="55" t="n">
        <v>4.25</v>
      </c>
      <c r="N30" s="55" t="s">
        <v>141</v>
      </c>
      <c r="O30" s="57"/>
      <c r="P30" s="55"/>
      <c r="Q30" s="55"/>
      <c r="R30" s="55" t="n">
        <v>77</v>
      </c>
      <c r="S30" s="55" t="n">
        <v>617</v>
      </c>
      <c r="T30" s="55"/>
      <c r="U30" s="55" t="s">
        <v>1812</v>
      </c>
      <c r="V30" s="55" t="s">
        <v>1813</v>
      </c>
      <c r="W30" s="55" t="s">
        <v>1500</v>
      </c>
      <c r="X30" s="4"/>
      <c r="Y30" s="4"/>
      <c r="Z30" s="4"/>
    </row>
    <row r="31" customFormat="false" ht="15.75" hidden="false" customHeight="true" outlineLevel="0" collapsed="false">
      <c r="A31" s="55" t="n">
        <v>1553</v>
      </c>
      <c r="B31" s="55" t="s">
        <v>188</v>
      </c>
      <c r="C31" s="55" t="s">
        <v>189</v>
      </c>
      <c r="D31" s="55" t="s">
        <v>2491</v>
      </c>
      <c r="E31" s="55"/>
      <c r="F31" s="55" t="s">
        <v>1194</v>
      </c>
      <c r="G31" s="55" t="s">
        <v>1194</v>
      </c>
      <c r="H31" s="55" t="s">
        <v>1248</v>
      </c>
      <c r="I31" s="55" t="s">
        <v>172</v>
      </c>
      <c r="J31" s="55" t="s">
        <v>2492</v>
      </c>
      <c r="K31" s="55" t="s">
        <v>187</v>
      </c>
      <c r="L31" s="55" t="n">
        <v>0.625</v>
      </c>
      <c r="M31" s="55" t="n">
        <v>4.25</v>
      </c>
      <c r="N31" s="55" t="s">
        <v>141</v>
      </c>
      <c r="O31" s="57"/>
      <c r="P31" s="55"/>
      <c r="Q31" s="55"/>
      <c r="R31" s="55" t="n">
        <v>75</v>
      </c>
      <c r="S31" s="55" t="n">
        <v>816</v>
      </c>
      <c r="T31" s="55"/>
      <c r="U31" s="55"/>
      <c r="V31" s="55"/>
      <c r="W31" s="58" t="s">
        <v>2454</v>
      </c>
      <c r="X31" s="4"/>
      <c r="Y31" s="4"/>
      <c r="Z31" s="4"/>
    </row>
    <row r="32" customFormat="false" ht="15.75" hidden="false" customHeight="true" outlineLevel="0" collapsed="false">
      <c r="A32" s="55" t="n">
        <v>1554</v>
      </c>
      <c r="B32" s="55" t="s">
        <v>190</v>
      </c>
      <c r="C32" s="55" t="s">
        <v>191</v>
      </c>
      <c r="D32" s="55" t="s">
        <v>2489</v>
      </c>
      <c r="E32" s="55"/>
      <c r="F32" s="55" t="s">
        <v>1194</v>
      </c>
      <c r="G32" s="55" t="s">
        <v>1194</v>
      </c>
      <c r="H32" s="55" t="s">
        <v>1248</v>
      </c>
      <c r="I32" s="55" t="s">
        <v>172</v>
      </c>
      <c r="J32" s="55" t="s">
        <v>2490</v>
      </c>
      <c r="K32" s="55" t="s">
        <v>192</v>
      </c>
      <c r="L32" s="55" t="n">
        <v>0.375</v>
      </c>
      <c r="M32" s="55" t="n">
        <v>4</v>
      </c>
      <c r="N32" s="55" t="s">
        <v>141</v>
      </c>
      <c r="O32" s="57"/>
      <c r="P32" s="55"/>
      <c r="Q32" s="55"/>
      <c r="R32" s="55" t="n">
        <v>64</v>
      </c>
      <c r="S32" s="55" t="n">
        <v>274</v>
      </c>
      <c r="T32" s="55"/>
      <c r="U32" s="55"/>
      <c r="V32" s="55"/>
      <c r="W32" s="58" t="s">
        <v>2454</v>
      </c>
      <c r="X32" s="4"/>
      <c r="Y32" s="4"/>
      <c r="Z32" s="4"/>
    </row>
    <row r="33" customFormat="false" ht="15.75" hidden="false" customHeight="true" outlineLevel="0" collapsed="false">
      <c r="A33" s="55" t="n">
        <v>1555</v>
      </c>
      <c r="B33" s="55" t="s">
        <v>193</v>
      </c>
      <c r="C33" s="55" t="s">
        <v>194</v>
      </c>
      <c r="D33" s="55" t="s">
        <v>1814</v>
      </c>
      <c r="E33" s="55" t="s">
        <v>1814</v>
      </c>
      <c r="F33" s="55" t="s">
        <v>1194</v>
      </c>
      <c r="G33" s="55" t="s">
        <v>1195</v>
      </c>
      <c r="H33" s="55" t="s">
        <v>1248</v>
      </c>
      <c r="I33" s="55" t="s">
        <v>172</v>
      </c>
      <c r="J33" s="55" t="s">
        <v>1815</v>
      </c>
      <c r="K33" s="55" t="s">
        <v>187</v>
      </c>
      <c r="L33" s="55" t="n">
        <v>0.625</v>
      </c>
      <c r="M33" s="55" t="n">
        <v>4.25</v>
      </c>
      <c r="N33" s="55" t="s">
        <v>141</v>
      </c>
      <c r="O33" s="57"/>
      <c r="P33" s="55"/>
      <c r="Q33" s="55"/>
      <c r="R33" s="55" t="n">
        <v>105</v>
      </c>
      <c r="S33" s="55" t="n">
        <v>409</v>
      </c>
      <c r="T33" s="55"/>
      <c r="U33" s="55" t="s">
        <v>1816</v>
      </c>
      <c r="V33" s="55" t="s">
        <v>1817</v>
      </c>
      <c r="W33" s="55" t="s">
        <v>1500</v>
      </c>
      <c r="X33" s="4"/>
      <c r="Y33" s="4"/>
      <c r="Z33" s="4"/>
    </row>
    <row r="34" customFormat="false" ht="15.75" hidden="false" customHeight="true" outlineLevel="0" collapsed="false">
      <c r="A34" s="55" t="n">
        <v>1556</v>
      </c>
      <c r="B34" s="55" t="s">
        <v>2838</v>
      </c>
      <c r="C34" s="55" t="s">
        <v>2839</v>
      </c>
      <c r="D34" s="55" t="s">
        <v>2840</v>
      </c>
      <c r="E34" s="55" t="s">
        <v>2840</v>
      </c>
      <c r="F34" s="55" t="s">
        <v>1194</v>
      </c>
      <c r="G34" s="55" t="s">
        <v>1195</v>
      </c>
      <c r="H34" s="55" t="s">
        <v>1248</v>
      </c>
      <c r="I34" s="55" t="s">
        <v>172</v>
      </c>
      <c r="J34" s="55" t="s">
        <v>2841</v>
      </c>
      <c r="K34" s="55" t="s">
        <v>2842</v>
      </c>
      <c r="L34" s="55" t="n">
        <v>0.625</v>
      </c>
      <c r="M34" s="55" t="n">
        <v>5.25</v>
      </c>
      <c r="N34" s="55" t="s">
        <v>665</v>
      </c>
      <c r="O34" s="55" t="s">
        <v>1270</v>
      </c>
      <c r="P34" s="55"/>
      <c r="Q34" s="55"/>
      <c r="R34" s="55" t="n">
        <v>81</v>
      </c>
      <c r="S34" s="55" t="n">
        <v>734</v>
      </c>
      <c r="T34" s="55"/>
      <c r="U34" s="55" t="s">
        <v>2843</v>
      </c>
      <c r="V34" s="55" t="s">
        <v>2844</v>
      </c>
      <c r="W34" s="55"/>
      <c r="X34" s="4"/>
      <c r="Y34" s="4"/>
      <c r="Z34" s="4"/>
    </row>
    <row r="35" customFormat="false" ht="15.75" hidden="false" customHeight="true" outlineLevel="0" collapsed="false">
      <c r="A35" s="55" t="n">
        <v>1557</v>
      </c>
      <c r="B35" s="55" t="s">
        <v>195</v>
      </c>
      <c r="C35" s="55" t="s">
        <v>196</v>
      </c>
      <c r="D35" s="55" t="s">
        <v>1822</v>
      </c>
      <c r="E35" s="55" t="s">
        <v>1822</v>
      </c>
      <c r="F35" s="55" t="s">
        <v>1194</v>
      </c>
      <c r="G35" s="55" t="s">
        <v>1195</v>
      </c>
      <c r="H35" s="55" t="s">
        <v>1248</v>
      </c>
      <c r="I35" s="55" t="s">
        <v>172</v>
      </c>
      <c r="J35" s="55" t="s">
        <v>1823</v>
      </c>
      <c r="K35" s="55" t="s">
        <v>197</v>
      </c>
      <c r="L35" s="55" t="n">
        <v>0.625</v>
      </c>
      <c r="M35" s="55" t="n">
        <v>5.25</v>
      </c>
      <c r="N35" s="55" t="s">
        <v>141</v>
      </c>
      <c r="O35" s="57"/>
      <c r="P35" s="55"/>
      <c r="Q35" s="55"/>
      <c r="R35" s="55" t="n">
        <v>73</v>
      </c>
      <c r="S35" s="55" t="n">
        <v>439</v>
      </c>
      <c r="T35" s="55"/>
      <c r="U35" s="55" t="s">
        <v>1824</v>
      </c>
      <c r="V35" s="55" t="s">
        <v>1825</v>
      </c>
      <c r="W35" s="55" t="s">
        <v>1500</v>
      </c>
      <c r="X35" s="4"/>
      <c r="Y35" s="4"/>
      <c r="Z35" s="4"/>
    </row>
    <row r="36" customFormat="false" ht="15.75" hidden="false" customHeight="true" outlineLevel="0" collapsed="false">
      <c r="A36" s="55" t="n">
        <v>1558</v>
      </c>
      <c r="B36" s="55" t="s">
        <v>2845</v>
      </c>
      <c r="C36" s="55" t="s">
        <v>2846</v>
      </c>
      <c r="D36" s="55" t="s">
        <v>2847</v>
      </c>
      <c r="E36" s="55" t="s">
        <v>2847</v>
      </c>
      <c r="F36" s="55" t="s">
        <v>1194</v>
      </c>
      <c r="G36" s="55" t="s">
        <v>1195</v>
      </c>
      <c r="H36" s="55" t="s">
        <v>1248</v>
      </c>
      <c r="I36" s="55" t="s">
        <v>172</v>
      </c>
      <c r="J36" s="55" t="s">
        <v>2848</v>
      </c>
      <c r="K36" s="55" t="s">
        <v>2842</v>
      </c>
      <c r="L36" s="55" t="n">
        <v>0.625</v>
      </c>
      <c r="M36" s="55" t="n">
        <v>5.25</v>
      </c>
      <c r="N36" s="55" t="s">
        <v>665</v>
      </c>
      <c r="O36" s="55" t="s">
        <v>1270</v>
      </c>
      <c r="P36" s="55"/>
      <c r="Q36" s="55"/>
      <c r="R36" s="55" t="n">
        <v>92</v>
      </c>
      <c r="S36" s="55" t="n">
        <v>582</v>
      </c>
      <c r="T36" s="55"/>
      <c r="U36" s="55" t="s">
        <v>2849</v>
      </c>
      <c r="V36" s="55" t="s">
        <v>2850</v>
      </c>
      <c r="W36" s="55"/>
      <c r="X36" s="4"/>
      <c r="Y36" s="4"/>
      <c r="Z36" s="4"/>
    </row>
    <row r="37" customFormat="false" ht="15.75" hidden="false" customHeight="true" outlineLevel="0" collapsed="false">
      <c r="A37" s="55" t="n">
        <v>1559</v>
      </c>
      <c r="B37" s="55" t="s">
        <v>198</v>
      </c>
      <c r="C37" s="55" t="s">
        <v>199</v>
      </c>
      <c r="D37" s="55" t="s">
        <v>1826</v>
      </c>
      <c r="E37" s="55" t="s">
        <v>1826</v>
      </c>
      <c r="F37" s="55" t="s">
        <v>1194</v>
      </c>
      <c r="G37" s="55" t="s">
        <v>1195</v>
      </c>
      <c r="H37" s="55" t="s">
        <v>1248</v>
      </c>
      <c r="I37" s="55" t="s">
        <v>172</v>
      </c>
      <c r="J37" s="55" t="s">
        <v>1827</v>
      </c>
      <c r="K37" s="55" t="s">
        <v>197</v>
      </c>
      <c r="L37" s="55" t="n">
        <v>0.625</v>
      </c>
      <c r="M37" s="55" t="n">
        <v>5.25</v>
      </c>
      <c r="N37" s="55" t="s">
        <v>141</v>
      </c>
      <c r="O37" s="57"/>
      <c r="P37" s="55"/>
      <c r="Q37" s="55"/>
      <c r="R37" s="55" t="n">
        <v>94</v>
      </c>
      <c r="S37" s="55" t="n">
        <v>313</v>
      </c>
      <c r="T37" s="55"/>
      <c r="U37" s="55" t="s">
        <v>1828</v>
      </c>
      <c r="V37" s="55" t="s">
        <v>1829</v>
      </c>
      <c r="W37" s="55" t="s">
        <v>1500</v>
      </c>
      <c r="X37" s="4"/>
      <c r="Y37" s="4"/>
      <c r="Z37" s="4"/>
    </row>
    <row r="38" customFormat="false" ht="15.75" hidden="false" customHeight="true" outlineLevel="0" collapsed="false">
      <c r="A38" s="55" t="n">
        <v>1560</v>
      </c>
      <c r="B38" s="55" t="s">
        <v>1308</v>
      </c>
      <c r="C38" s="55" t="s">
        <v>1309</v>
      </c>
      <c r="D38" s="55" t="s">
        <v>1310</v>
      </c>
      <c r="E38" s="55"/>
      <c r="F38" s="55" t="s">
        <v>1194</v>
      </c>
      <c r="G38" s="55" t="s">
        <v>1194</v>
      </c>
      <c r="H38" s="55" t="s">
        <v>1248</v>
      </c>
      <c r="I38" s="55" t="s">
        <v>172</v>
      </c>
      <c r="J38" s="55" t="s">
        <v>1311</v>
      </c>
      <c r="K38" s="55" t="s">
        <v>1312</v>
      </c>
      <c r="L38" s="55" t="n">
        <v>0.375</v>
      </c>
      <c r="M38" s="55" t="n">
        <v>4.125</v>
      </c>
      <c r="N38" s="55" t="s">
        <v>1313</v>
      </c>
      <c r="O38" s="55" t="s">
        <v>1298</v>
      </c>
      <c r="P38" s="55"/>
      <c r="Q38" s="55"/>
      <c r="R38" s="55" t="n">
        <v>65</v>
      </c>
      <c r="S38" s="55" t="n">
        <v>251</v>
      </c>
      <c r="T38" s="55"/>
      <c r="U38" s="55"/>
      <c r="V38" s="55"/>
      <c r="W38" s="58" t="s">
        <v>1307</v>
      </c>
      <c r="X38" s="4"/>
      <c r="Y38" s="4"/>
      <c r="Z38" s="4"/>
    </row>
    <row r="39" customFormat="false" ht="15.75" hidden="false" customHeight="true" outlineLevel="0" collapsed="false">
      <c r="A39" s="55" t="n">
        <v>1561</v>
      </c>
      <c r="B39" s="55" t="s">
        <v>2851</v>
      </c>
      <c r="C39" s="55" t="s">
        <v>2852</v>
      </c>
      <c r="D39" s="55" t="s">
        <v>2853</v>
      </c>
      <c r="E39" s="55" t="s">
        <v>2853</v>
      </c>
      <c r="F39" s="55" t="s">
        <v>1194</v>
      </c>
      <c r="G39" s="55" t="s">
        <v>1195</v>
      </c>
      <c r="H39" s="55" t="s">
        <v>1248</v>
      </c>
      <c r="I39" s="55" t="s">
        <v>172</v>
      </c>
      <c r="J39" s="55" t="s">
        <v>2854</v>
      </c>
      <c r="K39" s="55" t="s">
        <v>211</v>
      </c>
      <c r="L39" s="55" t="n">
        <v>0.6875</v>
      </c>
      <c r="M39" s="55" t="n">
        <v>7.25</v>
      </c>
      <c r="N39" s="55" t="s">
        <v>665</v>
      </c>
      <c r="O39" s="55" t="s">
        <v>1270</v>
      </c>
      <c r="P39" s="55"/>
      <c r="Q39" s="55"/>
      <c r="R39" s="55" t="n">
        <v>75</v>
      </c>
      <c r="S39" s="55" t="n">
        <v>483</v>
      </c>
      <c r="T39" s="55"/>
      <c r="U39" s="55" t="s">
        <v>2855</v>
      </c>
      <c r="V39" s="55" t="s">
        <v>2856</v>
      </c>
      <c r="W39" s="55"/>
      <c r="X39" s="4"/>
      <c r="Y39" s="4"/>
      <c r="Z39" s="4"/>
    </row>
    <row r="40" customFormat="false" ht="15.75" hidden="false" customHeight="true" outlineLevel="0" collapsed="false">
      <c r="A40" s="55" t="n">
        <v>1562</v>
      </c>
      <c r="B40" s="55" t="s">
        <v>209</v>
      </c>
      <c r="C40" s="55" t="s">
        <v>210</v>
      </c>
      <c r="D40" s="55" t="s">
        <v>1830</v>
      </c>
      <c r="E40" s="55" t="s">
        <v>1830</v>
      </c>
      <c r="F40" s="55" t="s">
        <v>1194</v>
      </c>
      <c r="G40" s="55" t="s">
        <v>1195</v>
      </c>
      <c r="H40" s="55" t="s">
        <v>1248</v>
      </c>
      <c r="I40" s="55" t="s">
        <v>172</v>
      </c>
      <c r="J40" s="55" t="s">
        <v>1831</v>
      </c>
      <c r="K40" s="55" t="s">
        <v>211</v>
      </c>
      <c r="L40" s="55" t="n">
        <v>0.6875</v>
      </c>
      <c r="M40" s="55" t="n">
        <v>7.25</v>
      </c>
      <c r="N40" s="55" t="s">
        <v>141</v>
      </c>
      <c r="O40" s="57"/>
      <c r="P40" s="55"/>
      <c r="Q40" s="55"/>
      <c r="R40" s="55" t="n">
        <v>71</v>
      </c>
      <c r="S40" s="55" t="n">
        <v>288</v>
      </c>
      <c r="T40" s="55"/>
      <c r="U40" s="55" t="s">
        <v>1832</v>
      </c>
      <c r="V40" s="55" t="s">
        <v>1833</v>
      </c>
      <c r="W40" s="55" t="s">
        <v>1500</v>
      </c>
      <c r="X40" s="4"/>
      <c r="Y40" s="4"/>
      <c r="Z40" s="4"/>
    </row>
    <row r="41" customFormat="false" ht="15.75" hidden="false" customHeight="true" outlineLevel="0" collapsed="false">
      <c r="A41" s="55" t="n">
        <v>1563</v>
      </c>
      <c r="B41" s="55" t="s">
        <v>2857</v>
      </c>
      <c r="C41" s="55" t="s">
        <v>2858</v>
      </c>
      <c r="D41" s="55" t="s">
        <v>2859</v>
      </c>
      <c r="E41" s="55" t="s">
        <v>2859</v>
      </c>
      <c r="F41" s="55" t="s">
        <v>1194</v>
      </c>
      <c r="G41" s="55" t="s">
        <v>1195</v>
      </c>
      <c r="H41" s="55" t="s">
        <v>1248</v>
      </c>
      <c r="I41" s="55" t="s">
        <v>172</v>
      </c>
      <c r="J41" s="55" t="s">
        <v>2860</v>
      </c>
      <c r="K41" s="55" t="s">
        <v>211</v>
      </c>
      <c r="L41" s="55" t="n">
        <v>0.6875</v>
      </c>
      <c r="M41" s="55" t="n">
        <v>7.25</v>
      </c>
      <c r="N41" s="55" t="s">
        <v>2861</v>
      </c>
      <c r="O41" s="55" t="s">
        <v>1270</v>
      </c>
      <c r="P41" s="55"/>
      <c r="Q41" s="55"/>
      <c r="R41" s="55" t="n">
        <v>74</v>
      </c>
      <c r="S41" s="55" t="n">
        <v>285</v>
      </c>
      <c r="T41" s="55"/>
      <c r="U41" s="55" t="s">
        <v>2862</v>
      </c>
      <c r="V41" s="55" t="s">
        <v>2863</v>
      </c>
      <c r="W41" s="55"/>
      <c r="X41" s="4"/>
      <c r="Y41" s="4"/>
      <c r="Z41" s="4"/>
    </row>
    <row r="42" customFormat="false" ht="15.75" hidden="false" customHeight="true" outlineLevel="0" collapsed="false">
      <c r="A42" s="55" t="n">
        <v>1565</v>
      </c>
      <c r="B42" s="55" t="s">
        <v>212</v>
      </c>
      <c r="C42" s="55" t="s">
        <v>213</v>
      </c>
      <c r="D42" s="55" t="s">
        <v>1834</v>
      </c>
      <c r="E42" s="55" t="s">
        <v>1834</v>
      </c>
      <c r="F42" s="55" t="s">
        <v>1194</v>
      </c>
      <c r="G42" s="55" t="s">
        <v>1195</v>
      </c>
      <c r="H42" s="55" t="s">
        <v>1248</v>
      </c>
      <c r="I42" s="55" t="s">
        <v>172</v>
      </c>
      <c r="J42" s="55" t="s">
        <v>1835</v>
      </c>
      <c r="K42" s="55" t="s">
        <v>211</v>
      </c>
      <c r="L42" s="55" t="n">
        <v>0.6875</v>
      </c>
      <c r="M42" s="55" t="n">
        <v>7.25</v>
      </c>
      <c r="N42" s="55" t="s">
        <v>141</v>
      </c>
      <c r="O42" s="57"/>
      <c r="P42" s="55"/>
      <c r="Q42" s="55"/>
      <c r="R42" s="55" t="n">
        <v>73</v>
      </c>
      <c r="S42" s="55" t="n">
        <v>626</v>
      </c>
      <c r="T42" s="55"/>
      <c r="U42" s="55" t="s">
        <v>1836</v>
      </c>
      <c r="V42" s="55" t="s">
        <v>1837</v>
      </c>
      <c r="W42" s="55" t="s">
        <v>1500</v>
      </c>
      <c r="X42" s="4"/>
      <c r="Y42" s="4"/>
      <c r="Z42" s="4"/>
    </row>
    <row r="43" customFormat="false" ht="15.75" hidden="false" customHeight="true" outlineLevel="0" collapsed="false">
      <c r="A43" s="55" t="n">
        <v>1566</v>
      </c>
      <c r="B43" s="55" t="s">
        <v>214</v>
      </c>
      <c r="C43" s="55" t="s">
        <v>215</v>
      </c>
      <c r="D43" s="55" t="s">
        <v>1838</v>
      </c>
      <c r="E43" s="55" t="s">
        <v>1838</v>
      </c>
      <c r="F43" s="55" t="s">
        <v>1194</v>
      </c>
      <c r="G43" s="55" t="s">
        <v>1195</v>
      </c>
      <c r="H43" s="55" t="s">
        <v>1248</v>
      </c>
      <c r="I43" s="55" t="s">
        <v>172</v>
      </c>
      <c r="J43" s="55" t="s">
        <v>1839</v>
      </c>
      <c r="K43" s="55" t="s">
        <v>216</v>
      </c>
      <c r="L43" s="55" t="n">
        <v>0.8125</v>
      </c>
      <c r="M43" s="55" t="n">
        <v>7.25</v>
      </c>
      <c r="N43" s="55" t="s">
        <v>141</v>
      </c>
      <c r="O43" s="57"/>
      <c r="P43" s="55"/>
      <c r="Q43" s="55"/>
      <c r="R43" s="55" t="n">
        <v>71</v>
      </c>
      <c r="S43" s="55" t="n">
        <v>183</v>
      </c>
      <c r="T43" s="55"/>
      <c r="U43" s="55" t="s">
        <v>1840</v>
      </c>
      <c r="V43" s="55" t="s">
        <v>1841</v>
      </c>
      <c r="W43" s="55" t="s">
        <v>1500</v>
      </c>
      <c r="X43" s="4"/>
      <c r="Y43" s="4"/>
      <c r="Z43" s="4"/>
    </row>
    <row r="44" customFormat="false" ht="15.75" hidden="false" customHeight="true" outlineLevel="0" collapsed="false">
      <c r="A44" s="55" t="n">
        <v>1567</v>
      </c>
      <c r="B44" s="55" t="s">
        <v>217</v>
      </c>
      <c r="C44" s="55" t="s">
        <v>218</v>
      </c>
      <c r="D44" s="55" t="s">
        <v>2487</v>
      </c>
      <c r="E44" s="55"/>
      <c r="F44" s="55" t="s">
        <v>1194</v>
      </c>
      <c r="G44" s="55" t="s">
        <v>1194</v>
      </c>
      <c r="H44" s="55" t="s">
        <v>1248</v>
      </c>
      <c r="I44" s="55" t="s">
        <v>172</v>
      </c>
      <c r="J44" s="55" t="s">
        <v>2488</v>
      </c>
      <c r="K44" s="55" t="s">
        <v>219</v>
      </c>
      <c r="L44" s="55" t="n">
        <v>0.75</v>
      </c>
      <c r="M44" s="55" t="n">
        <v>7.25</v>
      </c>
      <c r="N44" s="55" t="s">
        <v>141</v>
      </c>
      <c r="O44" s="57"/>
      <c r="P44" s="55"/>
      <c r="Q44" s="55"/>
      <c r="R44" s="55" t="n">
        <v>67</v>
      </c>
      <c r="S44" s="55" t="n">
        <v>204</v>
      </c>
      <c r="T44" s="55"/>
      <c r="U44" s="55"/>
      <c r="V44" s="55"/>
      <c r="W44" s="58" t="s">
        <v>2454</v>
      </c>
      <c r="X44" s="4"/>
      <c r="Y44" s="4"/>
      <c r="Z44" s="4"/>
    </row>
    <row r="45" customFormat="false" ht="15.75" hidden="false" customHeight="true" outlineLevel="0" collapsed="false">
      <c r="A45" s="55" t="n">
        <v>1568</v>
      </c>
      <c r="B45" s="55" t="s">
        <v>229</v>
      </c>
      <c r="C45" s="55" t="s">
        <v>230</v>
      </c>
      <c r="D45" s="55" t="s">
        <v>1842</v>
      </c>
      <c r="E45" s="55" t="s">
        <v>1842</v>
      </c>
      <c r="F45" s="55" t="s">
        <v>1194</v>
      </c>
      <c r="G45" s="55" t="s">
        <v>1195</v>
      </c>
      <c r="H45" s="55" t="s">
        <v>1248</v>
      </c>
      <c r="I45" s="55" t="s">
        <v>172</v>
      </c>
      <c r="J45" s="55" t="s">
        <v>1843</v>
      </c>
      <c r="K45" s="55" t="s">
        <v>231</v>
      </c>
      <c r="L45" s="55" t="n">
        <v>0.75</v>
      </c>
      <c r="M45" s="55" t="n">
        <v>8.5</v>
      </c>
      <c r="N45" s="55" t="s">
        <v>141</v>
      </c>
      <c r="O45" s="57"/>
      <c r="P45" s="55"/>
      <c r="Q45" s="55"/>
      <c r="R45" s="55" t="n">
        <v>137</v>
      </c>
      <c r="S45" s="55" t="n">
        <v>199</v>
      </c>
      <c r="T45" s="55"/>
      <c r="U45" s="55" t="s">
        <v>1844</v>
      </c>
      <c r="V45" s="55" t="s">
        <v>1845</v>
      </c>
      <c r="W45" s="55" t="s">
        <v>1500</v>
      </c>
      <c r="X45" s="4"/>
      <c r="Y45" s="4"/>
      <c r="Z45" s="4"/>
    </row>
    <row r="46" customFormat="false" ht="15.75" hidden="false" customHeight="true" outlineLevel="0" collapsed="false">
      <c r="A46" s="55" t="n">
        <v>1569</v>
      </c>
      <c r="B46" s="55" t="s">
        <v>1302</v>
      </c>
      <c r="C46" s="55" t="s">
        <v>1303</v>
      </c>
      <c r="D46" s="55" t="s">
        <v>1304</v>
      </c>
      <c r="E46" s="55"/>
      <c r="F46" s="55" t="s">
        <v>1194</v>
      </c>
      <c r="G46" s="55" t="s">
        <v>1194</v>
      </c>
      <c r="H46" s="55" t="s">
        <v>1248</v>
      </c>
      <c r="I46" s="55" t="s">
        <v>172</v>
      </c>
      <c r="J46" s="55" t="s">
        <v>1305</v>
      </c>
      <c r="K46" s="55" t="s">
        <v>1306</v>
      </c>
      <c r="L46" s="55" t="n">
        <v>0.875</v>
      </c>
      <c r="M46" s="55" t="n">
        <v>7.375</v>
      </c>
      <c r="N46" s="55" t="s">
        <v>1270</v>
      </c>
      <c r="O46" s="55" t="s">
        <v>1270</v>
      </c>
      <c r="P46" s="55"/>
      <c r="Q46" s="55"/>
      <c r="R46" s="55" t="n">
        <v>90</v>
      </c>
      <c r="S46" s="55" t="n">
        <v>187</v>
      </c>
      <c r="T46" s="55"/>
      <c r="U46" s="55"/>
      <c r="V46" s="55"/>
      <c r="W46" s="58" t="s">
        <v>1307</v>
      </c>
      <c r="X46" s="4"/>
      <c r="Y46" s="4"/>
      <c r="Z46" s="4"/>
    </row>
    <row r="47" customFormat="false" ht="15.75" hidden="false" customHeight="true" outlineLevel="0" collapsed="false">
      <c r="A47" s="55" t="n">
        <v>1570</v>
      </c>
      <c r="B47" s="55" t="s">
        <v>2864</v>
      </c>
      <c r="C47" s="55" t="s">
        <v>2865</v>
      </c>
      <c r="D47" s="55" t="s">
        <v>2866</v>
      </c>
      <c r="E47" s="55" t="s">
        <v>2866</v>
      </c>
      <c r="F47" s="55" t="s">
        <v>1194</v>
      </c>
      <c r="G47" s="55" t="s">
        <v>1195</v>
      </c>
      <c r="H47" s="55" t="s">
        <v>1248</v>
      </c>
      <c r="I47" s="55" t="s">
        <v>172</v>
      </c>
      <c r="J47" s="55" t="s">
        <v>2867</v>
      </c>
      <c r="K47" s="55" t="s">
        <v>2868</v>
      </c>
      <c r="L47" s="55" t="n">
        <v>0.5</v>
      </c>
      <c r="M47" s="55" t="n">
        <v>4.125</v>
      </c>
      <c r="N47" s="55" t="s">
        <v>1270</v>
      </c>
      <c r="O47" s="55" t="s">
        <v>1270</v>
      </c>
      <c r="P47" s="55"/>
      <c r="Q47" s="55"/>
      <c r="R47" s="55" t="n">
        <v>65</v>
      </c>
      <c r="S47" s="55" t="n">
        <v>345</v>
      </c>
      <c r="T47" s="55"/>
      <c r="U47" s="55" t="s">
        <v>2869</v>
      </c>
      <c r="V47" s="55" t="s">
        <v>2870</v>
      </c>
      <c r="W47" s="55"/>
      <c r="X47" s="4"/>
      <c r="Y47" s="4"/>
      <c r="Z47" s="4"/>
    </row>
    <row r="48" customFormat="false" ht="15.75" hidden="false" customHeight="true" outlineLevel="0" collapsed="false">
      <c r="A48" s="55" t="n">
        <v>1571</v>
      </c>
      <c r="B48" s="55" t="s">
        <v>2871</v>
      </c>
      <c r="C48" s="55" t="s">
        <v>2872</v>
      </c>
      <c r="D48" s="55" t="s">
        <v>2873</v>
      </c>
      <c r="E48" s="55" t="s">
        <v>2873</v>
      </c>
      <c r="F48" s="55" t="s">
        <v>1194</v>
      </c>
      <c r="G48" s="55" t="s">
        <v>1195</v>
      </c>
      <c r="H48" s="55" t="s">
        <v>1248</v>
      </c>
      <c r="I48" s="55" t="s">
        <v>172</v>
      </c>
      <c r="J48" s="55" t="s">
        <v>2874</v>
      </c>
      <c r="K48" s="55" t="s">
        <v>2875</v>
      </c>
      <c r="L48" s="55" t="n">
        <v>0.625</v>
      </c>
      <c r="M48" s="55" t="n">
        <v>6.5</v>
      </c>
      <c r="N48" s="55" t="s">
        <v>1270</v>
      </c>
      <c r="O48" s="55" t="s">
        <v>1270</v>
      </c>
      <c r="P48" s="55"/>
      <c r="Q48" s="55"/>
      <c r="R48" s="55" t="n">
        <v>77</v>
      </c>
      <c r="S48" s="55" t="n">
        <v>213</v>
      </c>
      <c r="T48" s="55"/>
      <c r="U48" s="55" t="s">
        <v>2876</v>
      </c>
      <c r="V48" s="55" t="s">
        <v>2877</v>
      </c>
      <c r="W48" s="55"/>
      <c r="X48" s="4"/>
      <c r="Y48" s="4"/>
      <c r="Z48" s="4"/>
    </row>
    <row r="49" customFormat="false" ht="15.75" hidden="false" customHeight="true" outlineLevel="0" collapsed="false">
      <c r="A49" s="55" t="n">
        <v>1572</v>
      </c>
      <c r="B49" s="55" t="s">
        <v>232</v>
      </c>
      <c r="C49" s="55" t="s">
        <v>233</v>
      </c>
      <c r="D49" s="55" t="s">
        <v>1769</v>
      </c>
      <c r="E49" s="55" t="s">
        <v>1769</v>
      </c>
      <c r="F49" s="55" t="s">
        <v>1194</v>
      </c>
      <c r="G49" s="55" t="s">
        <v>1195</v>
      </c>
      <c r="H49" s="55" t="s">
        <v>1248</v>
      </c>
      <c r="I49" s="55" t="s">
        <v>234</v>
      </c>
      <c r="J49" s="55" t="s">
        <v>1770</v>
      </c>
      <c r="K49" s="55" t="s">
        <v>235</v>
      </c>
      <c r="L49" s="55" t="n">
        <v>0.375</v>
      </c>
      <c r="M49" s="55" t="n">
        <v>0.75</v>
      </c>
      <c r="N49" s="55" t="s">
        <v>141</v>
      </c>
      <c r="O49" s="57"/>
      <c r="P49" s="55"/>
      <c r="Q49" s="55"/>
      <c r="R49" s="55" t="n">
        <v>5</v>
      </c>
      <c r="S49" s="55" t="n">
        <v>127</v>
      </c>
      <c r="T49" s="55"/>
      <c r="U49" s="55" t="s">
        <v>233</v>
      </c>
      <c r="V49" s="55" t="s">
        <v>1771</v>
      </c>
      <c r="W49" s="55" t="s">
        <v>1500</v>
      </c>
      <c r="X49" s="4"/>
      <c r="Y49" s="4"/>
      <c r="Z49" s="4"/>
    </row>
    <row r="50" customFormat="false" ht="15.75" hidden="false" customHeight="true" outlineLevel="0" collapsed="false">
      <c r="A50" s="55" t="n">
        <v>1573</v>
      </c>
      <c r="B50" s="55" t="s">
        <v>236</v>
      </c>
      <c r="C50" s="55" t="s">
        <v>237</v>
      </c>
      <c r="D50" s="55" t="s">
        <v>1846</v>
      </c>
      <c r="E50" s="55" t="s">
        <v>1846</v>
      </c>
      <c r="F50" s="55" t="s">
        <v>1194</v>
      </c>
      <c r="G50" s="55" t="s">
        <v>1195</v>
      </c>
      <c r="H50" s="55" t="s">
        <v>1248</v>
      </c>
      <c r="I50" s="55" t="s">
        <v>234</v>
      </c>
      <c r="J50" s="55" t="s">
        <v>1847</v>
      </c>
      <c r="K50" s="55" t="s">
        <v>238</v>
      </c>
      <c r="L50" s="55" t="n">
        <v>0.5</v>
      </c>
      <c r="M50" s="55" t="n">
        <v>1</v>
      </c>
      <c r="N50" s="55" t="s">
        <v>141</v>
      </c>
      <c r="O50" s="57"/>
      <c r="P50" s="55"/>
      <c r="Q50" s="55"/>
      <c r="R50" s="55" t="n">
        <v>4</v>
      </c>
      <c r="S50" s="55" t="n">
        <v>90</v>
      </c>
      <c r="T50" s="55"/>
      <c r="U50" s="55" t="s">
        <v>237</v>
      </c>
      <c r="V50" s="55" t="s">
        <v>1503</v>
      </c>
      <c r="W50" s="55" t="s">
        <v>1500</v>
      </c>
      <c r="X50" s="4"/>
      <c r="Y50" s="4"/>
      <c r="Z50" s="4"/>
    </row>
    <row r="51" customFormat="false" ht="15.75" hidden="false" customHeight="true" outlineLevel="0" collapsed="false">
      <c r="A51" s="55" t="n">
        <v>1574</v>
      </c>
      <c r="B51" s="55" t="s">
        <v>239</v>
      </c>
      <c r="C51" s="55" t="s">
        <v>240</v>
      </c>
      <c r="D51" s="55" t="s">
        <v>1767</v>
      </c>
      <c r="E51" s="55" t="s">
        <v>1767</v>
      </c>
      <c r="F51" s="55" t="s">
        <v>1194</v>
      </c>
      <c r="G51" s="55" t="s">
        <v>1195</v>
      </c>
      <c r="H51" s="55" t="s">
        <v>1248</v>
      </c>
      <c r="I51" s="55" t="s">
        <v>234</v>
      </c>
      <c r="J51" s="55" t="s">
        <v>1768</v>
      </c>
      <c r="K51" s="55" t="s">
        <v>241</v>
      </c>
      <c r="L51" s="55" t="n">
        <v>0.5</v>
      </c>
      <c r="M51" s="55" t="n">
        <v>1.5</v>
      </c>
      <c r="N51" s="55" t="s">
        <v>141</v>
      </c>
      <c r="O51" s="57"/>
      <c r="P51" s="55"/>
      <c r="Q51" s="55"/>
      <c r="R51" s="55" t="n">
        <v>3</v>
      </c>
      <c r="S51" s="55" t="n">
        <v>126</v>
      </c>
      <c r="T51" s="55"/>
      <c r="U51" s="55" t="s">
        <v>240</v>
      </c>
      <c r="V51" s="55" t="s">
        <v>1503</v>
      </c>
      <c r="W51" s="55" t="s">
        <v>1500</v>
      </c>
      <c r="X51" s="4"/>
      <c r="Y51" s="4"/>
      <c r="Z51" s="4"/>
    </row>
    <row r="52" customFormat="false" ht="15.75" hidden="false" customHeight="true" outlineLevel="0" collapsed="false">
      <c r="A52" s="55" t="n">
        <v>1575</v>
      </c>
      <c r="B52" s="55" t="s">
        <v>425</v>
      </c>
      <c r="C52" s="55" t="s">
        <v>426</v>
      </c>
      <c r="D52" s="55" t="s">
        <v>1761</v>
      </c>
      <c r="E52" s="55" t="s">
        <v>1761</v>
      </c>
      <c r="F52" s="55" t="s">
        <v>1194</v>
      </c>
      <c r="G52" s="55" t="s">
        <v>1195</v>
      </c>
      <c r="H52" s="55" t="s">
        <v>1248</v>
      </c>
      <c r="I52" s="55" t="s">
        <v>420</v>
      </c>
      <c r="J52" s="55" t="s">
        <v>1762</v>
      </c>
      <c r="K52" s="55" t="s">
        <v>427</v>
      </c>
      <c r="L52" s="55" t="n">
        <v>0.375</v>
      </c>
      <c r="M52" s="55" t="n">
        <v>0.375</v>
      </c>
      <c r="N52" s="55" t="s">
        <v>141</v>
      </c>
      <c r="O52" s="57"/>
      <c r="P52" s="55"/>
      <c r="Q52" s="55"/>
      <c r="R52" s="55" t="n">
        <v>26</v>
      </c>
      <c r="S52" s="55" t="n">
        <v>145</v>
      </c>
      <c r="T52" s="55"/>
      <c r="U52" s="55" t="s">
        <v>426</v>
      </c>
      <c r="V52" s="55" t="s">
        <v>1763</v>
      </c>
      <c r="W52" s="55" t="s">
        <v>1500</v>
      </c>
      <c r="X52" s="4"/>
      <c r="Y52" s="4"/>
      <c r="Z52" s="4"/>
    </row>
    <row r="53" customFormat="false" ht="15.75" hidden="false" customHeight="true" outlineLevel="0" collapsed="false">
      <c r="A53" s="55" t="n">
        <v>1576</v>
      </c>
      <c r="B53" s="55" t="s">
        <v>428</v>
      </c>
      <c r="C53" s="55" t="s">
        <v>429</v>
      </c>
      <c r="D53" s="55" t="s">
        <v>1707</v>
      </c>
      <c r="E53" s="55" t="s">
        <v>1707</v>
      </c>
      <c r="F53" s="55" t="s">
        <v>1194</v>
      </c>
      <c r="G53" s="55" t="s">
        <v>1195</v>
      </c>
      <c r="H53" s="55" t="s">
        <v>1248</v>
      </c>
      <c r="I53" s="55" t="s">
        <v>420</v>
      </c>
      <c r="J53" s="55" t="s">
        <v>1708</v>
      </c>
      <c r="K53" s="55" t="s">
        <v>430</v>
      </c>
      <c r="L53" s="55" t="n">
        <v>0.6875</v>
      </c>
      <c r="M53" s="55" t="n">
        <v>1.5</v>
      </c>
      <c r="N53" s="55" t="s">
        <v>141</v>
      </c>
      <c r="O53" s="57"/>
      <c r="P53" s="55"/>
      <c r="Q53" s="55"/>
      <c r="R53" s="55" t="n">
        <v>26</v>
      </c>
      <c r="S53" s="55" t="n">
        <v>161</v>
      </c>
      <c r="T53" s="55"/>
      <c r="U53" s="55" t="s">
        <v>429</v>
      </c>
      <c r="V53" s="55" t="s">
        <v>1709</v>
      </c>
      <c r="W53" s="55" t="s">
        <v>1500</v>
      </c>
      <c r="X53" s="4"/>
      <c r="Y53" s="4"/>
      <c r="Z53" s="4"/>
    </row>
    <row r="54" customFormat="false" ht="15.75" hidden="false" customHeight="true" outlineLevel="0" collapsed="false">
      <c r="A54" s="55" t="n">
        <v>1577</v>
      </c>
      <c r="B54" s="55" t="s">
        <v>377</v>
      </c>
      <c r="C54" s="55" t="s">
        <v>378</v>
      </c>
      <c r="D54" s="55" t="s">
        <v>1710</v>
      </c>
      <c r="E54" s="55" t="s">
        <v>1710</v>
      </c>
      <c r="F54" s="55" t="s">
        <v>1194</v>
      </c>
      <c r="G54" s="55" t="s">
        <v>1195</v>
      </c>
      <c r="H54" s="55" t="s">
        <v>1248</v>
      </c>
      <c r="I54" s="55" t="s">
        <v>379</v>
      </c>
      <c r="J54" s="55" t="s">
        <v>1711</v>
      </c>
      <c r="K54" s="55" t="s">
        <v>284</v>
      </c>
      <c r="L54" s="55" t="n">
        <v>0.75</v>
      </c>
      <c r="M54" s="55" t="n">
        <v>2.5</v>
      </c>
      <c r="N54" s="55" t="s">
        <v>141</v>
      </c>
      <c r="O54" s="57"/>
      <c r="P54" s="55"/>
      <c r="Q54" s="55"/>
      <c r="R54" s="55" t="n">
        <v>20</v>
      </c>
      <c r="S54" s="55" t="n">
        <v>240</v>
      </c>
      <c r="T54" s="55"/>
      <c r="U54" s="55" t="s">
        <v>378</v>
      </c>
      <c r="V54" s="55" t="s">
        <v>1712</v>
      </c>
      <c r="W54" s="55" t="s">
        <v>1500</v>
      </c>
      <c r="X54" s="4"/>
      <c r="Y54" s="4"/>
      <c r="Z54" s="4"/>
    </row>
    <row r="55" customFormat="false" ht="15.75" hidden="false" customHeight="true" outlineLevel="0" collapsed="false">
      <c r="A55" s="55" t="n">
        <v>1578</v>
      </c>
      <c r="B55" s="55" t="s">
        <v>272</v>
      </c>
      <c r="C55" s="55" t="s">
        <v>273</v>
      </c>
      <c r="D55" s="55" t="s">
        <v>1713</v>
      </c>
      <c r="E55" s="55" t="s">
        <v>1713</v>
      </c>
      <c r="F55" s="55" t="s">
        <v>1194</v>
      </c>
      <c r="G55" s="55" t="s">
        <v>1195</v>
      </c>
      <c r="H55" s="55" t="s">
        <v>1248</v>
      </c>
      <c r="I55" s="55" t="s">
        <v>274</v>
      </c>
      <c r="J55" s="55" t="s">
        <v>1714</v>
      </c>
      <c r="K55" s="55" t="s">
        <v>275</v>
      </c>
      <c r="L55" s="55" t="n">
        <v>1.25</v>
      </c>
      <c r="M55" s="55" t="n">
        <v>1.625</v>
      </c>
      <c r="N55" s="55" t="s">
        <v>141</v>
      </c>
      <c r="O55" s="57"/>
      <c r="P55" s="55"/>
      <c r="Q55" s="55"/>
      <c r="R55" s="55" t="n">
        <v>24</v>
      </c>
      <c r="S55" s="55" t="n">
        <v>76</v>
      </c>
      <c r="T55" s="55"/>
      <c r="U55" s="55" t="s">
        <v>273</v>
      </c>
      <c r="V55" s="55" t="s">
        <v>1503</v>
      </c>
      <c r="W55" s="55" t="s">
        <v>1500</v>
      </c>
      <c r="X55" s="4"/>
      <c r="Y55" s="4"/>
      <c r="Z55" s="4"/>
    </row>
    <row r="56" customFormat="false" ht="15.75" hidden="false" customHeight="true" outlineLevel="0" collapsed="false">
      <c r="A56" s="55" t="n">
        <v>1579</v>
      </c>
      <c r="B56" s="55" t="s">
        <v>276</v>
      </c>
      <c r="C56" s="55" t="s">
        <v>277</v>
      </c>
      <c r="D56" s="55" t="s">
        <v>1715</v>
      </c>
      <c r="E56" s="55" t="s">
        <v>1715</v>
      </c>
      <c r="F56" s="55" t="s">
        <v>1194</v>
      </c>
      <c r="G56" s="55" t="s">
        <v>1195</v>
      </c>
      <c r="H56" s="55" t="s">
        <v>1248</v>
      </c>
      <c r="I56" s="55" t="s">
        <v>274</v>
      </c>
      <c r="J56" s="55" t="s">
        <v>1716</v>
      </c>
      <c r="K56" s="55" t="s">
        <v>278</v>
      </c>
      <c r="L56" s="55" t="n">
        <v>1.25</v>
      </c>
      <c r="M56" s="55" t="n">
        <v>2</v>
      </c>
      <c r="N56" s="55" t="s">
        <v>141</v>
      </c>
      <c r="O56" s="57"/>
      <c r="P56" s="55"/>
      <c r="Q56" s="55"/>
      <c r="R56" s="55" t="n">
        <v>24</v>
      </c>
      <c r="S56" s="55" t="n">
        <v>89</v>
      </c>
      <c r="T56" s="55"/>
      <c r="U56" s="55" t="s">
        <v>277</v>
      </c>
      <c r="V56" s="55" t="s">
        <v>1503</v>
      </c>
      <c r="W56" s="55" t="s">
        <v>1500</v>
      </c>
      <c r="X56" s="4"/>
      <c r="Y56" s="4"/>
      <c r="Z56" s="4"/>
    </row>
    <row r="57" customFormat="false" ht="15.75" hidden="false" customHeight="true" outlineLevel="0" collapsed="false">
      <c r="A57" s="55" t="n">
        <v>1580</v>
      </c>
      <c r="B57" s="55" t="s">
        <v>242</v>
      </c>
      <c r="C57" s="55" t="s">
        <v>243</v>
      </c>
      <c r="D57" s="55" t="s">
        <v>1717</v>
      </c>
      <c r="E57" s="55" t="s">
        <v>1717</v>
      </c>
      <c r="F57" s="55" t="s">
        <v>1194</v>
      </c>
      <c r="G57" s="55" t="s">
        <v>1195</v>
      </c>
      <c r="H57" s="55" t="s">
        <v>1248</v>
      </c>
      <c r="I57" s="55" t="s">
        <v>244</v>
      </c>
      <c r="J57" s="55" t="s">
        <v>1718</v>
      </c>
      <c r="K57" s="55" t="s">
        <v>245</v>
      </c>
      <c r="L57" s="55" t="n">
        <v>0.3125</v>
      </c>
      <c r="M57" s="55" t="n">
        <v>1.25</v>
      </c>
      <c r="N57" s="55" t="s">
        <v>141</v>
      </c>
      <c r="O57" s="57"/>
      <c r="P57" s="55"/>
      <c r="Q57" s="55"/>
      <c r="R57" s="55" t="n">
        <v>34</v>
      </c>
      <c r="S57" s="55" t="n">
        <v>69</v>
      </c>
      <c r="T57" s="55"/>
      <c r="U57" s="55" t="s">
        <v>243</v>
      </c>
      <c r="V57" s="55" t="s">
        <v>1719</v>
      </c>
      <c r="W57" s="55" t="s">
        <v>1500</v>
      </c>
      <c r="X57" s="4"/>
      <c r="Y57" s="4"/>
      <c r="Z57" s="4"/>
    </row>
    <row r="58" customFormat="false" ht="15.75" hidden="false" customHeight="true" outlineLevel="0" collapsed="false">
      <c r="A58" s="55" t="n">
        <v>1581</v>
      </c>
      <c r="B58" s="55" t="s">
        <v>246</v>
      </c>
      <c r="C58" s="55" t="s">
        <v>247</v>
      </c>
      <c r="D58" s="55" t="s">
        <v>2479</v>
      </c>
      <c r="E58" s="55"/>
      <c r="F58" s="55" t="s">
        <v>1194</v>
      </c>
      <c r="G58" s="55" t="s">
        <v>1194</v>
      </c>
      <c r="H58" s="55" t="s">
        <v>1248</v>
      </c>
      <c r="I58" s="55" t="s">
        <v>244</v>
      </c>
      <c r="J58" s="55" t="s">
        <v>2480</v>
      </c>
      <c r="K58" s="55" t="s">
        <v>245</v>
      </c>
      <c r="L58" s="55" t="n">
        <v>0.3125</v>
      </c>
      <c r="M58" s="55" t="n">
        <v>1.25</v>
      </c>
      <c r="N58" s="55" t="s">
        <v>141</v>
      </c>
      <c r="O58" s="57"/>
      <c r="P58" s="55"/>
      <c r="Q58" s="55"/>
      <c r="R58" s="55" t="n">
        <v>26</v>
      </c>
      <c r="S58" s="55" t="n">
        <v>65</v>
      </c>
      <c r="T58" s="55"/>
      <c r="U58" s="55"/>
      <c r="V58" s="55"/>
      <c r="W58" s="58" t="s">
        <v>2454</v>
      </c>
      <c r="X58" s="4"/>
      <c r="Y58" s="4"/>
      <c r="Z58" s="4"/>
    </row>
    <row r="59" customFormat="false" ht="15.75" hidden="false" customHeight="true" outlineLevel="0" collapsed="false">
      <c r="A59" s="55" t="n">
        <v>1582</v>
      </c>
      <c r="B59" s="55" t="s">
        <v>248</v>
      </c>
      <c r="C59" s="55" t="s">
        <v>249</v>
      </c>
      <c r="D59" s="55" t="s">
        <v>1720</v>
      </c>
      <c r="E59" s="55" t="s">
        <v>1720</v>
      </c>
      <c r="F59" s="55" t="s">
        <v>1194</v>
      </c>
      <c r="G59" s="55" t="s">
        <v>1195</v>
      </c>
      <c r="H59" s="55" t="s">
        <v>1248</v>
      </c>
      <c r="I59" s="55" t="s">
        <v>244</v>
      </c>
      <c r="J59" s="55" t="s">
        <v>1721</v>
      </c>
      <c r="K59" s="55" t="s">
        <v>245</v>
      </c>
      <c r="L59" s="55" t="n">
        <v>0.3125</v>
      </c>
      <c r="M59" s="55" t="n">
        <v>1.25</v>
      </c>
      <c r="N59" s="55" t="s">
        <v>141</v>
      </c>
      <c r="O59" s="57"/>
      <c r="P59" s="55"/>
      <c r="Q59" s="55"/>
      <c r="R59" s="55" t="n">
        <v>26</v>
      </c>
      <c r="S59" s="55" t="n">
        <v>54</v>
      </c>
      <c r="T59" s="55"/>
      <c r="U59" s="55" t="s">
        <v>249</v>
      </c>
      <c r="V59" s="55" t="s">
        <v>1722</v>
      </c>
      <c r="W59" s="55" t="s">
        <v>1500</v>
      </c>
      <c r="X59" s="4"/>
      <c r="Y59" s="4"/>
      <c r="Z59" s="4"/>
    </row>
    <row r="60" customFormat="false" ht="15.75" hidden="false" customHeight="true" outlineLevel="0" collapsed="false">
      <c r="A60" s="55" t="n">
        <v>1583</v>
      </c>
      <c r="B60" s="55" t="s">
        <v>250</v>
      </c>
      <c r="C60" s="55" t="s">
        <v>251</v>
      </c>
      <c r="D60" s="55" t="s">
        <v>1723</v>
      </c>
      <c r="E60" s="55" t="s">
        <v>1723</v>
      </c>
      <c r="F60" s="55" t="s">
        <v>1194</v>
      </c>
      <c r="G60" s="55" t="s">
        <v>1195</v>
      </c>
      <c r="H60" s="55" t="s">
        <v>1248</v>
      </c>
      <c r="I60" s="55" t="s">
        <v>244</v>
      </c>
      <c r="J60" s="55" t="s">
        <v>1724</v>
      </c>
      <c r="K60" s="55" t="s">
        <v>252</v>
      </c>
      <c r="L60" s="55" t="n">
        <v>0.3125</v>
      </c>
      <c r="M60" s="55" t="n">
        <v>1.625</v>
      </c>
      <c r="N60" s="55" t="s">
        <v>141</v>
      </c>
      <c r="O60" s="57"/>
      <c r="P60" s="55"/>
      <c r="Q60" s="55"/>
      <c r="R60" s="55" t="n">
        <v>26</v>
      </c>
      <c r="S60" s="55" t="n">
        <v>69</v>
      </c>
      <c r="T60" s="55"/>
      <c r="U60" s="55" t="s">
        <v>251</v>
      </c>
      <c r="V60" s="55" t="s">
        <v>1725</v>
      </c>
      <c r="W60" s="55" t="s">
        <v>1500</v>
      </c>
      <c r="X60" s="4"/>
      <c r="Y60" s="4"/>
      <c r="Z60" s="4"/>
    </row>
    <row r="61" customFormat="false" ht="15.75" hidden="false" customHeight="true" outlineLevel="0" collapsed="false">
      <c r="A61" s="55" t="n">
        <v>1584</v>
      </c>
      <c r="B61" s="55" t="s">
        <v>253</v>
      </c>
      <c r="C61" s="55" t="s">
        <v>254</v>
      </c>
      <c r="D61" s="55" t="s">
        <v>2485</v>
      </c>
      <c r="E61" s="55"/>
      <c r="F61" s="55" t="s">
        <v>1194</v>
      </c>
      <c r="G61" s="55" t="s">
        <v>1194</v>
      </c>
      <c r="H61" s="55" t="s">
        <v>1248</v>
      </c>
      <c r="I61" s="55" t="s">
        <v>244</v>
      </c>
      <c r="J61" s="55" t="s">
        <v>2486</v>
      </c>
      <c r="K61" s="55" t="s">
        <v>255</v>
      </c>
      <c r="L61" s="55" t="n">
        <v>0.3125</v>
      </c>
      <c r="M61" s="55" t="n">
        <v>2</v>
      </c>
      <c r="N61" s="55" t="s">
        <v>141</v>
      </c>
      <c r="O61" s="57"/>
      <c r="P61" s="55"/>
      <c r="Q61" s="55"/>
      <c r="R61" s="55" t="n">
        <v>26</v>
      </c>
      <c r="S61" s="55" t="n">
        <v>41</v>
      </c>
      <c r="T61" s="55"/>
      <c r="U61" s="55"/>
      <c r="V61" s="55"/>
      <c r="W61" s="58" t="s">
        <v>2454</v>
      </c>
      <c r="X61" s="4"/>
      <c r="Y61" s="4"/>
      <c r="Z61" s="4"/>
    </row>
    <row r="62" customFormat="false" ht="15.75" hidden="false" customHeight="true" outlineLevel="0" collapsed="false">
      <c r="A62" s="55" t="n">
        <v>1585</v>
      </c>
      <c r="B62" s="55" t="s">
        <v>256</v>
      </c>
      <c r="C62" s="55" t="s">
        <v>257</v>
      </c>
      <c r="D62" s="55" t="s">
        <v>1726</v>
      </c>
      <c r="E62" s="55" t="s">
        <v>1726</v>
      </c>
      <c r="F62" s="55" t="s">
        <v>1194</v>
      </c>
      <c r="G62" s="55" t="s">
        <v>1195</v>
      </c>
      <c r="H62" s="55" t="s">
        <v>1248</v>
      </c>
      <c r="I62" s="55" t="s">
        <v>258</v>
      </c>
      <c r="J62" s="55" t="s">
        <v>1727</v>
      </c>
      <c r="K62" s="55" t="s">
        <v>259</v>
      </c>
      <c r="L62" s="55" t="n">
        <v>0.75</v>
      </c>
      <c r="M62" s="55" t="n">
        <v>1.125</v>
      </c>
      <c r="N62" s="55" t="s">
        <v>141</v>
      </c>
      <c r="O62" s="57"/>
      <c r="P62" s="55"/>
      <c r="Q62" s="55"/>
      <c r="R62" s="55" t="n">
        <v>65</v>
      </c>
      <c r="S62" s="55" t="n">
        <v>137</v>
      </c>
      <c r="T62" s="55"/>
      <c r="U62" s="55" t="s">
        <v>257</v>
      </c>
      <c r="V62" s="55" t="s">
        <v>1503</v>
      </c>
      <c r="W62" s="55" t="s">
        <v>1500</v>
      </c>
      <c r="X62" s="4"/>
      <c r="Y62" s="4"/>
      <c r="Z62" s="4"/>
    </row>
    <row r="63" customFormat="false" ht="15.75" hidden="false" customHeight="true" outlineLevel="0" collapsed="false">
      <c r="A63" s="55" t="n">
        <v>1586</v>
      </c>
      <c r="B63" s="55" t="s">
        <v>163</v>
      </c>
      <c r="C63" s="55" t="s">
        <v>164</v>
      </c>
      <c r="D63" s="55" t="s">
        <v>1728</v>
      </c>
      <c r="E63" s="55" t="s">
        <v>1728</v>
      </c>
      <c r="F63" s="55" t="s">
        <v>1194</v>
      </c>
      <c r="G63" s="55" t="s">
        <v>1195</v>
      </c>
      <c r="H63" s="55" t="s">
        <v>1248</v>
      </c>
      <c r="I63" s="55" t="s">
        <v>145</v>
      </c>
      <c r="J63" s="55" t="s">
        <v>1729</v>
      </c>
      <c r="K63" s="55" t="s">
        <v>165</v>
      </c>
      <c r="L63" s="55" t="n">
        <v>1.125</v>
      </c>
      <c r="M63" s="55" t="n">
        <v>1.375</v>
      </c>
      <c r="N63" s="55" t="s">
        <v>141</v>
      </c>
      <c r="O63" s="57"/>
      <c r="P63" s="55"/>
      <c r="Q63" s="55"/>
      <c r="R63" s="55" t="n">
        <v>90</v>
      </c>
      <c r="S63" s="55" t="n">
        <v>496</v>
      </c>
      <c r="T63" s="55"/>
      <c r="U63" s="55" t="s">
        <v>1730</v>
      </c>
      <c r="V63" s="55" t="s">
        <v>1731</v>
      </c>
      <c r="W63" s="55" t="s">
        <v>1500</v>
      </c>
      <c r="X63" s="4"/>
      <c r="Y63" s="4"/>
      <c r="Z63" s="4"/>
    </row>
    <row r="64" customFormat="false" ht="15.75" hidden="false" customHeight="true" outlineLevel="0" collapsed="false">
      <c r="A64" s="55" t="n">
        <v>1587</v>
      </c>
      <c r="B64" s="55" t="s">
        <v>260</v>
      </c>
      <c r="C64" s="55" t="s">
        <v>261</v>
      </c>
      <c r="D64" s="55" t="s">
        <v>2483</v>
      </c>
      <c r="E64" s="55"/>
      <c r="F64" s="55" t="s">
        <v>1194</v>
      </c>
      <c r="G64" s="55" t="s">
        <v>1194</v>
      </c>
      <c r="H64" s="55" t="s">
        <v>1248</v>
      </c>
      <c r="I64" s="55" t="s">
        <v>258</v>
      </c>
      <c r="J64" s="55" t="s">
        <v>2484</v>
      </c>
      <c r="K64" s="55" t="s">
        <v>262</v>
      </c>
      <c r="L64" s="55" t="n">
        <v>0.75</v>
      </c>
      <c r="M64" s="55" t="n">
        <v>1.625</v>
      </c>
      <c r="N64" s="55" t="s">
        <v>141</v>
      </c>
      <c r="O64" s="57"/>
      <c r="P64" s="55"/>
      <c r="Q64" s="55"/>
      <c r="R64" s="55" t="n">
        <v>65</v>
      </c>
      <c r="S64" s="55" t="n">
        <v>156</v>
      </c>
      <c r="T64" s="55"/>
      <c r="U64" s="55"/>
      <c r="V64" s="55"/>
      <c r="W64" s="58" t="s">
        <v>2454</v>
      </c>
      <c r="X64" s="4"/>
      <c r="Y64" s="4"/>
      <c r="Z64" s="4"/>
    </row>
    <row r="65" customFormat="false" ht="15.75" hidden="false" customHeight="true" outlineLevel="0" collapsed="false">
      <c r="A65" s="55" t="n">
        <v>1588</v>
      </c>
      <c r="B65" s="55" t="s">
        <v>263</v>
      </c>
      <c r="C65" s="55" t="s">
        <v>264</v>
      </c>
      <c r="D65" s="55" t="s">
        <v>1732</v>
      </c>
      <c r="E65" s="55" t="s">
        <v>1732</v>
      </c>
      <c r="F65" s="55" t="s">
        <v>1194</v>
      </c>
      <c r="G65" s="55" t="s">
        <v>1195</v>
      </c>
      <c r="H65" s="55" t="s">
        <v>1248</v>
      </c>
      <c r="I65" s="55" t="s">
        <v>258</v>
      </c>
      <c r="J65" s="55" t="s">
        <v>1733</v>
      </c>
      <c r="K65" s="55" t="s">
        <v>265</v>
      </c>
      <c r="L65" s="55" t="n">
        <v>1.625</v>
      </c>
      <c r="M65" s="55" t="n">
        <v>2.25</v>
      </c>
      <c r="N65" s="55" t="s">
        <v>141</v>
      </c>
      <c r="O65" s="57"/>
      <c r="P65" s="55"/>
      <c r="Q65" s="55"/>
      <c r="R65" s="55" t="n">
        <v>52</v>
      </c>
      <c r="S65" s="55" t="n">
        <v>256</v>
      </c>
      <c r="T65" s="55"/>
      <c r="U65" s="55" t="s">
        <v>264</v>
      </c>
      <c r="V65" s="55" t="s">
        <v>1503</v>
      </c>
      <c r="W65" s="55" t="s">
        <v>1500</v>
      </c>
      <c r="X65" s="4"/>
      <c r="Y65" s="4"/>
      <c r="Z65" s="4"/>
    </row>
    <row r="66" customFormat="false" ht="15.75" hidden="false" customHeight="true" outlineLevel="0" collapsed="false">
      <c r="A66" s="55" t="n">
        <v>1589</v>
      </c>
      <c r="B66" s="55" t="s">
        <v>266</v>
      </c>
      <c r="C66" s="55" t="s">
        <v>267</v>
      </c>
      <c r="D66" s="55" t="s">
        <v>1734</v>
      </c>
      <c r="E66" s="55" t="s">
        <v>1734</v>
      </c>
      <c r="F66" s="55" t="s">
        <v>1194</v>
      </c>
      <c r="G66" s="55" t="s">
        <v>1195</v>
      </c>
      <c r="H66" s="55" t="s">
        <v>1248</v>
      </c>
      <c r="I66" s="55" t="s">
        <v>258</v>
      </c>
      <c r="J66" s="55" t="s">
        <v>1735</v>
      </c>
      <c r="K66" s="55" t="s">
        <v>268</v>
      </c>
      <c r="L66" s="55" t="n">
        <v>1.25</v>
      </c>
      <c r="M66" s="55" t="n">
        <v>2.25</v>
      </c>
      <c r="N66" s="55" t="s">
        <v>141</v>
      </c>
      <c r="O66" s="57"/>
      <c r="P66" s="55"/>
      <c r="Q66" s="55"/>
      <c r="R66" s="55" t="n">
        <v>52</v>
      </c>
      <c r="S66" s="55" t="n">
        <v>131</v>
      </c>
      <c r="T66" s="55"/>
      <c r="U66" s="55" t="s">
        <v>267</v>
      </c>
      <c r="V66" s="55" t="s">
        <v>1503</v>
      </c>
      <c r="W66" s="55" t="s">
        <v>1500</v>
      </c>
      <c r="X66" s="4"/>
      <c r="Y66" s="4"/>
      <c r="Z66" s="4"/>
    </row>
    <row r="67" customFormat="false" ht="15.75" hidden="false" customHeight="true" outlineLevel="0" collapsed="false">
      <c r="A67" s="55" t="n">
        <v>1590</v>
      </c>
      <c r="B67" s="55" t="s">
        <v>299</v>
      </c>
      <c r="C67" s="55" t="s">
        <v>300</v>
      </c>
      <c r="D67" s="55" t="s">
        <v>1740</v>
      </c>
      <c r="E67" s="55" t="s">
        <v>1740</v>
      </c>
      <c r="F67" s="55" t="s">
        <v>1194</v>
      </c>
      <c r="G67" s="55" t="s">
        <v>1195</v>
      </c>
      <c r="H67" s="55" t="s">
        <v>1248</v>
      </c>
      <c r="I67" s="55" t="s">
        <v>274</v>
      </c>
      <c r="J67" s="55" t="s">
        <v>1741</v>
      </c>
      <c r="K67" s="55" t="s">
        <v>296</v>
      </c>
      <c r="L67" s="55" t="n">
        <v>0.75</v>
      </c>
      <c r="M67" s="55" t="n">
        <v>2.75</v>
      </c>
      <c r="N67" s="55" t="s">
        <v>141</v>
      </c>
      <c r="O67" s="57"/>
      <c r="P67" s="55"/>
      <c r="Q67" s="55"/>
      <c r="R67" s="55" t="n">
        <v>63</v>
      </c>
      <c r="S67" s="55" t="n">
        <v>62</v>
      </c>
      <c r="T67" s="55"/>
      <c r="U67" s="55" t="s">
        <v>300</v>
      </c>
      <c r="V67" s="55" t="s">
        <v>1742</v>
      </c>
      <c r="W67" s="55" t="s">
        <v>1500</v>
      </c>
      <c r="X67" s="4"/>
      <c r="Y67" s="4"/>
      <c r="Z67" s="4"/>
    </row>
    <row r="68" customFormat="false" ht="15.75" hidden="false" customHeight="true" outlineLevel="0" collapsed="false">
      <c r="A68" s="55" t="n">
        <v>1591</v>
      </c>
      <c r="B68" s="55" t="s">
        <v>301</v>
      </c>
      <c r="C68" s="55" t="s">
        <v>302</v>
      </c>
      <c r="D68" s="55" t="s">
        <v>2481</v>
      </c>
      <c r="E68" s="55"/>
      <c r="F68" s="55" t="s">
        <v>1194</v>
      </c>
      <c r="G68" s="55" t="s">
        <v>1194</v>
      </c>
      <c r="H68" s="55" t="s">
        <v>1248</v>
      </c>
      <c r="I68" s="55" t="s">
        <v>274</v>
      </c>
      <c r="J68" s="55" t="s">
        <v>2482</v>
      </c>
      <c r="K68" s="55" t="s">
        <v>296</v>
      </c>
      <c r="L68" s="55" t="n">
        <v>0.75</v>
      </c>
      <c r="M68" s="55" t="n">
        <v>2.75</v>
      </c>
      <c r="N68" s="55" t="s">
        <v>141</v>
      </c>
      <c r="O68" s="57"/>
      <c r="P68" s="55"/>
      <c r="Q68" s="55"/>
      <c r="R68" s="55" t="n">
        <v>64</v>
      </c>
      <c r="S68" s="55" t="n">
        <v>48</v>
      </c>
      <c r="T68" s="55"/>
      <c r="U68" s="55"/>
      <c r="V68" s="55"/>
      <c r="W68" s="58" t="s">
        <v>2454</v>
      </c>
      <c r="X68" s="4"/>
      <c r="Y68" s="4"/>
      <c r="Z68" s="4"/>
    </row>
    <row r="69" customFormat="false" ht="15.75" hidden="false" customHeight="true" outlineLevel="0" collapsed="false">
      <c r="A69" s="55" t="n">
        <v>1592</v>
      </c>
      <c r="B69" s="55" t="s">
        <v>51</v>
      </c>
      <c r="C69" s="55" t="s">
        <v>2878</v>
      </c>
      <c r="D69" s="55" t="s">
        <v>2879</v>
      </c>
      <c r="E69" s="55" t="s">
        <v>2879</v>
      </c>
      <c r="F69" s="55" t="s">
        <v>1194</v>
      </c>
      <c r="G69" s="55" t="s">
        <v>1195</v>
      </c>
      <c r="H69" s="55" t="s">
        <v>1248</v>
      </c>
      <c r="I69" s="55" t="s">
        <v>274</v>
      </c>
      <c r="J69" s="55" t="s">
        <v>2880</v>
      </c>
      <c r="K69" s="55" t="s">
        <v>296</v>
      </c>
      <c r="L69" s="55" t="n">
        <v>0.75</v>
      </c>
      <c r="M69" s="55" t="n">
        <v>2.75</v>
      </c>
      <c r="N69" s="55" t="s">
        <v>2881</v>
      </c>
      <c r="O69" s="55" t="s">
        <v>1270</v>
      </c>
      <c r="P69" s="55"/>
      <c r="Q69" s="55"/>
      <c r="R69" s="55" t="n">
        <v>83</v>
      </c>
      <c r="S69" s="55" t="n">
        <v>599</v>
      </c>
      <c r="T69" s="55"/>
      <c r="U69" s="55" t="s">
        <v>2882</v>
      </c>
      <c r="V69" s="55" t="s">
        <v>2883</v>
      </c>
      <c r="W69" s="55"/>
      <c r="X69" s="4"/>
      <c r="Y69" s="4"/>
      <c r="Z69" s="4"/>
    </row>
    <row r="70" customFormat="false" ht="15.75" hidden="false" customHeight="true" outlineLevel="0" collapsed="false">
      <c r="A70" s="55" t="n">
        <v>1593</v>
      </c>
      <c r="B70" s="55" t="s">
        <v>303</v>
      </c>
      <c r="C70" s="55" t="s">
        <v>304</v>
      </c>
      <c r="D70" s="55" t="s">
        <v>1743</v>
      </c>
      <c r="E70" s="55" t="s">
        <v>1743</v>
      </c>
      <c r="F70" s="55" t="s">
        <v>1194</v>
      </c>
      <c r="G70" s="55" t="s">
        <v>1195</v>
      </c>
      <c r="H70" s="55" t="s">
        <v>1248</v>
      </c>
      <c r="I70" s="55" t="s">
        <v>274</v>
      </c>
      <c r="J70" s="55" t="s">
        <v>1744</v>
      </c>
      <c r="K70" s="55" t="s">
        <v>296</v>
      </c>
      <c r="L70" s="55" t="n">
        <v>0.75</v>
      </c>
      <c r="M70" s="55" t="n">
        <v>2.75</v>
      </c>
      <c r="N70" s="55" t="s">
        <v>141</v>
      </c>
      <c r="O70" s="57"/>
      <c r="P70" s="55"/>
      <c r="Q70" s="55"/>
      <c r="R70" s="55" t="n">
        <v>69</v>
      </c>
      <c r="S70" s="55" t="n">
        <v>74</v>
      </c>
      <c r="T70" s="55"/>
      <c r="U70" s="55" t="s">
        <v>304</v>
      </c>
      <c r="V70" s="55" t="s">
        <v>1745</v>
      </c>
      <c r="W70" s="55" t="s">
        <v>1500</v>
      </c>
      <c r="X70" s="4"/>
      <c r="Y70" s="4"/>
      <c r="Z70" s="4"/>
    </row>
    <row r="71" customFormat="false" ht="15.75" hidden="false" customHeight="true" outlineLevel="0" collapsed="false">
      <c r="A71" s="55" t="n">
        <v>1594</v>
      </c>
      <c r="B71" s="55" t="s">
        <v>305</v>
      </c>
      <c r="C71" s="55" t="s">
        <v>306</v>
      </c>
      <c r="D71" s="55" t="s">
        <v>1746</v>
      </c>
      <c r="E71" s="55" t="s">
        <v>1746</v>
      </c>
      <c r="F71" s="55" t="s">
        <v>1194</v>
      </c>
      <c r="G71" s="55" t="s">
        <v>1195</v>
      </c>
      <c r="H71" s="55" t="s">
        <v>1248</v>
      </c>
      <c r="I71" s="55" t="s">
        <v>274</v>
      </c>
      <c r="J71" s="55" t="s">
        <v>1747</v>
      </c>
      <c r="K71" s="55" t="s">
        <v>296</v>
      </c>
      <c r="L71" s="55" t="n">
        <v>0.75</v>
      </c>
      <c r="M71" s="55" t="n">
        <v>2.75</v>
      </c>
      <c r="N71" s="55" t="s">
        <v>141</v>
      </c>
      <c r="O71" s="57"/>
      <c r="P71" s="55"/>
      <c r="Q71" s="55"/>
      <c r="R71" s="55" t="n">
        <v>59</v>
      </c>
      <c r="S71" s="55" t="n">
        <v>189</v>
      </c>
      <c r="T71" s="55"/>
      <c r="U71" s="55" t="s">
        <v>306</v>
      </c>
      <c r="V71" s="55" t="s">
        <v>1748</v>
      </c>
      <c r="W71" s="55" t="s">
        <v>1500</v>
      </c>
      <c r="X71" s="4"/>
      <c r="Y71" s="4"/>
      <c r="Z71" s="4"/>
    </row>
    <row r="72" customFormat="false" ht="15.75" hidden="false" customHeight="true" outlineLevel="0" collapsed="false">
      <c r="A72" s="55" t="n">
        <v>1595</v>
      </c>
      <c r="B72" s="55" t="s">
        <v>313</v>
      </c>
      <c r="C72" s="55" t="s">
        <v>314</v>
      </c>
      <c r="D72" s="55" t="s">
        <v>1749</v>
      </c>
      <c r="E72" s="55" t="s">
        <v>1749</v>
      </c>
      <c r="F72" s="55" t="s">
        <v>1194</v>
      </c>
      <c r="G72" s="55" t="s">
        <v>1195</v>
      </c>
      <c r="H72" s="55" t="s">
        <v>1248</v>
      </c>
      <c r="I72" s="55" t="s">
        <v>274</v>
      </c>
      <c r="J72" s="55" t="s">
        <v>1750</v>
      </c>
      <c r="K72" s="55" t="s">
        <v>312</v>
      </c>
      <c r="L72" s="55" t="n">
        <v>0.75</v>
      </c>
      <c r="M72" s="55" t="n">
        <v>3.5</v>
      </c>
      <c r="N72" s="55" t="s">
        <v>141</v>
      </c>
      <c r="O72" s="57"/>
      <c r="P72" s="55"/>
      <c r="Q72" s="55"/>
      <c r="R72" s="55" t="n">
        <v>82</v>
      </c>
      <c r="S72" s="55" t="n">
        <v>298</v>
      </c>
      <c r="T72" s="55"/>
      <c r="U72" s="55" t="s">
        <v>1751</v>
      </c>
      <c r="V72" s="55" t="s">
        <v>1752</v>
      </c>
      <c r="W72" s="55" t="s">
        <v>1500</v>
      </c>
      <c r="X72" s="4"/>
      <c r="Y72" s="4"/>
      <c r="Z72" s="4"/>
    </row>
    <row r="73" customFormat="false" ht="15.75" hidden="false" customHeight="true" outlineLevel="0" collapsed="false">
      <c r="A73" s="55" t="n">
        <v>1596</v>
      </c>
      <c r="B73" s="55" t="s">
        <v>315</v>
      </c>
      <c r="C73" s="55" t="s">
        <v>316</v>
      </c>
      <c r="D73" s="55" t="s">
        <v>1753</v>
      </c>
      <c r="E73" s="55" t="s">
        <v>1753</v>
      </c>
      <c r="F73" s="55" t="s">
        <v>1194</v>
      </c>
      <c r="G73" s="55" t="s">
        <v>1195</v>
      </c>
      <c r="H73" s="55" t="s">
        <v>1248</v>
      </c>
      <c r="I73" s="55" t="s">
        <v>274</v>
      </c>
      <c r="J73" s="55" t="s">
        <v>1754</v>
      </c>
      <c r="K73" s="55" t="s">
        <v>312</v>
      </c>
      <c r="L73" s="55" t="n">
        <v>0.75</v>
      </c>
      <c r="M73" s="55" t="n">
        <v>3.5</v>
      </c>
      <c r="N73" s="55" t="s">
        <v>141</v>
      </c>
      <c r="O73" s="57"/>
      <c r="P73" s="55"/>
      <c r="Q73" s="55"/>
      <c r="R73" s="55" t="n">
        <v>63</v>
      </c>
      <c r="S73" s="55" t="n">
        <v>86</v>
      </c>
      <c r="T73" s="55"/>
      <c r="U73" s="55" t="s">
        <v>316</v>
      </c>
      <c r="V73" s="55" t="s">
        <v>1503</v>
      </c>
      <c r="W73" s="55" t="s">
        <v>1500</v>
      </c>
      <c r="X73" s="4"/>
      <c r="Y73" s="4"/>
      <c r="Z73" s="4"/>
    </row>
    <row r="74" customFormat="false" ht="15.75" hidden="false" customHeight="true" outlineLevel="0" collapsed="false">
      <c r="A74" s="55" t="n">
        <v>1597</v>
      </c>
      <c r="B74" s="55" t="s">
        <v>317</v>
      </c>
      <c r="C74" s="55" t="s">
        <v>318</v>
      </c>
      <c r="D74" s="55" t="s">
        <v>1764</v>
      </c>
      <c r="E74" s="55" t="s">
        <v>1764</v>
      </c>
      <c r="F74" s="55" t="s">
        <v>1194</v>
      </c>
      <c r="G74" s="55" t="s">
        <v>1195</v>
      </c>
      <c r="H74" s="55" t="s">
        <v>1248</v>
      </c>
      <c r="I74" s="55" t="s">
        <v>274</v>
      </c>
      <c r="J74" s="55" t="s">
        <v>1765</v>
      </c>
      <c r="K74" s="55" t="s">
        <v>319</v>
      </c>
      <c r="L74" s="55" t="n">
        <v>0.75</v>
      </c>
      <c r="M74" s="55" t="n">
        <v>3.75</v>
      </c>
      <c r="N74" s="55" t="s">
        <v>141</v>
      </c>
      <c r="O74" s="57"/>
      <c r="P74" s="55"/>
      <c r="Q74" s="55"/>
      <c r="R74" s="55" t="n">
        <v>68</v>
      </c>
      <c r="S74" s="55" t="n">
        <v>90</v>
      </c>
      <c r="T74" s="55"/>
      <c r="U74" s="55" t="s">
        <v>318</v>
      </c>
      <c r="V74" s="55" t="s">
        <v>1766</v>
      </c>
      <c r="W74" s="55" t="s">
        <v>1500</v>
      </c>
      <c r="X74" s="4"/>
      <c r="Y74" s="4"/>
      <c r="Z74" s="4"/>
    </row>
    <row r="75" customFormat="false" ht="15.75" hidden="false" customHeight="true" outlineLevel="0" collapsed="false">
      <c r="A75" s="55" t="n">
        <v>1598</v>
      </c>
      <c r="B75" s="55" t="s">
        <v>320</v>
      </c>
      <c r="C75" s="55" t="s">
        <v>321</v>
      </c>
      <c r="D75" s="55" t="s">
        <v>1852</v>
      </c>
      <c r="E75" s="55" t="s">
        <v>1852</v>
      </c>
      <c r="F75" s="55" t="s">
        <v>1194</v>
      </c>
      <c r="G75" s="55" t="s">
        <v>1195</v>
      </c>
      <c r="H75" s="55" t="s">
        <v>1248</v>
      </c>
      <c r="I75" s="55" t="s">
        <v>274</v>
      </c>
      <c r="J75" s="55" t="s">
        <v>1853</v>
      </c>
      <c r="K75" s="55" t="s">
        <v>309</v>
      </c>
      <c r="L75" s="55" t="n">
        <v>0.75</v>
      </c>
      <c r="M75" s="55" t="n">
        <v>3.25</v>
      </c>
      <c r="N75" s="55" t="s">
        <v>141</v>
      </c>
      <c r="O75" s="57"/>
      <c r="P75" s="55"/>
      <c r="Q75" s="55"/>
      <c r="R75" s="55" t="n">
        <v>63</v>
      </c>
      <c r="S75" s="55" t="n">
        <v>72</v>
      </c>
      <c r="T75" s="55"/>
      <c r="U75" s="55" t="s">
        <v>321</v>
      </c>
      <c r="V75" s="55" t="s">
        <v>1854</v>
      </c>
      <c r="W75" s="55" t="s">
        <v>1500</v>
      </c>
      <c r="X75" s="4"/>
      <c r="Y75" s="4"/>
      <c r="Z75" s="4"/>
    </row>
    <row r="76" customFormat="false" ht="15.75" hidden="false" customHeight="true" outlineLevel="0" collapsed="false">
      <c r="A76" s="55" t="n">
        <v>1599</v>
      </c>
      <c r="B76" s="55" t="s">
        <v>322</v>
      </c>
      <c r="C76" s="55" t="s">
        <v>323</v>
      </c>
      <c r="D76" s="55" t="s">
        <v>1915</v>
      </c>
      <c r="E76" s="55" t="s">
        <v>1915</v>
      </c>
      <c r="F76" s="55" t="s">
        <v>1194</v>
      </c>
      <c r="G76" s="55" t="s">
        <v>1195</v>
      </c>
      <c r="H76" s="55" t="s">
        <v>1248</v>
      </c>
      <c r="I76" s="55" t="s">
        <v>274</v>
      </c>
      <c r="J76" s="55" t="s">
        <v>1916</v>
      </c>
      <c r="K76" s="55" t="s">
        <v>312</v>
      </c>
      <c r="L76" s="55" t="n">
        <v>0.75</v>
      </c>
      <c r="M76" s="55" t="n">
        <v>3.5</v>
      </c>
      <c r="N76" s="55" t="s">
        <v>141</v>
      </c>
      <c r="O76" s="57"/>
      <c r="P76" s="55"/>
      <c r="Q76" s="55"/>
      <c r="R76" s="55" t="n">
        <v>131</v>
      </c>
      <c r="S76" s="55" t="n">
        <v>220</v>
      </c>
      <c r="T76" s="55"/>
      <c r="U76" s="55" t="s">
        <v>1917</v>
      </c>
      <c r="V76" s="55" t="s">
        <v>1918</v>
      </c>
      <c r="W76" s="55" t="s">
        <v>1500</v>
      </c>
      <c r="X76" s="4"/>
      <c r="Y76" s="4"/>
      <c r="Z76" s="4"/>
    </row>
    <row r="77" customFormat="false" ht="15.75" hidden="false" customHeight="true" outlineLevel="0" collapsed="false">
      <c r="A77" s="55" t="n">
        <v>1600</v>
      </c>
      <c r="B77" s="55" t="s">
        <v>324</v>
      </c>
      <c r="C77" s="55" t="s">
        <v>325</v>
      </c>
      <c r="D77" s="55" t="s">
        <v>1855</v>
      </c>
      <c r="E77" s="55" t="s">
        <v>1855</v>
      </c>
      <c r="F77" s="55" t="s">
        <v>1194</v>
      </c>
      <c r="G77" s="55" t="s">
        <v>1195</v>
      </c>
      <c r="H77" s="55" t="s">
        <v>1248</v>
      </c>
      <c r="I77" s="55" t="s">
        <v>274</v>
      </c>
      <c r="J77" s="55" t="s">
        <v>1856</v>
      </c>
      <c r="K77" s="55" t="s">
        <v>309</v>
      </c>
      <c r="L77" s="55" t="n">
        <v>0.75</v>
      </c>
      <c r="M77" s="55" t="n">
        <v>3.25</v>
      </c>
      <c r="N77" s="55" t="s">
        <v>326</v>
      </c>
      <c r="O77" s="57"/>
      <c r="P77" s="55"/>
      <c r="Q77" s="55"/>
      <c r="R77" s="55" t="n">
        <v>69</v>
      </c>
      <c r="S77" s="55" t="n">
        <v>96</v>
      </c>
      <c r="T77" s="55"/>
      <c r="U77" s="55" t="s">
        <v>1857</v>
      </c>
      <c r="V77" s="55" t="s">
        <v>1858</v>
      </c>
      <c r="W77" s="55" t="s">
        <v>1500</v>
      </c>
      <c r="X77" s="4"/>
      <c r="Y77" s="4"/>
      <c r="Z77" s="4"/>
    </row>
    <row r="78" customFormat="false" ht="15.75" hidden="false" customHeight="true" outlineLevel="0" collapsed="false">
      <c r="A78" s="55" t="n">
        <v>1601</v>
      </c>
      <c r="B78" s="55" t="s">
        <v>327</v>
      </c>
      <c r="C78" s="55" t="s">
        <v>328</v>
      </c>
      <c r="D78" s="55" t="s">
        <v>1925</v>
      </c>
      <c r="E78" s="55" t="s">
        <v>1925</v>
      </c>
      <c r="F78" s="55" t="s">
        <v>1194</v>
      </c>
      <c r="G78" s="55" t="s">
        <v>1195</v>
      </c>
      <c r="H78" s="55" t="s">
        <v>1248</v>
      </c>
      <c r="I78" s="55" t="s">
        <v>274</v>
      </c>
      <c r="J78" s="55" t="s">
        <v>1926</v>
      </c>
      <c r="K78" s="55" t="s">
        <v>329</v>
      </c>
      <c r="L78" s="55" t="n">
        <v>0.75</v>
      </c>
      <c r="M78" s="55" t="n">
        <v>3.5</v>
      </c>
      <c r="N78" s="55" t="s">
        <v>141</v>
      </c>
      <c r="O78" s="57"/>
      <c r="P78" s="55"/>
      <c r="Q78" s="55"/>
      <c r="R78" s="55" t="n">
        <v>65</v>
      </c>
      <c r="S78" s="55" t="n">
        <v>120</v>
      </c>
      <c r="T78" s="55"/>
      <c r="U78" s="55" t="s">
        <v>328</v>
      </c>
      <c r="V78" s="55" t="s">
        <v>1503</v>
      </c>
      <c r="W78" s="55" t="s">
        <v>1500</v>
      </c>
      <c r="X78" s="4"/>
      <c r="Y78" s="4"/>
      <c r="Z78" s="4"/>
    </row>
    <row r="79" customFormat="false" ht="15.75" hidden="false" customHeight="true" outlineLevel="0" collapsed="false">
      <c r="A79" s="55" t="n">
        <v>1602</v>
      </c>
      <c r="B79" s="55" t="s">
        <v>279</v>
      </c>
      <c r="C79" s="55" t="s">
        <v>280</v>
      </c>
      <c r="D79" s="55" t="s">
        <v>2505</v>
      </c>
      <c r="E79" s="55"/>
      <c r="F79" s="55" t="s">
        <v>1194</v>
      </c>
      <c r="G79" s="55" t="s">
        <v>1194</v>
      </c>
      <c r="H79" s="55" t="s">
        <v>1248</v>
      </c>
      <c r="I79" s="55" t="s">
        <v>274</v>
      </c>
      <c r="J79" s="55" t="s">
        <v>2506</v>
      </c>
      <c r="K79" s="55" t="s">
        <v>281</v>
      </c>
      <c r="L79" s="55" t="n">
        <v>0.375</v>
      </c>
      <c r="M79" s="55" t="n">
        <v>2.125</v>
      </c>
      <c r="N79" s="55" t="s">
        <v>141</v>
      </c>
      <c r="O79" s="57"/>
      <c r="P79" s="55"/>
      <c r="Q79" s="55"/>
      <c r="R79" s="55" t="n">
        <v>79</v>
      </c>
      <c r="S79" s="55" t="n">
        <v>57</v>
      </c>
      <c r="T79" s="55"/>
      <c r="U79" s="55"/>
      <c r="V79" s="55"/>
      <c r="W79" s="58" t="s">
        <v>2454</v>
      </c>
      <c r="X79" s="4"/>
      <c r="Y79" s="4"/>
      <c r="Z79" s="4"/>
    </row>
    <row r="80" customFormat="false" ht="15.75" hidden="false" customHeight="true" outlineLevel="0" collapsed="false">
      <c r="A80" s="55" t="n">
        <v>1603</v>
      </c>
      <c r="B80" s="55" t="s">
        <v>282</v>
      </c>
      <c r="C80" s="55" t="s">
        <v>283</v>
      </c>
      <c r="D80" s="55" t="s">
        <v>1927</v>
      </c>
      <c r="E80" s="55" t="s">
        <v>1927</v>
      </c>
      <c r="F80" s="55" t="s">
        <v>1194</v>
      </c>
      <c r="G80" s="55" t="s">
        <v>1195</v>
      </c>
      <c r="H80" s="55" t="s">
        <v>1248</v>
      </c>
      <c r="I80" s="55" t="s">
        <v>274</v>
      </c>
      <c r="J80" s="55" t="s">
        <v>1928</v>
      </c>
      <c r="K80" s="55" t="s">
        <v>284</v>
      </c>
      <c r="L80" s="55" t="n">
        <v>0.75</v>
      </c>
      <c r="M80" s="55" t="n">
        <v>2.5</v>
      </c>
      <c r="N80" s="55" t="s">
        <v>141</v>
      </c>
      <c r="O80" s="57"/>
      <c r="P80" s="55"/>
      <c r="Q80" s="55"/>
      <c r="R80" s="55" t="n">
        <v>83</v>
      </c>
      <c r="S80" s="55" t="n">
        <v>175</v>
      </c>
      <c r="T80" s="55"/>
      <c r="U80" s="55" t="s">
        <v>283</v>
      </c>
      <c r="V80" s="55" t="s">
        <v>1929</v>
      </c>
      <c r="W80" s="55" t="s">
        <v>1500</v>
      </c>
      <c r="X80" s="4"/>
      <c r="Y80" s="4"/>
      <c r="Z80" s="4"/>
    </row>
    <row r="81" customFormat="false" ht="15.75" hidden="false" customHeight="true" outlineLevel="0" collapsed="false">
      <c r="A81" s="55" t="n">
        <v>1604</v>
      </c>
      <c r="B81" s="55" t="s">
        <v>285</v>
      </c>
      <c r="C81" s="55" t="s">
        <v>286</v>
      </c>
      <c r="D81" s="55" t="s">
        <v>2477</v>
      </c>
      <c r="E81" s="55"/>
      <c r="F81" s="55" t="s">
        <v>1194</v>
      </c>
      <c r="G81" s="55" t="s">
        <v>1194</v>
      </c>
      <c r="H81" s="55" t="s">
        <v>1248</v>
      </c>
      <c r="I81" s="55" t="s">
        <v>274</v>
      </c>
      <c r="J81" s="55" t="s">
        <v>2478</v>
      </c>
      <c r="K81" s="55" t="s">
        <v>287</v>
      </c>
      <c r="L81" s="55" t="n">
        <v>0.375</v>
      </c>
      <c r="M81" s="55" t="n">
        <v>2.25</v>
      </c>
      <c r="N81" s="55" t="s">
        <v>141</v>
      </c>
      <c r="O81" s="57"/>
      <c r="P81" s="55"/>
      <c r="Q81" s="55"/>
      <c r="R81" s="55" t="n">
        <v>61</v>
      </c>
      <c r="S81" s="55" t="n">
        <v>109</v>
      </c>
      <c r="T81" s="55"/>
      <c r="U81" s="55"/>
      <c r="V81" s="55"/>
      <c r="W81" s="58" t="s">
        <v>2454</v>
      </c>
      <c r="X81" s="4"/>
      <c r="Y81" s="4"/>
      <c r="Z81" s="4"/>
    </row>
    <row r="82" customFormat="false" ht="15.75" hidden="false" customHeight="true" outlineLevel="0" collapsed="false">
      <c r="A82" s="55" t="n">
        <v>1605</v>
      </c>
      <c r="B82" s="55" t="s">
        <v>288</v>
      </c>
      <c r="C82" s="55" t="s">
        <v>289</v>
      </c>
      <c r="D82" s="55" t="s">
        <v>1930</v>
      </c>
      <c r="E82" s="55" t="s">
        <v>1930</v>
      </c>
      <c r="F82" s="55" t="s">
        <v>1194</v>
      </c>
      <c r="G82" s="55" t="s">
        <v>1195</v>
      </c>
      <c r="H82" s="55" t="s">
        <v>1248</v>
      </c>
      <c r="I82" s="55" t="s">
        <v>274</v>
      </c>
      <c r="J82" s="55" t="s">
        <v>1931</v>
      </c>
      <c r="K82" s="55" t="s">
        <v>290</v>
      </c>
      <c r="L82" s="55" t="n">
        <v>0.75</v>
      </c>
      <c r="M82" s="55" t="n">
        <v>2.25</v>
      </c>
      <c r="N82" s="55" t="s">
        <v>141</v>
      </c>
      <c r="O82" s="57"/>
      <c r="P82" s="55"/>
      <c r="Q82" s="55"/>
      <c r="R82" s="55" t="n">
        <v>67</v>
      </c>
      <c r="S82" s="55" t="n">
        <v>117</v>
      </c>
      <c r="T82" s="55"/>
      <c r="U82" s="55" t="s">
        <v>289</v>
      </c>
      <c r="V82" s="55" t="s">
        <v>1932</v>
      </c>
      <c r="W82" s="55" t="s">
        <v>1500</v>
      </c>
      <c r="X82" s="4"/>
      <c r="Y82" s="4"/>
      <c r="Z82" s="4"/>
    </row>
    <row r="83" customFormat="false" ht="15.75" hidden="false" customHeight="true" outlineLevel="0" collapsed="false">
      <c r="A83" s="55" t="n">
        <v>1606</v>
      </c>
      <c r="B83" s="55" t="s">
        <v>291</v>
      </c>
      <c r="C83" s="55" t="s">
        <v>292</v>
      </c>
      <c r="D83" s="55" t="s">
        <v>1933</v>
      </c>
      <c r="E83" s="55" t="s">
        <v>1933</v>
      </c>
      <c r="F83" s="55" t="s">
        <v>1194</v>
      </c>
      <c r="G83" s="55" t="s">
        <v>1195</v>
      </c>
      <c r="H83" s="55" t="s">
        <v>1248</v>
      </c>
      <c r="I83" s="55" t="s">
        <v>274</v>
      </c>
      <c r="J83" s="55" t="s">
        <v>1934</v>
      </c>
      <c r="K83" s="55" t="s">
        <v>293</v>
      </c>
      <c r="L83" s="55" t="n">
        <v>0.75</v>
      </c>
      <c r="M83" s="55" t="n">
        <v>2.5</v>
      </c>
      <c r="N83" s="55" t="s">
        <v>141</v>
      </c>
      <c r="O83" s="57"/>
      <c r="P83" s="55"/>
      <c r="Q83" s="55"/>
      <c r="R83" s="55" t="n">
        <v>62</v>
      </c>
      <c r="S83" s="55" t="n">
        <v>84</v>
      </c>
      <c r="T83" s="55"/>
      <c r="U83" s="55" t="s">
        <v>1935</v>
      </c>
      <c r="V83" s="55" t="s">
        <v>1936</v>
      </c>
      <c r="W83" s="55" t="s">
        <v>1500</v>
      </c>
      <c r="X83" s="4"/>
      <c r="Y83" s="4"/>
      <c r="Z83" s="4"/>
    </row>
    <row r="84" customFormat="false" ht="15.75" hidden="false" customHeight="true" outlineLevel="0" collapsed="false">
      <c r="A84" s="55" t="n">
        <v>1607</v>
      </c>
      <c r="B84" s="55" t="s">
        <v>294</v>
      </c>
      <c r="C84" s="55" t="s">
        <v>295</v>
      </c>
      <c r="D84" s="55" t="s">
        <v>1937</v>
      </c>
      <c r="E84" s="55" t="s">
        <v>1937</v>
      </c>
      <c r="F84" s="55" t="s">
        <v>1194</v>
      </c>
      <c r="G84" s="55" t="s">
        <v>1195</v>
      </c>
      <c r="H84" s="55" t="s">
        <v>1248</v>
      </c>
      <c r="I84" s="55" t="s">
        <v>274</v>
      </c>
      <c r="J84" s="55" t="s">
        <v>1938</v>
      </c>
      <c r="K84" s="55" t="s">
        <v>296</v>
      </c>
      <c r="L84" s="55" t="n">
        <v>0.75</v>
      </c>
      <c r="M84" s="55" t="n">
        <v>2.75</v>
      </c>
      <c r="N84" s="55" t="s">
        <v>141</v>
      </c>
      <c r="O84" s="57"/>
      <c r="P84" s="55"/>
      <c r="Q84" s="55"/>
      <c r="R84" s="55" t="n">
        <v>66</v>
      </c>
      <c r="S84" s="55" t="n">
        <v>124</v>
      </c>
      <c r="T84" s="55"/>
      <c r="U84" s="55" t="s">
        <v>295</v>
      </c>
      <c r="V84" s="55" t="s">
        <v>1939</v>
      </c>
      <c r="W84" s="55" t="s">
        <v>1500</v>
      </c>
      <c r="X84" s="4"/>
      <c r="Y84" s="4"/>
      <c r="Z84" s="4"/>
    </row>
    <row r="85" customFormat="false" ht="15.75" hidden="false" customHeight="true" outlineLevel="0" collapsed="false">
      <c r="A85" s="55" t="n">
        <v>1608</v>
      </c>
      <c r="B85" s="55" t="s">
        <v>297</v>
      </c>
      <c r="C85" s="55" t="s">
        <v>298</v>
      </c>
      <c r="D85" s="55" t="s">
        <v>1940</v>
      </c>
      <c r="E85" s="55" t="s">
        <v>1940</v>
      </c>
      <c r="F85" s="55" t="s">
        <v>1194</v>
      </c>
      <c r="G85" s="55" t="s">
        <v>1195</v>
      </c>
      <c r="H85" s="55" t="s">
        <v>1248</v>
      </c>
      <c r="I85" s="55" t="s">
        <v>274</v>
      </c>
      <c r="J85" s="55" t="s">
        <v>1941</v>
      </c>
      <c r="K85" s="55" t="s">
        <v>296</v>
      </c>
      <c r="L85" s="55" t="n">
        <v>0.75</v>
      </c>
      <c r="M85" s="55" t="n">
        <v>2.75</v>
      </c>
      <c r="N85" s="55" t="s">
        <v>141</v>
      </c>
      <c r="O85" s="57"/>
      <c r="P85" s="55"/>
      <c r="Q85" s="55"/>
      <c r="R85" s="55" t="n">
        <v>59</v>
      </c>
      <c r="S85" s="55" t="n">
        <v>262</v>
      </c>
      <c r="T85" s="55"/>
      <c r="U85" s="55" t="s">
        <v>1942</v>
      </c>
      <c r="V85" s="55" t="s">
        <v>1943</v>
      </c>
      <c r="W85" s="55" t="s">
        <v>1500</v>
      </c>
      <c r="X85" s="4"/>
      <c r="Y85" s="4"/>
      <c r="Z85" s="4"/>
    </row>
    <row r="86" customFormat="false" ht="15.75" hidden="false" customHeight="true" outlineLevel="0" collapsed="false">
      <c r="A86" s="55" t="n">
        <v>1609</v>
      </c>
      <c r="B86" s="55" t="s">
        <v>2884</v>
      </c>
      <c r="C86" s="55" t="s">
        <v>2885</v>
      </c>
      <c r="D86" s="55" t="s">
        <v>2886</v>
      </c>
      <c r="E86" s="55" t="s">
        <v>2886</v>
      </c>
      <c r="F86" s="55" t="s">
        <v>1194</v>
      </c>
      <c r="G86" s="55" t="s">
        <v>1195</v>
      </c>
      <c r="H86" s="55" t="s">
        <v>1248</v>
      </c>
      <c r="I86" s="55" t="s">
        <v>274</v>
      </c>
      <c r="J86" s="55" t="s">
        <v>2887</v>
      </c>
      <c r="K86" s="55" t="s">
        <v>309</v>
      </c>
      <c r="L86" s="55" t="n">
        <v>0.75</v>
      </c>
      <c r="M86" s="55" t="n">
        <v>3.25</v>
      </c>
      <c r="N86" s="55" t="s">
        <v>665</v>
      </c>
      <c r="O86" s="55" t="s">
        <v>1270</v>
      </c>
      <c r="P86" s="55"/>
      <c r="Q86" s="55"/>
      <c r="R86" s="55" t="n">
        <v>76</v>
      </c>
      <c r="S86" s="55" t="n">
        <v>267</v>
      </c>
      <c r="T86" s="55"/>
      <c r="U86" s="55" t="s">
        <v>2885</v>
      </c>
      <c r="V86" s="55" t="s">
        <v>2888</v>
      </c>
      <c r="W86" s="55"/>
      <c r="X86" s="4"/>
      <c r="Y86" s="4"/>
      <c r="Z86" s="4"/>
    </row>
    <row r="87" customFormat="false" ht="15.75" hidden="false" customHeight="true" outlineLevel="0" collapsed="false">
      <c r="A87" s="55" t="n">
        <v>1610</v>
      </c>
      <c r="B87" s="55" t="s">
        <v>2889</v>
      </c>
      <c r="C87" s="55" t="s">
        <v>2890</v>
      </c>
      <c r="D87" s="55" t="s">
        <v>2891</v>
      </c>
      <c r="E87" s="55" t="s">
        <v>2891</v>
      </c>
      <c r="F87" s="55" t="s">
        <v>1194</v>
      </c>
      <c r="G87" s="55" t="s">
        <v>1195</v>
      </c>
      <c r="H87" s="55" t="s">
        <v>1248</v>
      </c>
      <c r="I87" s="55" t="s">
        <v>274</v>
      </c>
      <c r="J87" s="55" t="s">
        <v>2892</v>
      </c>
      <c r="K87" s="55" t="s">
        <v>309</v>
      </c>
      <c r="L87" s="55" t="n">
        <v>0.75</v>
      </c>
      <c r="M87" s="55" t="n">
        <v>3.25</v>
      </c>
      <c r="N87" s="55" t="s">
        <v>326</v>
      </c>
      <c r="O87" s="55" t="s">
        <v>1270</v>
      </c>
      <c r="P87" s="55"/>
      <c r="Q87" s="55"/>
      <c r="R87" s="55" t="n">
        <v>138</v>
      </c>
      <c r="S87" s="55" t="n">
        <v>494</v>
      </c>
      <c r="T87" s="55"/>
      <c r="U87" s="55" t="s">
        <v>2893</v>
      </c>
      <c r="V87" s="55" t="s">
        <v>2894</v>
      </c>
      <c r="W87" s="55"/>
      <c r="X87" s="4"/>
      <c r="Y87" s="4"/>
      <c r="Z87" s="4"/>
    </row>
    <row r="88" customFormat="false" ht="15.75" hidden="false" customHeight="true" outlineLevel="0" collapsed="false">
      <c r="A88" s="55" t="n">
        <v>1611</v>
      </c>
      <c r="B88" s="55" t="s">
        <v>307</v>
      </c>
      <c r="C88" s="55" t="s">
        <v>308</v>
      </c>
      <c r="D88" s="55" t="s">
        <v>1944</v>
      </c>
      <c r="E88" s="55" t="s">
        <v>1944</v>
      </c>
      <c r="F88" s="55" t="s">
        <v>1194</v>
      </c>
      <c r="G88" s="55" t="s">
        <v>1195</v>
      </c>
      <c r="H88" s="55" t="s">
        <v>1248</v>
      </c>
      <c r="I88" s="55" t="s">
        <v>274</v>
      </c>
      <c r="J88" s="55" t="s">
        <v>1945</v>
      </c>
      <c r="K88" s="55" t="s">
        <v>309</v>
      </c>
      <c r="L88" s="55" t="n">
        <v>0.75</v>
      </c>
      <c r="M88" s="55" t="n">
        <v>3.25</v>
      </c>
      <c r="N88" s="55" t="s">
        <v>141</v>
      </c>
      <c r="O88" s="57"/>
      <c r="P88" s="55"/>
      <c r="Q88" s="55"/>
      <c r="R88" s="55" t="n">
        <v>76</v>
      </c>
      <c r="S88" s="55" t="n">
        <v>146</v>
      </c>
      <c r="T88" s="55"/>
      <c r="U88" s="55" t="s">
        <v>308</v>
      </c>
      <c r="V88" s="55" t="s">
        <v>1946</v>
      </c>
      <c r="W88" s="55" t="s">
        <v>1500</v>
      </c>
      <c r="X88" s="4"/>
      <c r="Y88" s="4"/>
      <c r="Z88" s="4"/>
    </row>
    <row r="89" customFormat="false" ht="15.75" hidden="false" customHeight="true" outlineLevel="0" collapsed="false">
      <c r="A89" s="55" t="n">
        <v>1612</v>
      </c>
      <c r="B89" s="55" t="s">
        <v>2895</v>
      </c>
      <c r="C89" s="55" t="s">
        <v>2896</v>
      </c>
      <c r="D89" s="55" t="s">
        <v>2897</v>
      </c>
      <c r="E89" s="55" t="s">
        <v>2897</v>
      </c>
      <c r="F89" s="55" t="s">
        <v>1194</v>
      </c>
      <c r="G89" s="55" t="s">
        <v>1195</v>
      </c>
      <c r="H89" s="55" t="s">
        <v>1248</v>
      </c>
      <c r="I89" s="55" t="s">
        <v>274</v>
      </c>
      <c r="J89" s="55" t="s">
        <v>2898</v>
      </c>
      <c r="K89" s="55" t="s">
        <v>309</v>
      </c>
      <c r="L89" s="55" t="n">
        <v>0.75</v>
      </c>
      <c r="M89" s="55" t="n">
        <v>3.25</v>
      </c>
      <c r="N89" s="55" t="s">
        <v>665</v>
      </c>
      <c r="O89" s="55" t="s">
        <v>1270</v>
      </c>
      <c r="P89" s="55"/>
      <c r="Q89" s="55"/>
      <c r="R89" s="55" t="n">
        <v>111</v>
      </c>
      <c r="S89" s="55" t="n">
        <v>232</v>
      </c>
      <c r="T89" s="55"/>
      <c r="U89" s="55" t="s">
        <v>2899</v>
      </c>
      <c r="V89" s="55" t="s">
        <v>2900</v>
      </c>
      <c r="W89" s="55"/>
      <c r="X89" s="4"/>
      <c r="Y89" s="4"/>
      <c r="Z89" s="4"/>
    </row>
    <row r="90" customFormat="false" ht="15.75" hidden="false" customHeight="true" outlineLevel="0" collapsed="false">
      <c r="A90" s="55" t="n">
        <v>1613</v>
      </c>
      <c r="B90" s="55" t="s">
        <v>310</v>
      </c>
      <c r="C90" s="55" t="s">
        <v>311</v>
      </c>
      <c r="D90" s="55" t="s">
        <v>1953</v>
      </c>
      <c r="E90" s="55" t="s">
        <v>1953</v>
      </c>
      <c r="F90" s="55" t="s">
        <v>1194</v>
      </c>
      <c r="G90" s="55" t="s">
        <v>1195</v>
      </c>
      <c r="H90" s="55" t="s">
        <v>1248</v>
      </c>
      <c r="I90" s="55" t="s">
        <v>274</v>
      </c>
      <c r="J90" s="55" t="s">
        <v>1954</v>
      </c>
      <c r="K90" s="55" t="s">
        <v>312</v>
      </c>
      <c r="L90" s="55" t="n">
        <v>0.75</v>
      </c>
      <c r="M90" s="55" t="n">
        <v>3.5</v>
      </c>
      <c r="N90" s="55" t="s">
        <v>141</v>
      </c>
      <c r="O90" s="57"/>
      <c r="P90" s="55"/>
      <c r="Q90" s="55"/>
      <c r="R90" s="55" t="n">
        <v>74</v>
      </c>
      <c r="S90" s="55" t="n">
        <v>70</v>
      </c>
      <c r="T90" s="55"/>
      <c r="U90" s="55" t="s">
        <v>311</v>
      </c>
      <c r="V90" s="55" t="s">
        <v>1955</v>
      </c>
      <c r="W90" s="55" t="s">
        <v>1500</v>
      </c>
      <c r="X90" s="4"/>
      <c r="Y90" s="4"/>
      <c r="Z90" s="4"/>
    </row>
    <row r="91" customFormat="false" ht="15.75" hidden="false" customHeight="true" outlineLevel="0" collapsed="false">
      <c r="A91" s="55" t="n">
        <v>1614</v>
      </c>
      <c r="B91" s="55" t="s">
        <v>330</v>
      </c>
      <c r="C91" s="55" t="s">
        <v>331</v>
      </c>
      <c r="D91" s="55" t="s">
        <v>1950</v>
      </c>
      <c r="E91" s="55" t="s">
        <v>1950</v>
      </c>
      <c r="F91" s="55" t="s">
        <v>1194</v>
      </c>
      <c r="G91" s="55" t="s">
        <v>1195</v>
      </c>
      <c r="H91" s="55" t="s">
        <v>1248</v>
      </c>
      <c r="I91" s="55" t="s">
        <v>274</v>
      </c>
      <c r="J91" s="55" t="s">
        <v>1951</v>
      </c>
      <c r="K91" s="55" t="s">
        <v>332</v>
      </c>
      <c r="L91" s="55" t="n">
        <v>0.75</v>
      </c>
      <c r="M91" s="55" t="n">
        <v>4</v>
      </c>
      <c r="N91" s="55" t="s">
        <v>141</v>
      </c>
      <c r="O91" s="57"/>
      <c r="P91" s="55"/>
      <c r="Q91" s="55"/>
      <c r="R91" s="55" t="n">
        <v>75</v>
      </c>
      <c r="S91" s="55" t="n">
        <v>88</v>
      </c>
      <c r="T91" s="55"/>
      <c r="U91" s="55" t="s">
        <v>331</v>
      </c>
      <c r="V91" s="55" t="s">
        <v>1952</v>
      </c>
      <c r="W91" s="55" t="s">
        <v>1500</v>
      </c>
      <c r="X91" s="4"/>
      <c r="Y91" s="4"/>
      <c r="Z91" s="4"/>
    </row>
    <row r="92" customFormat="false" ht="15.75" hidden="false" customHeight="true" outlineLevel="0" collapsed="false">
      <c r="A92" s="55" t="n">
        <v>1615</v>
      </c>
      <c r="B92" s="55" t="s">
        <v>333</v>
      </c>
      <c r="C92" s="55" t="s">
        <v>334</v>
      </c>
      <c r="D92" s="55" t="s">
        <v>2467</v>
      </c>
      <c r="E92" s="55"/>
      <c r="F92" s="55" t="s">
        <v>1194</v>
      </c>
      <c r="G92" s="55" t="s">
        <v>1194</v>
      </c>
      <c r="H92" s="55" t="s">
        <v>1248</v>
      </c>
      <c r="I92" s="55" t="s">
        <v>274</v>
      </c>
      <c r="J92" s="55" t="s">
        <v>2468</v>
      </c>
      <c r="K92" s="55" t="s">
        <v>335</v>
      </c>
      <c r="L92" s="55" t="n">
        <v>1.3125</v>
      </c>
      <c r="M92" s="55" t="n">
        <v>4.25</v>
      </c>
      <c r="N92" s="55" t="s">
        <v>141</v>
      </c>
      <c r="O92" s="57"/>
      <c r="P92" s="55"/>
      <c r="Q92" s="55"/>
      <c r="R92" s="55" t="n">
        <v>70</v>
      </c>
      <c r="S92" s="55" t="n">
        <v>33</v>
      </c>
      <c r="T92" s="55"/>
      <c r="U92" s="55"/>
      <c r="V92" s="55"/>
      <c r="W92" s="58" t="s">
        <v>2454</v>
      </c>
      <c r="X92" s="4"/>
      <c r="Y92" s="4"/>
      <c r="Z92" s="4"/>
    </row>
    <row r="93" customFormat="false" ht="15.75" hidden="false" customHeight="true" outlineLevel="0" collapsed="false">
      <c r="A93" s="55" t="n">
        <v>1616</v>
      </c>
      <c r="B93" s="55" t="s">
        <v>2901</v>
      </c>
      <c r="C93" s="55" t="s">
        <v>2902</v>
      </c>
      <c r="D93" s="55" t="s">
        <v>2903</v>
      </c>
      <c r="E93" s="55" t="s">
        <v>2903</v>
      </c>
      <c r="F93" s="55" t="s">
        <v>1194</v>
      </c>
      <c r="G93" s="55" t="s">
        <v>1195</v>
      </c>
      <c r="H93" s="55" t="s">
        <v>1248</v>
      </c>
      <c r="I93" s="55" t="s">
        <v>274</v>
      </c>
      <c r="J93" s="55" t="s">
        <v>2904</v>
      </c>
      <c r="K93" s="55" t="s">
        <v>2905</v>
      </c>
      <c r="L93" s="55" t="n">
        <v>1.0625</v>
      </c>
      <c r="M93" s="55" t="n">
        <v>3</v>
      </c>
      <c r="N93" s="55" t="s">
        <v>1313</v>
      </c>
      <c r="O93" s="55" t="s">
        <v>1298</v>
      </c>
      <c r="P93" s="55"/>
      <c r="Q93" s="55"/>
      <c r="R93" s="55" t="n">
        <v>82</v>
      </c>
      <c r="S93" s="55" t="n">
        <v>288</v>
      </c>
      <c r="T93" s="55"/>
      <c r="U93" s="55" t="s">
        <v>2906</v>
      </c>
      <c r="V93" s="55" t="s">
        <v>2907</v>
      </c>
      <c r="W93" s="55"/>
      <c r="X93" s="4"/>
      <c r="Y93" s="4"/>
      <c r="Z93" s="4"/>
    </row>
    <row r="94" customFormat="false" ht="15.75" hidden="false" customHeight="true" outlineLevel="0" collapsed="false">
      <c r="A94" s="55" t="n">
        <v>1618</v>
      </c>
      <c r="B94" s="55" t="s">
        <v>2908</v>
      </c>
      <c r="C94" s="55" t="s">
        <v>2909</v>
      </c>
      <c r="D94" s="55" t="s">
        <v>2910</v>
      </c>
      <c r="E94" s="55" t="s">
        <v>2910</v>
      </c>
      <c r="F94" s="55" t="s">
        <v>1194</v>
      </c>
      <c r="G94" s="55" t="s">
        <v>1195</v>
      </c>
      <c r="H94" s="55" t="s">
        <v>1248</v>
      </c>
      <c r="I94" s="55" t="s">
        <v>274</v>
      </c>
      <c r="J94" s="55" t="s">
        <v>2911</v>
      </c>
      <c r="K94" s="55" t="s">
        <v>2912</v>
      </c>
      <c r="L94" s="55" t="n">
        <v>0.625</v>
      </c>
      <c r="M94" s="55" t="n">
        <v>2.75</v>
      </c>
      <c r="N94" s="55" t="s">
        <v>118</v>
      </c>
      <c r="O94" s="55" t="s">
        <v>1270</v>
      </c>
      <c r="P94" s="55"/>
      <c r="Q94" s="55"/>
      <c r="R94" s="55" t="n">
        <v>78</v>
      </c>
      <c r="S94" s="55" t="n">
        <v>154</v>
      </c>
      <c r="T94" s="55"/>
      <c r="U94" s="55" t="s">
        <v>2909</v>
      </c>
      <c r="V94" s="55" t="s">
        <v>2913</v>
      </c>
      <c r="W94" s="55"/>
      <c r="X94" s="4"/>
      <c r="Y94" s="4"/>
      <c r="Z94" s="4"/>
    </row>
    <row r="95" customFormat="false" ht="15.75" hidden="false" customHeight="true" outlineLevel="0" collapsed="false">
      <c r="A95" s="55" t="n">
        <v>1619</v>
      </c>
      <c r="B95" s="55" t="s">
        <v>431</v>
      </c>
      <c r="C95" s="55" t="s">
        <v>432</v>
      </c>
      <c r="D95" s="55" t="s">
        <v>1980</v>
      </c>
      <c r="E95" s="55" t="s">
        <v>1980</v>
      </c>
      <c r="F95" s="55" t="s">
        <v>1194</v>
      </c>
      <c r="G95" s="55" t="s">
        <v>1195</v>
      </c>
      <c r="H95" s="55" t="s">
        <v>1248</v>
      </c>
      <c r="I95" s="55" t="s">
        <v>420</v>
      </c>
      <c r="J95" s="55" t="s">
        <v>1981</v>
      </c>
      <c r="K95" s="55" t="s">
        <v>433</v>
      </c>
      <c r="L95" s="55" t="n">
        <v>0.5</v>
      </c>
      <c r="M95" s="55" t="n">
        <v>1.375</v>
      </c>
      <c r="N95" s="55" t="s">
        <v>141</v>
      </c>
      <c r="O95" s="57"/>
      <c r="P95" s="55"/>
      <c r="Q95" s="55"/>
      <c r="R95" s="55" t="n">
        <v>15</v>
      </c>
      <c r="S95" s="55" t="n">
        <v>84</v>
      </c>
      <c r="T95" s="55"/>
      <c r="U95" s="55" t="s">
        <v>432</v>
      </c>
      <c r="V95" s="55" t="s">
        <v>1982</v>
      </c>
      <c r="W95" s="55" t="s">
        <v>1500</v>
      </c>
      <c r="X95" s="4"/>
      <c r="Y95" s="4"/>
      <c r="Z95" s="4"/>
    </row>
    <row r="96" customFormat="false" ht="15.75" hidden="false" customHeight="true" outlineLevel="0" collapsed="false">
      <c r="A96" s="55" t="n">
        <v>1620</v>
      </c>
      <c r="B96" s="55" t="s">
        <v>434</v>
      </c>
      <c r="C96" s="55" t="s">
        <v>435</v>
      </c>
      <c r="D96" s="55" t="s">
        <v>1956</v>
      </c>
      <c r="E96" s="55" t="s">
        <v>1956</v>
      </c>
      <c r="F96" s="55" t="s">
        <v>1194</v>
      </c>
      <c r="G96" s="55" t="s">
        <v>1195</v>
      </c>
      <c r="H96" s="55" t="s">
        <v>1248</v>
      </c>
      <c r="I96" s="55" t="s">
        <v>420</v>
      </c>
      <c r="J96" s="55" t="s">
        <v>1957</v>
      </c>
      <c r="K96" s="55" t="s">
        <v>436</v>
      </c>
      <c r="L96" s="55" t="n">
        <v>0.625</v>
      </c>
      <c r="M96" s="55" t="n">
        <v>1.625</v>
      </c>
      <c r="N96" s="55" t="s">
        <v>141</v>
      </c>
      <c r="O96" s="57"/>
      <c r="P96" s="55"/>
      <c r="Q96" s="55"/>
      <c r="R96" s="55" t="n">
        <v>15</v>
      </c>
      <c r="S96" s="55" t="n">
        <v>86</v>
      </c>
      <c r="T96" s="55"/>
      <c r="U96" s="55" t="s">
        <v>435</v>
      </c>
      <c r="V96" s="55" t="s">
        <v>1958</v>
      </c>
      <c r="W96" s="55" t="s">
        <v>1500</v>
      </c>
      <c r="X96" s="4"/>
      <c r="Y96" s="4"/>
      <c r="Z96" s="4"/>
    </row>
    <row r="97" customFormat="false" ht="15.75" hidden="false" customHeight="true" outlineLevel="0" collapsed="false">
      <c r="A97" s="55" t="n">
        <v>1621</v>
      </c>
      <c r="B97" s="55" t="s">
        <v>342</v>
      </c>
      <c r="C97" s="55" t="s">
        <v>343</v>
      </c>
      <c r="D97" s="55" t="s">
        <v>1959</v>
      </c>
      <c r="E97" s="55" t="s">
        <v>1959</v>
      </c>
      <c r="F97" s="55" t="s">
        <v>1194</v>
      </c>
      <c r="G97" s="55" t="s">
        <v>1195</v>
      </c>
      <c r="H97" s="55" t="s">
        <v>1248</v>
      </c>
      <c r="I97" s="55" t="s">
        <v>344</v>
      </c>
      <c r="J97" s="55" t="s">
        <v>1960</v>
      </c>
      <c r="K97" s="55" t="s">
        <v>345</v>
      </c>
      <c r="L97" s="55" t="n">
        <v>0.75</v>
      </c>
      <c r="M97" s="55" t="n">
        <v>2.125</v>
      </c>
      <c r="N97" s="55" t="s">
        <v>141</v>
      </c>
      <c r="O97" s="57"/>
      <c r="P97" s="55"/>
      <c r="Q97" s="55"/>
      <c r="R97" s="55" t="n">
        <v>84</v>
      </c>
      <c r="S97" s="55" t="n">
        <v>84</v>
      </c>
      <c r="T97" s="55"/>
      <c r="U97" s="55" t="s">
        <v>343</v>
      </c>
      <c r="V97" s="55" t="s">
        <v>1961</v>
      </c>
      <c r="W97" s="55" t="s">
        <v>1500</v>
      </c>
      <c r="X97" s="4"/>
      <c r="Y97" s="4"/>
      <c r="Z97" s="4"/>
    </row>
    <row r="98" customFormat="false" ht="15.75" hidden="false" customHeight="true" outlineLevel="0" collapsed="false">
      <c r="A98" s="55" t="n">
        <v>1622</v>
      </c>
      <c r="B98" s="55" t="s">
        <v>346</v>
      </c>
      <c r="C98" s="55" t="s">
        <v>347</v>
      </c>
      <c r="D98" s="55" t="s">
        <v>1962</v>
      </c>
      <c r="E98" s="55" t="s">
        <v>1962</v>
      </c>
      <c r="F98" s="55" t="s">
        <v>1194</v>
      </c>
      <c r="G98" s="55" t="s">
        <v>1195</v>
      </c>
      <c r="H98" s="55" t="s">
        <v>1248</v>
      </c>
      <c r="I98" s="55" t="s">
        <v>344</v>
      </c>
      <c r="J98" s="55" t="s">
        <v>1963</v>
      </c>
      <c r="K98" s="55" t="s">
        <v>348</v>
      </c>
      <c r="L98" s="55" t="n">
        <v>0.8125</v>
      </c>
      <c r="M98" s="55" t="n">
        <v>2.5</v>
      </c>
      <c r="N98" s="55" t="s">
        <v>141</v>
      </c>
      <c r="O98" s="57"/>
      <c r="P98" s="55"/>
      <c r="Q98" s="55"/>
      <c r="R98" s="55" t="n">
        <v>84</v>
      </c>
      <c r="S98" s="55" t="n">
        <v>128</v>
      </c>
      <c r="T98" s="55"/>
      <c r="U98" s="55" t="s">
        <v>347</v>
      </c>
      <c r="V98" s="55" t="s">
        <v>1964</v>
      </c>
      <c r="W98" s="55" t="s">
        <v>1500</v>
      </c>
      <c r="X98" s="4"/>
      <c r="Y98" s="4"/>
      <c r="Z98" s="4"/>
    </row>
    <row r="99" customFormat="false" ht="15.75" hidden="false" customHeight="true" outlineLevel="0" collapsed="false">
      <c r="A99" s="55" t="n">
        <v>1623</v>
      </c>
      <c r="B99" s="55" t="s">
        <v>349</v>
      </c>
      <c r="C99" s="55" t="s">
        <v>350</v>
      </c>
      <c r="D99" s="55" t="s">
        <v>1965</v>
      </c>
      <c r="E99" s="55" t="s">
        <v>1965</v>
      </c>
      <c r="F99" s="55" t="s">
        <v>1194</v>
      </c>
      <c r="G99" s="55" t="s">
        <v>1195</v>
      </c>
      <c r="H99" s="55" t="s">
        <v>1248</v>
      </c>
      <c r="I99" s="55" t="s">
        <v>344</v>
      </c>
      <c r="J99" s="55" t="s">
        <v>1966</v>
      </c>
      <c r="K99" s="55" t="s">
        <v>351</v>
      </c>
      <c r="L99" s="55" t="n">
        <v>0.75</v>
      </c>
      <c r="M99" s="55" t="n">
        <v>2.25</v>
      </c>
      <c r="N99" s="55" t="s">
        <v>141</v>
      </c>
      <c r="O99" s="57"/>
      <c r="P99" s="55"/>
      <c r="Q99" s="55"/>
      <c r="R99" s="55" t="n">
        <v>84</v>
      </c>
      <c r="S99" s="55" t="n">
        <v>113</v>
      </c>
      <c r="T99" s="55"/>
      <c r="U99" s="55" t="s">
        <v>350</v>
      </c>
      <c r="V99" s="55" t="s">
        <v>1967</v>
      </c>
      <c r="W99" s="55" t="s">
        <v>1500</v>
      </c>
      <c r="X99" s="4"/>
      <c r="Y99" s="4"/>
      <c r="Z99" s="4"/>
    </row>
    <row r="100" customFormat="false" ht="15.75" hidden="false" customHeight="true" outlineLevel="0" collapsed="false">
      <c r="A100" s="55" t="n">
        <v>1624</v>
      </c>
      <c r="B100" s="55" t="s">
        <v>352</v>
      </c>
      <c r="C100" s="55" t="s">
        <v>353</v>
      </c>
      <c r="D100" s="55" t="s">
        <v>2509</v>
      </c>
      <c r="E100" s="55"/>
      <c r="F100" s="55" t="s">
        <v>1194</v>
      </c>
      <c r="G100" s="55" t="s">
        <v>1194</v>
      </c>
      <c r="H100" s="55" t="s">
        <v>1248</v>
      </c>
      <c r="I100" s="55" t="s">
        <v>344</v>
      </c>
      <c r="J100" s="55" t="s">
        <v>2510</v>
      </c>
      <c r="K100" s="55" t="s">
        <v>354</v>
      </c>
      <c r="L100" s="55" t="n">
        <v>1.0625</v>
      </c>
      <c r="M100" s="55" t="n">
        <v>2.5</v>
      </c>
      <c r="N100" s="55" t="s">
        <v>141</v>
      </c>
      <c r="O100" s="57"/>
      <c r="P100" s="55"/>
      <c r="Q100" s="55"/>
      <c r="R100" s="55" t="n">
        <v>106</v>
      </c>
      <c r="S100" s="55" t="n">
        <v>139</v>
      </c>
      <c r="T100" s="55"/>
      <c r="U100" s="55"/>
      <c r="V100" s="55"/>
      <c r="W100" s="58" t="s">
        <v>2454</v>
      </c>
      <c r="X100" s="4"/>
      <c r="Y100" s="4"/>
      <c r="Z100" s="4"/>
    </row>
    <row r="101" customFormat="false" ht="15.75" hidden="false" customHeight="true" outlineLevel="0" collapsed="false">
      <c r="A101" s="55" t="n">
        <v>1625</v>
      </c>
      <c r="B101" s="55" t="s">
        <v>355</v>
      </c>
      <c r="C101" s="55" t="s">
        <v>356</v>
      </c>
      <c r="D101" s="55" t="s">
        <v>1968</v>
      </c>
      <c r="E101" s="55" t="s">
        <v>1968</v>
      </c>
      <c r="F101" s="55" t="s">
        <v>1194</v>
      </c>
      <c r="G101" s="55" t="s">
        <v>1195</v>
      </c>
      <c r="H101" s="55" t="s">
        <v>1248</v>
      </c>
      <c r="I101" s="55" t="s">
        <v>344</v>
      </c>
      <c r="J101" s="55" t="s">
        <v>1969</v>
      </c>
      <c r="K101" s="55" t="s">
        <v>357</v>
      </c>
      <c r="L101" s="55" t="n">
        <v>1.0625</v>
      </c>
      <c r="M101" s="55" t="n">
        <v>3.5</v>
      </c>
      <c r="N101" s="55" t="s">
        <v>141</v>
      </c>
      <c r="O101" s="57"/>
      <c r="P101" s="55"/>
      <c r="Q101" s="55"/>
      <c r="R101" s="55" t="n">
        <v>107</v>
      </c>
      <c r="S101" s="55" t="n">
        <v>119</v>
      </c>
      <c r="T101" s="55"/>
      <c r="U101" s="55" t="s">
        <v>356</v>
      </c>
      <c r="V101" s="55" t="s">
        <v>1970</v>
      </c>
      <c r="W101" s="55" t="s">
        <v>1500</v>
      </c>
      <c r="X101" s="4"/>
      <c r="Y101" s="4"/>
      <c r="Z101" s="4"/>
    </row>
    <row r="102" customFormat="false" ht="15.75" hidden="false" customHeight="true" outlineLevel="0" collapsed="false">
      <c r="A102" s="55" t="n">
        <v>1626</v>
      </c>
      <c r="B102" s="55" t="s">
        <v>358</v>
      </c>
      <c r="C102" s="55" t="s">
        <v>359</v>
      </c>
      <c r="D102" s="55" t="s">
        <v>1971</v>
      </c>
      <c r="E102" s="55" t="s">
        <v>1971</v>
      </c>
      <c r="F102" s="55" t="s">
        <v>1194</v>
      </c>
      <c r="G102" s="55" t="s">
        <v>1195</v>
      </c>
      <c r="H102" s="55" t="s">
        <v>1248</v>
      </c>
      <c r="I102" s="55" t="s">
        <v>344</v>
      </c>
      <c r="J102" s="55" t="s">
        <v>1972</v>
      </c>
      <c r="K102" s="55" t="s">
        <v>360</v>
      </c>
      <c r="L102" s="55" t="n">
        <v>0.8125</v>
      </c>
      <c r="M102" s="55" t="n">
        <v>3.25</v>
      </c>
      <c r="N102" s="55" t="s">
        <v>141</v>
      </c>
      <c r="O102" s="57"/>
      <c r="P102" s="55"/>
      <c r="Q102" s="55"/>
      <c r="R102" s="55" t="n">
        <v>84</v>
      </c>
      <c r="S102" s="55" t="n">
        <v>105</v>
      </c>
      <c r="T102" s="55"/>
      <c r="U102" s="55" t="s">
        <v>359</v>
      </c>
      <c r="V102" s="55" t="s">
        <v>1973</v>
      </c>
      <c r="W102" s="55" t="s">
        <v>1500</v>
      </c>
      <c r="X102" s="4"/>
      <c r="Y102" s="4"/>
      <c r="Z102" s="4"/>
    </row>
    <row r="103" customFormat="false" ht="15.75" hidden="false" customHeight="true" outlineLevel="0" collapsed="false">
      <c r="A103" s="55" t="n">
        <v>1627</v>
      </c>
      <c r="B103" s="55" t="s">
        <v>361</v>
      </c>
      <c r="C103" s="55" t="s">
        <v>362</v>
      </c>
      <c r="D103" s="55" t="s">
        <v>1974</v>
      </c>
      <c r="E103" s="55" t="s">
        <v>1974</v>
      </c>
      <c r="F103" s="55" t="s">
        <v>1194</v>
      </c>
      <c r="G103" s="55" t="s">
        <v>1195</v>
      </c>
      <c r="H103" s="55" t="s">
        <v>1248</v>
      </c>
      <c r="I103" s="55" t="s">
        <v>344</v>
      </c>
      <c r="J103" s="55" t="s">
        <v>1975</v>
      </c>
      <c r="K103" s="55" t="s">
        <v>363</v>
      </c>
      <c r="L103" s="55" t="n">
        <v>0.875</v>
      </c>
      <c r="M103" s="55" t="n">
        <v>3.125</v>
      </c>
      <c r="N103" s="55" t="s">
        <v>141</v>
      </c>
      <c r="O103" s="57"/>
      <c r="P103" s="55"/>
      <c r="Q103" s="55"/>
      <c r="R103" s="55" t="n">
        <v>84</v>
      </c>
      <c r="S103" s="55" t="n">
        <v>114</v>
      </c>
      <c r="T103" s="55"/>
      <c r="U103" s="55" t="s">
        <v>362</v>
      </c>
      <c r="V103" s="55" t="s">
        <v>1976</v>
      </c>
      <c r="W103" s="55" t="s">
        <v>1500</v>
      </c>
      <c r="X103" s="4"/>
      <c r="Y103" s="4"/>
      <c r="Z103" s="4"/>
    </row>
    <row r="104" customFormat="false" ht="15.75" hidden="false" customHeight="true" outlineLevel="0" collapsed="false">
      <c r="A104" s="55" t="n">
        <v>1629</v>
      </c>
      <c r="B104" s="55" t="s">
        <v>364</v>
      </c>
      <c r="C104" s="55" t="s">
        <v>365</v>
      </c>
      <c r="D104" s="55" t="s">
        <v>1977</v>
      </c>
      <c r="E104" s="55" t="s">
        <v>1977</v>
      </c>
      <c r="F104" s="55" t="s">
        <v>1194</v>
      </c>
      <c r="G104" s="55" t="s">
        <v>1195</v>
      </c>
      <c r="H104" s="55" t="s">
        <v>1248</v>
      </c>
      <c r="I104" s="55" t="s">
        <v>366</v>
      </c>
      <c r="J104" s="55" t="s">
        <v>1978</v>
      </c>
      <c r="K104" s="55" t="s">
        <v>367</v>
      </c>
      <c r="L104" s="55" t="n">
        <v>0.5</v>
      </c>
      <c r="M104" s="55" t="n">
        <v>0.5</v>
      </c>
      <c r="N104" s="55" t="s">
        <v>141</v>
      </c>
      <c r="O104" s="57"/>
      <c r="P104" s="55"/>
      <c r="Q104" s="55"/>
      <c r="R104" s="55" t="n">
        <v>46</v>
      </c>
      <c r="S104" s="55" t="n">
        <v>169</v>
      </c>
      <c r="T104" s="55"/>
      <c r="U104" s="55" t="s">
        <v>365</v>
      </c>
      <c r="V104" s="55" t="s">
        <v>1979</v>
      </c>
      <c r="W104" s="55" t="s">
        <v>1500</v>
      </c>
      <c r="X104" s="4"/>
      <c r="Y104" s="4"/>
      <c r="Z104" s="4"/>
    </row>
    <row r="105" customFormat="false" ht="15.75" hidden="false" customHeight="true" outlineLevel="0" collapsed="false">
      <c r="A105" s="55" t="n">
        <v>1630</v>
      </c>
      <c r="B105" s="55" t="s">
        <v>368</v>
      </c>
      <c r="C105" s="55" t="s">
        <v>369</v>
      </c>
      <c r="D105" s="55" t="s">
        <v>1922</v>
      </c>
      <c r="E105" s="55" t="s">
        <v>1922</v>
      </c>
      <c r="F105" s="55" t="s">
        <v>1194</v>
      </c>
      <c r="G105" s="55" t="s">
        <v>1195</v>
      </c>
      <c r="H105" s="55" t="s">
        <v>1248</v>
      </c>
      <c r="I105" s="55" t="s">
        <v>366</v>
      </c>
      <c r="J105" s="55" t="s">
        <v>1923</v>
      </c>
      <c r="K105" s="55" t="s">
        <v>370</v>
      </c>
      <c r="L105" s="55" t="n">
        <v>0.75</v>
      </c>
      <c r="M105" s="55" t="n">
        <v>0.75</v>
      </c>
      <c r="N105" s="55" t="s">
        <v>141</v>
      </c>
      <c r="O105" s="57"/>
      <c r="P105" s="55"/>
      <c r="Q105" s="55"/>
      <c r="R105" s="55" t="n">
        <v>46</v>
      </c>
      <c r="S105" s="55" t="n">
        <v>180</v>
      </c>
      <c r="T105" s="55"/>
      <c r="U105" s="55" t="s">
        <v>369</v>
      </c>
      <c r="V105" s="55" t="s">
        <v>1924</v>
      </c>
      <c r="W105" s="55" t="s">
        <v>1500</v>
      </c>
      <c r="X105" s="4"/>
      <c r="Y105" s="4"/>
      <c r="Z105" s="4"/>
    </row>
    <row r="106" customFormat="false" ht="15.75" hidden="false" customHeight="true" outlineLevel="0" collapsed="false">
      <c r="A106" s="55" t="n">
        <v>1631</v>
      </c>
      <c r="B106" s="55" t="s">
        <v>371</v>
      </c>
      <c r="C106" s="55" t="s">
        <v>372</v>
      </c>
      <c r="D106" s="55" t="s">
        <v>1947</v>
      </c>
      <c r="E106" s="55" t="s">
        <v>1947</v>
      </c>
      <c r="F106" s="55" t="s">
        <v>1194</v>
      </c>
      <c r="G106" s="55" t="s">
        <v>1195</v>
      </c>
      <c r="H106" s="55" t="s">
        <v>1248</v>
      </c>
      <c r="I106" s="55" t="s">
        <v>366</v>
      </c>
      <c r="J106" s="55" t="s">
        <v>1948</v>
      </c>
      <c r="K106" s="55" t="s">
        <v>373</v>
      </c>
      <c r="L106" s="55" t="n">
        <v>1.0625</v>
      </c>
      <c r="M106" s="55" t="n">
        <v>1.0625</v>
      </c>
      <c r="N106" s="55" t="s">
        <v>141</v>
      </c>
      <c r="O106" s="57"/>
      <c r="P106" s="55"/>
      <c r="Q106" s="55"/>
      <c r="R106" s="55" t="n">
        <v>46</v>
      </c>
      <c r="S106" s="55" t="n">
        <v>168</v>
      </c>
      <c r="T106" s="55"/>
      <c r="U106" s="55" t="s">
        <v>372</v>
      </c>
      <c r="V106" s="55" t="s">
        <v>1949</v>
      </c>
      <c r="W106" s="55" t="s">
        <v>1500</v>
      </c>
      <c r="X106" s="4"/>
      <c r="Y106" s="4"/>
      <c r="Z106" s="4"/>
    </row>
    <row r="107" customFormat="false" ht="15.75" hidden="false" customHeight="true" outlineLevel="0" collapsed="false">
      <c r="A107" s="55" t="n">
        <v>1632</v>
      </c>
      <c r="B107" s="55" t="s">
        <v>374</v>
      </c>
      <c r="C107" s="55" t="s">
        <v>375</v>
      </c>
      <c r="D107" s="55" t="s">
        <v>1919</v>
      </c>
      <c r="E107" s="55" t="s">
        <v>1919</v>
      </c>
      <c r="F107" s="55" t="s">
        <v>1194</v>
      </c>
      <c r="G107" s="55" t="s">
        <v>1195</v>
      </c>
      <c r="H107" s="55" t="s">
        <v>1248</v>
      </c>
      <c r="I107" s="55" t="s">
        <v>366</v>
      </c>
      <c r="J107" s="55" t="s">
        <v>1920</v>
      </c>
      <c r="K107" s="55" t="s">
        <v>376</v>
      </c>
      <c r="L107" s="55" t="n">
        <v>0.6875</v>
      </c>
      <c r="M107" s="55" t="n">
        <v>2.25</v>
      </c>
      <c r="N107" s="55" t="s">
        <v>141</v>
      </c>
      <c r="O107" s="57"/>
      <c r="P107" s="55"/>
      <c r="Q107" s="55"/>
      <c r="R107" s="55" t="n">
        <v>50</v>
      </c>
      <c r="S107" s="55" t="n">
        <v>222</v>
      </c>
      <c r="T107" s="55"/>
      <c r="U107" s="55" t="s">
        <v>375</v>
      </c>
      <c r="V107" s="55" t="s">
        <v>1921</v>
      </c>
      <c r="W107" s="55" t="s">
        <v>1500</v>
      </c>
      <c r="X107" s="4"/>
      <c r="Y107" s="4"/>
      <c r="Z107" s="4"/>
    </row>
    <row r="108" customFormat="false" ht="15.75" hidden="false" customHeight="true" outlineLevel="0" collapsed="false">
      <c r="A108" s="55" t="n">
        <v>1633</v>
      </c>
      <c r="B108" s="55" t="s">
        <v>380</v>
      </c>
      <c r="C108" s="55" t="s">
        <v>381</v>
      </c>
      <c r="D108" s="55" t="s">
        <v>1912</v>
      </c>
      <c r="E108" s="55" t="s">
        <v>1912</v>
      </c>
      <c r="F108" s="55" t="s">
        <v>1194</v>
      </c>
      <c r="G108" s="55" t="s">
        <v>1195</v>
      </c>
      <c r="H108" s="55" t="s">
        <v>1248</v>
      </c>
      <c r="I108" s="55" t="s">
        <v>379</v>
      </c>
      <c r="J108" s="55" t="s">
        <v>1913</v>
      </c>
      <c r="K108" s="55" t="s">
        <v>382</v>
      </c>
      <c r="L108" s="55" t="n">
        <v>1</v>
      </c>
      <c r="M108" s="55" t="n">
        <v>4.25</v>
      </c>
      <c r="N108" s="55" t="s">
        <v>141</v>
      </c>
      <c r="O108" s="57"/>
      <c r="P108" s="55"/>
      <c r="Q108" s="55"/>
      <c r="R108" s="55" t="n">
        <v>76</v>
      </c>
      <c r="S108" s="55" t="n">
        <v>346</v>
      </c>
      <c r="T108" s="55"/>
      <c r="U108" s="55" t="s">
        <v>381</v>
      </c>
      <c r="V108" s="55" t="s">
        <v>1914</v>
      </c>
      <c r="W108" s="55" t="s">
        <v>1500</v>
      </c>
      <c r="X108" s="4"/>
      <c r="Y108" s="4"/>
      <c r="Z108" s="4"/>
    </row>
    <row r="109" customFormat="false" ht="15.75" hidden="false" customHeight="true" outlineLevel="0" collapsed="false">
      <c r="A109" s="55" t="n">
        <v>1634</v>
      </c>
      <c r="B109" s="55" t="s">
        <v>383</v>
      </c>
      <c r="C109" s="55" t="s">
        <v>384</v>
      </c>
      <c r="D109" s="55" t="s">
        <v>1859</v>
      </c>
      <c r="E109" s="55" t="s">
        <v>1859</v>
      </c>
      <c r="F109" s="55" t="s">
        <v>1194</v>
      </c>
      <c r="G109" s="55" t="s">
        <v>1195</v>
      </c>
      <c r="H109" s="55" t="s">
        <v>1248</v>
      </c>
      <c r="I109" s="55" t="s">
        <v>379</v>
      </c>
      <c r="J109" s="55" t="s">
        <v>1860</v>
      </c>
      <c r="K109" s="55" t="s">
        <v>385</v>
      </c>
      <c r="L109" s="55" t="n">
        <v>0.6875</v>
      </c>
      <c r="M109" s="55" t="n">
        <v>5.25</v>
      </c>
      <c r="N109" s="55" t="s">
        <v>141</v>
      </c>
      <c r="O109" s="57"/>
      <c r="P109" s="55"/>
      <c r="Q109" s="55"/>
      <c r="R109" s="55" t="n">
        <v>58</v>
      </c>
      <c r="S109" s="55" t="n">
        <v>442</v>
      </c>
      <c r="T109" s="55"/>
      <c r="U109" s="55" t="s">
        <v>384</v>
      </c>
      <c r="V109" s="55" t="s">
        <v>1861</v>
      </c>
      <c r="W109" s="55" t="s">
        <v>1500</v>
      </c>
      <c r="X109" s="4"/>
      <c r="Y109" s="4"/>
      <c r="Z109" s="4"/>
    </row>
    <row r="110" customFormat="false" ht="15.75" hidden="false" customHeight="true" outlineLevel="0" collapsed="false">
      <c r="A110" s="55" t="n">
        <v>1635</v>
      </c>
      <c r="B110" s="55" t="s">
        <v>2914</v>
      </c>
      <c r="C110" s="55" t="s">
        <v>2915</v>
      </c>
      <c r="D110" s="55" t="s">
        <v>2916</v>
      </c>
      <c r="E110" s="55" t="s">
        <v>2916</v>
      </c>
      <c r="F110" s="55" t="s">
        <v>1194</v>
      </c>
      <c r="G110" s="55" t="s">
        <v>1195</v>
      </c>
      <c r="H110" s="55" t="s">
        <v>1248</v>
      </c>
      <c r="I110" s="55" t="s">
        <v>379</v>
      </c>
      <c r="J110" s="55" t="s">
        <v>2917</v>
      </c>
      <c r="K110" s="55" t="s">
        <v>2918</v>
      </c>
      <c r="L110" s="55" t="n">
        <v>1.1875</v>
      </c>
      <c r="M110" s="55" t="n">
        <v>5.25</v>
      </c>
      <c r="N110" s="55" t="s">
        <v>1270</v>
      </c>
      <c r="O110" s="55" t="s">
        <v>1270</v>
      </c>
      <c r="P110" s="55"/>
      <c r="Q110" s="55"/>
      <c r="R110" s="55" t="n">
        <v>71</v>
      </c>
      <c r="S110" s="55" t="n">
        <v>462</v>
      </c>
      <c r="T110" s="55"/>
      <c r="U110" s="55" t="s">
        <v>2915</v>
      </c>
      <c r="V110" s="55" t="s">
        <v>2919</v>
      </c>
      <c r="W110" s="55"/>
      <c r="X110" s="4"/>
      <c r="Y110" s="4"/>
      <c r="Z110" s="4"/>
    </row>
    <row r="111" customFormat="false" ht="15.75" hidden="false" customHeight="true" outlineLevel="0" collapsed="false">
      <c r="A111" s="55" t="n">
        <v>1636</v>
      </c>
      <c r="B111" s="55" t="s">
        <v>1331</v>
      </c>
      <c r="C111" s="55" t="s">
        <v>1332</v>
      </c>
      <c r="D111" s="55" t="s">
        <v>1333</v>
      </c>
      <c r="E111" s="55"/>
      <c r="F111" s="55" t="s">
        <v>1194</v>
      </c>
      <c r="G111" s="55" t="s">
        <v>1194</v>
      </c>
      <c r="H111" s="55" t="s">
        <v>1248</v>
      </c>
      <c r="I111" s="55" t="s">
        <v>379</v>
      </c>
      <c r="J111" s="55" t="s">
        <v>1334</v>
      </c>
      <c r="K111" s="55" t="s">
        <v>1335</v>
      </c>
      <c r="L111" s="55" t="n">
        <v>1.625</v>
      </c>
      <c r="M111" s="55" t="n">
        <v>6</v>
      </c>
      <c r="N111" s="55" t="s">
        <v>1336</v>
      </c>
      <c r="O111" s="55" t="s">
        <v>1270</v>
      </c>
      <c r="P111" s="55"/>
      <c r="Q111" s="55"/>
      <c r="R111" s="55" t="n">
        <v>59</v>
      </c>
      <c r="S111" s="55" t="n">
        <v>215</v>
      </c>
      <c r="T111" s="55"/>
      <c r="U111" s="55"/>
      <c r="V111" s="55"/>
      <c r="W111" s="58" t="s">
        <v>1307</v>
      </c>
      <c r="X111" s="4"/>
      <c r="Y111" s="4"/>
      <c r="Z111" s="4"/>
    </row>
    <row r="112" customFormat="false" ht="15.75" hidden="false" customHeight="true" outlineLevel="0" collapsed="false">
      <c r="A112" s="55" t="n">
        <v>1637</v>
      </c>
      <c r="B112" s="55" t="s">
        <v>2920</v>
      </c>
      <c r="C112" s="55" t="s">
        <v>2921</v>
      </c>
      <c r="D112" s="55" t="s">
        <v>2922</v>
      </c>
      <c r="E112" s="55" t="s">
        <v>2922</v>
      </c>
      <c r="F112" s="55" t="s">
        <v>1194</v>
      </c>
      <c r="G112" s="55" t="s">
        <v>1195</v>
      </c>
      <c r="H112" s="55" t="s">
        <v>1248</v>
      </c>
      <c r="I112" s="55" t="s">
        <v>379</v>
      </c>
      <c r="J112" s="55" t="s">
        <v>2923</v>
      </c>
      <c r="K112" s="55" t="s">
        <v>2924</v>
      </c>
      <c r="L112" s="55" t="n">
        <v>1</v>
      </c>
      <c r="M112" s="55" t="n">
        <v>6.375</v>
      </c>
      <c r="N112" s="55" t="s">
        <v>1270</v>
      </c>
      <c r="O112" s="55" t="s">
        <v>1270</v>
      </c>
      <c r="P112" s="55"/>
      <c r="Q112" s="55"/>
      <c r="R112" s="55" t="n">
        <v>61</v>
      </c>
      <c r="S112" s="55" t="n">
        <v>218</v>
      </c>
      <c r="T112" s="55"/>
      <c r="U112" s="55" t="s">
        <v>2921</v>
      </c>
      <c r="V112" s="55" t="s">
        <v>2925</v>
      </c>
      <c r="W112" s="55"/>
      <c r="X112" s="4"/>
      <c r="Y112" s="4"/>
      <c r="Z112" s="4"/>
    </row>
    <row r="113" customFormat="false" ht="15.75" hidden="false" customHeight="true" outlineLevel="0" collapsed="false">
      <c r="A113" s="55" t="n">
        <v>1638</v>
      </c>
      <c r="B113" s="55" t="s">
        <v>386</v>
      </c>
      <c r="C113" s="55" t="s">
        <v>387</v>
      </c>
      <c r="D113" s="55" t="s">
        <v>1862</v>
      </c>
      <c r="E113" s="55" t="s">
        <v>1862</v>
      </c>
      <c r="F113" s="55" t="s">
        <v>1194</v>
      </c>
      <c r="G113" s="55" t="s">
        <v>1195</v>
      </c>
      <c r="H113" s="55" t="s">
        <v>1248</v>
      </c>
      <c r="I113" s="55" t="s">
        <v>379</v>
      </c>
      <c r="J113" s="55" t="s">
        <v>1863</v>
      </c>
      <c r="K113" s="55" t="s">
        <v>376</v>
      </c>
      <c r="L113" s="55" t="n">
        <v>0.6875</v>
      </c>
      <c r="M113" s="55" t="n">
        <v>2.25</v>
      </c>
      <c r="N113" s="55" t="s">
        <v>141</v>
      </c>
      <c r="O113" s="57"/>
      <c r="P113" s="55"/>
      <c r="Q113" s="55"/>
      <c r="R113" s="55" t="n">
        <v>58</v>
      </c>
      <c r="S113" s="55" t="n">
        <v>243</v>
      </c>
      <c r="T113" s="55"/>
      <c r="U113" s="55" t="s">
        <v>387</v>
      </c>
      <c r="V113" s="55" t="s">
        <v>1864</v>
      </c>
      <c r="W113" s="55" t="s">
        <v>1500</v>
      </c>
      <c r="X113" s="4"/>
      <c r="Y113" s="4"/>
      <c r="Z113" s="4"/>
    </row>
    <row r="114" customFormat="false" ht="15.75" hidden="false" customHeight="true" outlineLevel="0" collapsed="false">
      <c r="A114" s="55" t="n">
        <v>1639</v>
      </c>
      <c r="B114" s="55" t="s">
        <v>388</v>
      </c>
      <c r="C114" s="55" t="s">
        <v>389</v>
      </c>
      <c r="D114" s="55" t="s">
        <v>1865</v>
      </c>
      <c r="E114" s="55" t="s">
        <v>1865</v>
      </c>
      <c r="F114" s="55" t="s">
        <v>1194</v>
      </c>
      <c r="G114" s="55" t="s">
        <v>1195</v>
      </c>
      <c r="H114" s="55" t="s">
        <v>1248</v>
      </c>
      <c r="I114" s="55" t="s">
        <v>379</v>
      </c>
      <c r="J114" s="55" t="s">
        <v>1866</v>
      </c>
      <c r="K114" s="55" t="s">
        <v>329</v>
      </c>
      <c r="L114" s="55" t="n">
        <v>0.75</v>
      </c>
      <c r="M114" s="55" t="n">
        <v>3.5</v>
      </c>
      <c r="N114" s="55" t="s">
        <v>141</v>
      </c>
      <c r="O114" s="57"/>
      <c r="P114" s="55"/>
      <c r="Q114" s="55"/>
      <c r="R114" s="55" t="n">
        <v>57</v>
      </c>
      <c r="S114" s="55" t="n">
        <v>193</v>
      </c>
      <c r="T114" s="55"/>
      <c r="U114" s="55" t="s">
        <v>389</v>
      </c>
      <c r="V114" s="55" t="s">
        <v>1867</v>
      </c>
      <c r="W114" s="55" t="s">
        <v>1500</v>
      </c>
      <c r="X114" s="4"/>
      <c r="Y114" s="4"/>
      <c r="Z114" s="4"/>
    </row>
    <row r="115" customFormat="false" ht="15.75" hidden="false" customHeight="true" outlineLevel="0" collapsed="false">
      <c r="A115" s="55" t="n">
        <v>1640</v>
      </c>
      <c r="B115" s="55" t="s">
        <v>390</v>
      </c>
      <c r="C115" s="55" t="s">
        <v>391</v>
      </c>
      <c r="D115" s="55" t="s">
        <v>2452</v>
      </c>
      <c r="E115" s="55"/>
      <c r="F115" s="55" t="s">
        <v>1194</v>
      </c>
      <c r="G115" s="55" t="s">
        <v>1194</v>
      </c>
      <c r="H115" s="55" t="s">
        <v>1248</v>
      </c>
      <c r="I115" s="55" t="s">
        <v>379</v>
      </c>
      <c r="J115" s="55" t="s">
        <v>2453</v>
      </c>
      <c r="K115" s="55" t="s">
        <v>392</v>
      </c>
      <c r="L115" s="55" t="n">
        <v>0.6875</v>
      </c>
      <c r="M115" s="55" t="n">
        <v>3.875</v>
      </c>
      <c r="N115" s="55" t="s">
        <v>141</v>
      </c>
      <c r="O115" s="57"/>
      <c r="P115" s="55"/>
      <c r="Q115" s="55"/>
      <c r="R115" s="55" t="n">
        <v>53</v>
      </c>
      <c r="S115" s="55" t="n">
        <v>86</v>
      </c>
      <c r="T115" s="55"/>
      <c r="U115" s="55"/>
      <c r="V115" s="55"/>
      <c r="W115" s="58" t="s">
        <v>2454</v>
      </c>
      <c r="X115" s="4"/>
      <c r="Y115" s="4"/>
      <c r="Z115" s="4"/>
    </row>
    <row r="116" customFormat="false" ht="15.75" hidden="false" customHeight="true" outlineLevel="0" collapsed="false">
      <c r="A116" s="55" t="n">
        <v>1641</v>
      </c>
      <c r="B116" s="55" t="s">
        <v>393</v>
      </c>
      <c r="C116" s="55" t="s">
        <v>394</v>
      </c>
      <c r="D116" s="55" t="s">
        <v>1868</v>
      </c>
      <c r="E116" s="55" t="s">
        <v>1868</v>
      </c>
      <c r="F116" s="55" t="s">
        <v>1194</v>
      </c>
      <c r="G116" s="55" t="s">
        <v>1195</v>
      </c>
      <c r="H116" s="55" t="s">
        <v>1248</v>
      </c>
      <c r="I116" s="55" t="s">
        <v>379</v>
      </c>
      <c r="J116" s="55" t="s">
        <v>1869</v>
      </c>
      <c r="K116" s="55" t="s">
        <v>395</v>
      </c>
      <c r="L116" s="55" t="n">
        <v>0.75</v>
      </c>
      <c r="M116" s="55" t="n">
        <v>3.25</v>
      </c>
      <c r="N116" s="55" t="s">
        <v>141</v>
      </c>
      <c r="O116" s="57"/>
      <c r="P116" s="55"/>
      <c r="Q116" s="55"/>
      <c r="R116" s="55" t="n">
        <v>56</v>
      </c>
      <c r="S116" s="55" t="n">
        <v>245</v>
      </c>
      <c r="T116" s="55"/>
      <c r="U116" s="55" t="s">
        <v>394</v>
      </c>
      <c r="V116" s="55" t="s">
        <v>1870</v>
      </c>
      <c r="W116" s="55" t="s">
        <v>1500</v>
      </c>
      <c r="X116" s="4"/>
      <c r="Y116" s="4"/>
      <c r="Z116" s="4"/>
    </row>
    <row r="117" customFormat="false" ht="15.75" hidden="false" customHeight="true" outlineLevel="0" collapsed="false">
      <c r="A117" s="55" t="n">
        <v>1642</v>
      </c>
      <c r="B117" s="55" t="s">
        <v>398</v>
      </c>
      <c r="C117" s="55" t="s">
        <v>399</v>
      </c>
      <c r="D117" s="55" t="s">
        <v>2455</v>
      </c>
      <c r="E117" s="55"/>
      <c r="F117" s="55" t="s">
        <v>1194</v>
      </c>
      <c r="G117" s="55" t="s">
        <v>1194</v>
      </c>
      <c r="H117" s="55" t="s">
        <v>1248</v>
      </c>
      <c r="I117" s="55" t="s">
        <v>379</v>
      </c>
      <c r="J117" s="55" t="s">
        <v>2456</v>
      </c>
      <c r="K117" s="55" t="s">
        <v>400</v>
      </c>
      <c r="L117" s="55" t="n">
        <v>0.8125</v>
      </c>
      <c r="M117" s="55" t="n">
        <v>3.625</v>
      </c>
      <c r="N117" s="55" t="s">
        <v>141</v>
      </c>
      <c r="O117" s="57"/>
      <c r="P117" s="55"/>
      <c r="Q117" s="55"/>
      <c r="R117" s="55" t="n">
        <v>71</v>
      </c>
      <c r="S117" s="55" t="n">
        <v>121</v>
      </c>
      <c r="T117" s="55"/>
      <c r="U117" s="55"/>
      <c r="V117" s="55"/>
      <c r="W117" s="58" t="s">
        <v>2454</v>
      </c>
      <c r="X117" s="4"/>
      <c r="Y117" s="4"/>
      <c r="Z117" s="4"/>
    </row>
    <row r="118" customFormat="false" ht="15.75" hidden="false" customHeight="true" outlineLevel="0" collapsed="false">
      <c r="A118" s="55" t="n">
        <v>1643</v>
      </c>
      <c r="B118" s="55" t="s">
        <v>2926</v>
      </c>
      <c r="C118" s="55" t="s">
        <v>2927</v>
      </c>
      <c r="D118" s="55" t="s">
        <v>2928</v>
      </c>
      <c r="E118" s="55" t="s">
        <v>2928</v>
      </c>
      <c r="F118" s="55" t="s">
        <v>1194</v>
      </c>
      <c r="G118" s="55" t="s">
        <v>1195</v>
      </c>
      <c r="H118" s="55" t="s">
        <v>1248</v>
      </c>
      <c r="I118" s="55" t="s">
        <v>379</v>
      </c>
      <c r="J118" s="55" t="s">
        <v>2929</v>
      </c>
      <c r="K118" s="55" t="s">
        <v>2930</v>
      </c>
      <c r="L118" s="55" t="n">
        <v>0.6875</v>
      </c>
      <c r="M118" s="55" t="n">
        <v>4.25</v>
      </c>
      <c r="N118" s="55" t="s">
        <v>2931</v>
      </c>
      <c r="O118" s="55" t="s">
        <v>1270</v>
      </c>
      <c r="P118" s="55"/>
      <c r="Q118" s="55"/>
      <c r="R118" s="55" t="n">
        <v>77</v>
      </c>
      <c r="S118" s="55" t="n">
        <v>481</v>
      </c>
      <c r="T118" s="55"/>
      <c r="U118" s="55" t="s">
        <v>2932</v>
      </c>
      <c r="V118" s="55" t="s">
        <v>2933</v>
      </c>
      <c r="W118" s="55"/>
      <c r="X118" s="4"/>
      <c r="Y118" s="4"/>
      <c r="Z118" s="4"/>
    </row>
    <row r="119" customFormat="false" ht="15.75" hidden="false" customHeight="true" outlineLevel="0" collapsed="false">
      <c r="A119" s="55" t="n">
        <v>1644</v>
      </c>
      <c r="B119" s="55" t="s">
        <v>401</v>
      </c>
      <c r="C119" s="55" t="s">
        <v>402</v>
      </c>
      <c r="D119" s="55" t="s">
        <v>1871</v>
      </c>
      <c r="E119" s="55" t="s">
        <v>1871</v>
      </c>
      <c r="F119" s="55" t="s">
        <v>1194</v>
      </c>
      <c r="G119" s="55" t="s">
        <v>1195</v>
      </c>
      <c r="H119" s="55" t="s">
        <v>1248</v>
      </c>
      <c r="I119" s="55" t="s">
        <v>379</v>
      </c>
      <c r="J119" s="55" t="s">
        <v>1872</v>
      </c>
      <c r="K119" s="55" t="s">
        <v>403</v>
      </c>
      <c r="L119" s="55" t="n">
        <v>0.8125</v>
      </c>
      <c r="M119" s="55" t="n">
        <v>4.9375</v>
      </c>
      <c r="N119" s="55" t="s">
        <v>141</v>
      </c>
      <c r="O119" s="57"/>
      <c r="P119" s="55"/>
      <c r="Q119" s="55"/>
      <c r="R119" s="55" t="n">
        <v>38</v>
      </c>
      <c r="S119" s="55" t="n">
        <v>123</v>
      </c>
      <c r="T119" s="55"/>
      <c r="U119" s="55" t="s">
        <v>402</v>
      </c>
      <c r="V119" s="55" t="s">
        <v>1873</v>
      </c>
      <c r="W119" s="55" t="s">
        <v>1500</v>
      </c>
      <c r="X119" s="4"/>
      <c r="Y119" s="4"/>
      <c r="Z119" s="4"/>
    </row>
    <row r="120" customFormat="false" ht="15.75" hidden="false" customHeight="true" outlineLevel="0" collapsed="false">
      <c r="A120" s="55" t="n">
        <v>1645</v>
      </c>
      <c r="B120" s="55" t="s">
        <v>2934</v>
      </c>
      <c r="C120" s="55" t="s">
        <v>2935</v>
      </c>
      <c r="D120" s="55" t="s">
        <v>2936</v>
      </c>
      <c r="E120" s="55" t="s">
        <v>2936</v>
      </c>
      <c r="F120" s="55" t="s">
        <v>1194</v>
      </c>
      <c r="G120" s="55" t="s">
        <v>1195</v>
      </c>
      <c r="H120" s="55" t="s">
        <v>1248</v>
      </c>
      <c r="I120" s="55" t="s">
        <v>379</v>
      </c>
      <c r="J120" s="55" t="s">
        <v>2937</v>
      </c>
      <c r="K120" s="55" t="s">
        <v>406</v>
      </c>
      <c r="L120" s="55" t="n">
        <v>0.75</v>
      </c>
      <c r="M120" s="55" t="n">
        <v>5.25</v>
      </c>
      <c r="N120" s="55" t="s">
        <v>665</v>
      </c>
      <c r="O120" s="55" t="s">
        <v>1270</v>
      </c>
      <c r="P120" s="55"/>
      <c r="Q120" s="55"/>
      <c r="R120" s="55" t="n">
        <v>75</v>
      </c>
      <c r="S120" s="55" t="n">
        <v>493</v>
      </c>
      <c r="T120" s="55"/>
      <c r="U120" s="55" t="s">
        <v>2938</v>
      </c>
      <c r="V120" s="55" t="s">
        <v>2939</v>
      </c>
      <c r="W120" s="55"/>
      <c r="X120" s="4"/>
      <c r="Y120" s="4"/>
      <c r="Z120" s="4"/>
    </row>
    <row r="121" customFormat="false" ht="15.75" hidden="false" customHeight="true" outlineLevel="0" collapsed="false">
      <c r="A121" s="55" t="n">
        <v>1646</v>
      </c>
      <c r="B121" s="55" t="s">
        <v>404</v>
      </c>
      <c r="C121" s="55" t="s">
        <v>405</v>
      </c>
      <c r="D121" s="55" t="s">
        <v>1874</v>
      </c>
      <c r="E121" s="55" t="s">
        <v>1874</v>
      </c>
      <c r="F121" s="55" t="s">
        <v>1194</v>
      </c>
      <c r="G121" s="55" t="s">
        <v>1195</v>
      </c>
      <c r="H121" s="55" t="s">
        <v>1248</v>
      </c>
      <c r="I121" s="55" t="s">
        <v>379</v>
      </c>
      <c r="J121" s="55" t="s">
        <v>1875</v>
      </c>
      <c r="K121" s="55" t="s">
        <v>406</v>
      </c>
      <c r="L121" s="55" t="n">
        <v>0.75</v>
      </c>
      <c r="M121" s="55" t="n">
        <v>5.25</v>
      </c>
      <c r="N121" s="55" t="s">
        <v>141</v>
      </c>
      <c r="O121" s="57"/>
      <c r="P121" s="55"/>
      <c r="Q121" s="55"/>
      <c r="R121" s="55" t="n">
        <v>50</v>
      </c>
      <c r="S121" s="55" t="n">
        <v>276</v>
      </c>
      <c r="T121" s="55"/>
      <c r="U121" s="55" t="s">
        <v>405</v>
      </c>
      <c r="V121" s="55" t="s">
        <v>1876</v>
      </c>
      <c r="W121" s="55" t="s">
        <v>1500</v>
      </c>
      <c r="X121" s="4"/>
      <c r="Y121" s="4"/>
      <c r="Z121" s="4"/>
    </row>
    <row r="122" customFormat="false" ht="15.75" hidden="false" customHeight="true" outlineLevel="0" collapsed="false">
      <c r="A122" s="55" t="n">
        <v>1647</v>
      </c>
      <c r="B122" s="55" t="s">
        <v>407</v>
      </c>
      <c r="C122" s="55" t="s">
        <v>408</v>
      </c>
      <c r="D122" s="55" t="s">
        <v>1877</v>
      </c>
      <c r="E122" s="55" t="s">
        <v>1877</v>
      </c>
      <c r="F122" s="55" t="s">
        <v>1194</v>
      </c>
      <c r="G122" s="55" t="s">
        <v>1195</v>
      </c>
      <c r="H122" s="55" t="s">
        <v>1248</v>
      </c>
      <c r="I122" s="55" t="s">
        <v>379</v>
      </c>
      <c r="J122" s="55" t="s">
        <v>1878</v>
      </c>
      <c r="K122" s="55" t="s">
        <v>409</v>
      </c>
      <c r="L122" s="55" t="n">
        <v>0.8125</v>
      </c>
      <c r="M122" s="55" t="n">
        <v>5.25</v>
      </c>
      <c r="N122" s="55" t="s">
        <v>141</v>
      </c>
      <c r="O122" s="57"/>
      <c r="P122" s="55"/>
      <c r="Q122" s="55"/>
      <c r="R122" s="55" t="n">
        <v>38</v>
      </c>
      <c r="S122" s="55" t="n">
        <v>292</v>
      </c>
      <c r="T122" s="55"/>
      <c r="U122" s="55" t="s">
        <v>1879</v>
      </c>
      <c r="V122" s="55" t="s">
        <v>1880</v>
      </c>
      <c r="W122" s="55" t="s">
        <v>1500</v>
      </c>
      <c r="X122" s="4"/>
      <c r="Y122" s="4"/>
      <c r="Z122" s="4"/>
    </row>
    <row r="123" customFormat="false" ht="15.75" hidden="false" customHeight="true" outlineLevel="0" collapsed="false">
      <c r="A123" s="55" t="n">
        <v>1648</v>
      </c>
      <c r="B123" s="55" t="s">
        <v>1367</v>
      </c>
      <c r="C123" s="55" t="s">
        <v>1368</v>
      </c>
      <c r="D123" s="55" t="s">
        <v>1369</v>
      </c>
      <c r="E123" s="55" t="s">
        <v>1369</v>
      </c>
      <c r="F123" s="55" t="s">
        <v>1194</v>
      </c>
      <c r="G123" s="55" t="s">
        <v>1195</v>
      </c>
      <c r="H123" s="55" t="s">
        <v>1248</v>
      </c>
      <c r="I123" s="55" t="s">
        <v>379</v>
      </c>
      <c r="J123" s="55" t="s">
        <v>1370</v>
      </c>
      <c r="K123" s="55" t="s">
        <v>1371</v>
      </c>
      <c r="L123" s="55"/>
      <c r="M123" s="55"/>
      <c r="N123" s="55" t="s">
        <v>1372</v>
      </c>
      <c r="O123" s="55" t="s">
        <v>1270</v>
      </c>
      <c r="P123" s="55"/>
      <c r="Q123" s="55"/>
      <c r="R123" s="55" t="n">
        <v>66</v>
      </c>
      <c r="S123" s="55" t="n">
        <v>413</v>
      </c>
      <c r="T123" s="55"/>
      <c r="U123" s="55" t="s">
        <v>1368</v>
      </c>
      <c r="V123" s="55" t="s">
        <v>1373</v>
      </c>
      <c r="W123" s="55" t="s">
        <v>1374</v>
      </c>
      <c r="X123" s="4"/>
      <c r="Y123" s="4"/>
      <c r="Z123" s="4"/>
    </row>
    <row r="124" customFormat="false" ht="15.75" hidden="false" customHeight="true" outlineLevel="0" collapsed="false">
      <c r="A124" s="55" t="n">
        <v>1649</v>
      </c>
      <c r="B124" s="55" t="s">
        <v>1342</v>
      </c>
      <c r="C124" s="55" t="s">
        <v>1343</v>
      </c>
      <c r="D124" s="55" t="s">
        <v>1344</v>
      </c>
      <c r="E124" s="55"/>
      <c r="F124" s="55" t="s">
        <v>1194</v>
      </c>
      <c r="G124" s="55" t="s">
        <v>1194</v>
      </c>
      <c r="H124" s="55" t="s">
        <v>1248</v>
      </c>
      <c r="I124" s="55" t="s">
        <v>379</v>
      </c>
      <c r="J124" s="55" t="s">
        <v>1345</v>
      </c>
      <c r="K124" s="55" t="s">
        <v>1346</v>
      </c>
      <c r="L124" s="55" t="n">
        <v>0.625</v>
      </c>
      <c r="M124" s="55" t="n">
        <v>4.5</v>
      </c>
      <c r="N124" s="55" t="s">
        <v>1270</v>
      </c>
      <c r="O124" s="55" t="s">
        <v>1270</v>
      </c>
      <c r="P124" s="55"/>
      <c r="Q124" s="55"/>
      <c r="R124" s="55" t="n">
        <v>34</v>
      </c>
      <c r="S124" s="55" t="n">
        <v>105</v>
      </c>
      <c r="T124" s="55"/>
      <c r="U124" s="55"/>
      <c r="V124" s="55"/>
      <c r="W124" s="58" t="s">
        <v>1307</v>
      </c>
      <c r="X124" s="4"/>
      <c r="Y124" s="4"/>
      <c r="Z124" s="4"/>
    </row>
    <row r="125" customFormat="false" ht="15.75" hidden="false" customHeight="true" outlineLevel="0" collapsed="false">
      <c r="A125" s="55" t="n">
        <v>1650</v>
      </c>
      <c r="B125" s="55" t="s">
        <v>1337</v>
      </c>
      <c r="C125" s="55" t="s">
        <v>1338</v>
      </c>
      <c r="D125" s="55" t="s">
        <v>1339</v>
      </c>
      <c r="E125" s="55"/>
      <c r="F125" s="55" t="s">
        <v>1194</v>
      </c>
      <c r="G125" s="55" t="s">
        <v>1194</v>
      </c>
      <c r="H125" s="55" t="s">
        <v>1248</v>
      </c>
      <c r="I125" s="55" t="s">
        <v>379</v>
      </c>
      <c r="J125" s="55" t="s">
        <v>1340</v>
      </c>
      <c r="K125" s="55" t="s">
        <v>1341</v>
      </c>
      <c r="L125" s="55" t="n">
        <v>0.75</v>
      </c>
      <c r="M125" s="55" t="n">
        <v>5.875</v>
      </c>
      <c r="N125" s="55" t="s">
        <v>1270</v>
      </c>
      <c r="O125" s="55" t="s">
        <v>1270</v>
      </c>
      <c r="P125" s="55"/>
      <c r="Q125" s="55"/>
      <c r="R125" s="55" t="n">
        <v>34</v>
      </c>
      <c r="S125" s="55" t="n">
        <v>150</v>
      </c>
      <c r="T125" s="55"/>
      <c r="U125" s="55"/>
      <c r="V125" s="55"/>
      <c r="W125" s="58" t="s">
        <v>1307</v>
      </c>
      <c r="X125" s="4"/>
      <c r="Y125" s="4"/>
      <c r="Z125" s="4"/>
    </row>
    <row r="126" customFormat="false" ht="15.75" hidden="false" customHeight="true" outlineLevel="0" collapsed="false">
      <c r="A126" s="55" t="n">
        <v>1652</v>
      </c>
      <c r="B126" s="55" t="s">
        <v>437</v>
      </c>
      <c r="C126" s="55" t="s">
        <v>438</v>
      </c>
      <c r="D126" s="55" t="s">
        <v>1881</v>
      </c>
      <c r="E126" s="55" t="s">
        <v>1881</v>
      </c>
      <c r="F126" s="55" t="s">
        <v>1194</v>
      </c>
      <c r="G126" s="55" t="s">
        <v>1195</v>
      </c>
      <c r="H126" s="55" t="s">
        <v>1248</v>
      </c>
      <c r="I126" s="55" t="s">
        <v>420</v>
      </c>
      <c r="J126" s="55" t="s">
        <v>1882</v>
      </c>
      <c r="K126" s="55" t="s">
        <v>439</v>
      </c>
      <c r="L126" s="55" t="n">
        <v>0.375</v>
      </c>
      <c r="M126" s="55" t="n">
        <v>0.75</v>
      </c>
      <c r="N126" s="55" t="s">
        <v>141</v>
      </c>
      <c r="O126" s="57"/>
      <c r="P126" s="55"/>
      <c r="Q126" s="55"/>
      <c r="R126" s="55" t="n">
        <v>15</v>
      </c>
      <c r="S126" s="55" t="n">
        <v>184</v>
      </c>
      <c r="T126" s="55"/>
      <c r="U126" s="55" t="s">
        <v>438</v>
      </c>
      <c r="V126" s="55" t="s">
        <v>1883</v>
      </c>
      <c r="W126" s="55" t="s">
        <v>1500</v>
      </c>
      <c r="X126" s="4"/>
      <c r="Y126" s="4"/>
      <c r="Z126" s="4"/>
    </row>
    <row r="127" customFormat="false" ht="15.75" hidden="false" customHeight="true" outlineLevel="0" collapsed="false">
      <c r="A127" s="55" t="n">
        <v>1653</v>
      </c>
      <c r="B127" s="55" t="s">
        <v>440</v>
      </c>
      <c r="C127" s="55" t="s">
        <v>441</v>
      </c>
      <c r="D127" s="55" t="s">
        <v>1884</v>
      </c>
      <c r="E127" s="55" t="s">
        <v>1884</v>
      </c>
      <c r="F127" s="55" t="s">
        <v>1194</v>
      </c>
      <c r="G127" s="55" t="s">
        <v>1195</v>
      </c>
      <c r="H127" s="55" t="s">
        <v>1248</v>
      </c>
      <c r="I127" s="55" t="s">
        <v>420</v>
      </c>
      <c r="J127" s="55" t="s">
        <v>1885</v>
      </c>
      <c r="K127" s="55" t="s">
        <v>442</v>
      </c>
      <c r="L127" s="55" t="n">
        <v>0.4375</v>
      </c>
      <c r="M127" s="55" t="n">
        <v>0.75</v>
      </c>
      <c r="N127" s="55" t="s">
        <v>141</v>
      </c>
      <c r="O127" s="57"/>
      <c r="P127" s="55"/>
      <c r="Q127" s="55"/>
      <c r="R127" s="55" t="n">
        <v>13</v>
      </c>
      <c r="S127" s="55" t="n">
        <v>119</v>
      </c>
      <c r="T127" s="55"/>
      <c r="U127" s="55" t="s">
        <v>441</v>
      </c>
      <c r="V127" s="55" t="s">
        <v>1503</v>
      </c>
      <c r="W127" s="55" t="s">
        <v>1500</v>
      </c>
      <c r="X127" s="4"/>
      <c r="Y127" s="4"/>
      <c r="Z127" s="4"/>
    </row>
    <row r="128" customFormat="false" ht="15.75" hidden="false" customHeight="true" outlineLevel="0" collapsed="false">
      <c r="A128" s="55" t="n">
        <v>1654</v>
      </c>
      <c r="B128" s="55" t="s">
        <v>443</v>
      </c>
      <c r="C128" s="55" t="s">
        <v>444</v>
      </c>
      <c r="D128" s="55" t="s">
        <v>1886</v>
      </c>
      <c r="E128" s="55" t="s">
        <v>1886</v>
      </c>
      <c r="F128" s="55" t="s">
        <v>1194</v>
      </c>
      <c r="G128" s="55" t="s">
        <v>1195</v>
      </c>
      <c r="H128" s="55" t="s">
        <v>1248</v>
      </c>
      <c r="I128" s="55" t="s">
        <v>420</v>
      </c>
      <c r="J128" s="55" t="s">
        <v>1887</v>
      </c>
      <c r="K128" s="55" t="s">
        <v>445</v>
      </c>
      <c r="L128" s="55" t="n">
        <v>0.5</v>
      </c>
      <c r="M128" s="55" t="n">
        <v>0.875</v>
      </c>
      <c r="N128" s="55" t="s">
        <v>141</v>
      </c>
      <c r="O128" s="57"/>
      <c r="P128" s="55"/>
      <c r="Q128" s="55"/>
      <c r="R128" s="55" t="n">
        <v>23</v>
      </c>
      <c r="S128" s="55" t="n">
        <v>123</v>
      </c>
      <c r="T128" s="55"/>
      <c r="U128" s="55" t="s">
        <v>444</v>
      </c>
      <c r="V128" s="55" t="s">
        <v>1503</v>
      </c>
      <c r="W128" s="55" t="s">
        <v>1500</v>
      </c>
      <c r="X128" s="4"/>
      <c r="Y128" s="4"/>
      <c r="Z128" s="4"/>
    </row>
    <row r="129" customFormat="false" ht="15.75" hidden="false" customHeight="true" outlineLevel="0" collapsed="false">
      <c r="A129" s="55" t="n">
        <v>1655</v>
      </c>
      <c r="B129" s="55" t="s">
        <v>446</v>
      </c>
      <c r="C129" s="55" t="s">
        <v>447</v>
      </c>
      <c r="D129" s="55" t="s">
        <v>2457</v>
      </c>
      <c r="E129" s="55"/>
      <c r="F129" s="55" t="s">
        <v>1194</v>
      </c>
      <c r="G129" s="55" t="s">
        <v>1194</v>
      </c>
      <c r="H129" s="55" t="s">
        <v>1248</v>
      </c>
      <c r="I129" s="55" t="s">
        <v>420</v>
      </c>
      <c r="J129" s="55" t="s">
        <v>2458</v>
      </c>
      <c r="K129" s="55" t="s">
        <v>448</v>
      </c>
      <c r="L129" s="55" t="n">
        <v>0.375</v>
      </c>
      <c r="M129" s="55" t="n">
        <v>0.6875</v>
      </c>
      <c r="N129" s="55" t="s">
        <v>141</v>
      </c>
      <c r="O129" s="57"/>
      <c r="P129" s="55"/>
      <c r="Q129" s="55"/>
      <c r="R129" s="55" t="n">
        <v>13</v>
      </c>
      <c r="S129" s="55" t="n">
        <v>44</v>
      </c>
      <c r="T129" s="55"/>
      <c r="U129" s="55"/>
      <c r="V129" s="55"/>
      <c r="W129" s="58" t="s">
        <v>2454</v>
      </c>
      <c r="X129" s="4"/>
      <c r="Y129" s="4"/>
      <c r="Z129" s="4"/>
    </row>
    <row r="130" customFormat="false" ht="15.75" hidden="false" customHeight="true" outlineLevel="0" collapsed="false">
      <c r="A130" s="55" t="n">
        <v>1656</v>
      </c>
      <c r="B130" s="55" t="s">
        <v>449</v>
      </c>
      <c r="C130" s="55" t="s">
        <v>450</v>
      </c>
      <c r="D130" s="55" t="s">
        <v>1888</v>
      </c>
      <c r="E130" s="55" t="s">
        <v>1888</v>
      </c>
      <c r="F130" s="55" t="s">
        <v>1194</v>
      </c>
      <c r="G130" s="55" t="s">
        <v>1195</v>
      </c>
      <c r="H130" s="55" t="s">
        <v>1248</v>
      </c>
      <c r="I130" s="55" t="s">
        <v>420</v>
      </c>
      <c r="J130" s="55" t="s">
        <v>1889</v>
      </c>
      <c r="K130" s="55" t="s">
        <v>445</v>
      </c>
      <c r="L130" s="55" t="n">
        <v>0.5</v>
      </c>
      <c r="M130" s="55" t="n">
        <v>0.875</v>
      </c>
      <c r="N130" s="55" t="s">
        <v>141</v>
      </c>
      <c r="O130" s="57"/>
      <c r="P130" s="55"/>
      <c r="Q130" s="55"/>
      <c r="R130" s="55" t="n">
        <v>13</v>
      </c>
      <c r="S130" s="55" t="n">
        <v>64</v>
      </c>
      <c r="T130" s="55"/>
      <c r="U130" s="55" t="s">
        <v>450</v>
      </c>
      <c r="V130" s="55" t="s">
        <v>1503</v>
      </c>
      <c r="W130" s="55" t="s">
        <v>1500</v>
      </c>
      <c r="X130" s="4"/>
      <c r="Y130" s="4"/>
      <c r="Z130" s="4"/>
    </row>
    <row r="131" customFormat="false" ht="15.75" hidden="false" customHeight="true" outlineLevel="0" collapsed="false">
      <c r="A131" s="55" t="n">
        <v>1657</v>
      </c>
      <c r="B131" s="55" t="s">
        <v>451</v>
      </c>
      <c r="C131" s="55" t="s">
        <v>452</v>
      </c>
      <c r="D131" s="55" t="s">
        <v>1890</v>
      </c>
      <c r="E131" s="55" t="s">
        <v>1890</v>
      </c>
      <c r="F131" s="55" t="s">
        <v>1194</v>
      </c>
      <c r="G131" s="55" t="s">
        <v>1195</v>
      </c>
      <c r="H131" s="55" t="s">
        <v>1248</v>
      </c>
      <c r="I131" s="55" t="s">
        <v>420</v>
      </c>
      <c r="J131" s="55" t="s">
        <v>1891</v>
      </c>
      <c r="K131" s="55" t="s">
        <v>453</v>
      </c>
      <c r="L131" s="55" t="n">
        <v>0.4375</v>
      </c>
      <c r="M131" s="55" t="n">
        <v>0.6875</v>
      </c>
      <c r="N131" s="55" t="s">
        <v>141</v>
      </c>
      <c r="O131" s="57"/>
      <c r="P131" s="55"/>
      <c r="Q131" s="55"/>
      <c r="R131" s="55" t="n">
        <v>17</v>
      </c>
      <c r="S131" s="55" t="n">
        <v>116</v>
      </c>
      <c r="T131" s="55"/>
      <c r="U131" s="55" t="s">
        <v>452</v>
      </c>
      <c r="V131" s="55" t="s">
        <v>1503</v>
      </c>
      <c r="W131" s="55" t="s">
        <v>1500</v>
      </c>
      <c r="X131" s="4"/>
      <c r="Y131" s="4"/>
      <c r="Z131" s="4"/>
    </row>
    <row r="132" customFormat="false" ht="15.75" hidden="false" customHeight="true" outlineLevel="0" collapsed="false">
      <c r="A132" s="55" t="n">
        <v>1658</v>
      </c>
      <c r="B132" s="55" t="s">
        <v>454</v>
      </c>
      <c r="C132" s="55" t="s">
        <v>455</v>
      </c>
      <c r="D132" s="55" t="s">
        <v>1892</v>
      </c>
      <c r="E132" s="55" t="s">
        <v>1892</v>
      </c>
      <c r="F132" s="55" t="s">
        <v>1194</v>
      </c>
      <c r="G132" s="55" t="s">
        <v>1195</v>
      </c>
      <c r="H132" s="55" t="s">
        <v>1248</v>
      </c>
      <c r="I132" s="55" t="s">
        <v>420</v>
      </c>
      <c r="J132" s="55" t="s">
        <v>1893</v>
      </c>
      <c r="K132" s="55" t="s">
        <v>456</v>
      </c>
      <c r="L132" s="55" t="n">
        <v>0.625</v>
      </c>
      <c r="M132" s="55" t="n">
        <v>1.25</v>
      </c>
      <c r="N132" s="55" t="s">
        <v>141</v>
      </c>
      <c r="O132" s="57"/>
      <c r="P132" s="55"/>
      <c r="Q132" s="55"/>
      <c r="R132" s="55" t="n">
        <v>15</v>
      </c>
      <c r="S132" s="55" t="n">
        <v>105</v>
      </c>
      <c r="T132" s="55"/>
      <c r="U132" s="55" t="s">
        <v>455</v>
      </c>
      <c r="V132" s="55" t="s">
        <v>1894</v>
      </c>
      <c r="W132" s="55" t="s">
        <v>1500</v>
      </c>
      <c r="X132" s="4"/>
      <c r="Y132" s="4"/>
      <c r="Z132" s="4"/>
    </row>
    <row r="133" customFormat="false" ht="15.75" hidden="false" customHeight="true" outlineLevel="0" collapsed="false">
      <c r="A133" s="55" t="n">
        <v>1659</v>
      </c>
      <c r="B133" s="55" t="s">
        <v>457</v>
      </c>
      <c r="C133" s="55" t="s">
        <v>458</v>
      </c>
      <c r="D133" s="55" t="s">
        <v>1895</v>
      </c>
      <c r="E133" s="55" t="s">
        <v>1895</v>
      </c>
      <c r="F133" s="55" t="s">
        <v>1194</v>
      </c>
      <c r="G133" s="55" t="s">
        <v>1195</v>
      </c>
      <c r="H133" s="55" t="s">
        <v>1248</v>
      </c>
      <c r="I133" s="55" t="s">
        <v>420</v>
      </c>
      <c r="J133" s="55" t="s">
        <v>1896</v>
      </c>
      <c r="K133" s="55" t="s">
        <v>459</v>
      </c>
      <c r="L133" s="55" t="n">
        <v>0.4375</v>
      </c>
      <c r="M133" s="55" t="n">
        <v>1.0625</v>
      </c>
      <c r="N133" s="55" t="s">
        <v>141</v>
      </c>
      <c r="O133" s="57"/>
      <c r="P133" s="55"/>
      <c r="Q133" s="55"/>
      <c r="R133" s="55" t="n">
        <v>13</v>
      </c>
      <c r="S133" s="55" t="n">
        <v>124</v>
      </c>
      <c r="T133" s="55"/>
      <c r="U133" s="55" t="s">
        <v>458</v>
      </c>
      <c r="V133" s="55" t="s">
        <v>1503</v>
      </c>
      <c r="W133" s="55" t="s">
        <v>1500</v>
      </c>
      <c r="X133" s="4"/>
      <c r="Y133" s="4"/>
      <c r="Z133" s="4"/>
    </row>
    <row r="134" customFormat="false" ht="15.75" hidden="false" customHeight="true" outlineLevel="0" collapsed="false">
      <c r="A134" s="55" t="n">
        <v>1660</v>
      </c>
      <c r="B134" s="55" t="s">
        <v>460</v>
      </c>
      <c r="C134" s="55" t="s">
        <v>461</v>
      </c>
      <c r="D134" s="55" t="s">
        <v>1702</v>
      </c>
      <c r="E134" s="55" t="s">
        <v>1702</v>
      </c>
      <c r="F134" s="55" t="s">
        <v>1194</v>
      </c>
      <c r="G134" s="55" t="s">
        <v>1195</v>
      </c>
      <c r="H134" s="55" t="s">
        <v>1248</v>
      </c>
      <c r="I134" s="55" t="s">
        <v>420</v>
      </c>
      <c r="J134" s="55" t="s">
        <v>1703</v>
      </c>
      <c r="K134" s="55" t="s">
        <v>462</v>
      </c>
      <c r="L134" s="55" t="n">
        <v>0.75</v>
      </c>
      <c r="M134" s="55" t="n">
        <v>1.625</v>
      </c>
      <c r="N134" s="55" t="s">
        <v>141</v>
      </c>
      <c r="O134" s="57"/>
      <c r="P134" s="55"/>
      <c r="Q134" s="55"/>
      <c r="R134" s="55" t="n">
        <v>15</v>
      </c>
      <c r="S134" s="55" t="n">
        <v>81</v>
      </c>
      <c r="T134" s="55"/>
      <c r="U134" s="55" t="s">
        <v>461</v>
      </c>
      <c r="V134" s="55" t="s">
        <v>1704</v>
      </c>
      <c r="W134" s="55" t="s">
        <v>1500</v>
      </c>
      <c r="X134" s="4"/>
      <c r="Y134" s="4"/>
      <c r="Z134" s="4"/>
    </row>
    <row r="135" customFormat="false" ht="15.75" hidden="false" customHeight="true" outlineLevel="0" collapsed="false">
      <c r="A135" s="55" t="n">
        <v>1661</v>
      </c>
      <c r="B135" s="55" t="s">
        <v>463</v>
      </c>
      <c r="C135" s="55" t="s">
        <v>464</v>
      </c>
      <c r="D135" s="55" t="s">
        <v>2459</v>
      </c>
      <c r="E135" s="55"/>
      <c r="F135" s="55" t="s">
        <v>1194</v>
      </c>
      <c r="G135" s="55" t="s">
        <v>1194</v>
      </c>
      <c r="H135" s="55" t="s">
        <v>1248</v>
      </c>
      <c r="I135" s="55" t="s">
        <v>420</v>
      </c>
      <c r="J135" s="55" t="s">
        <v>2460</v>
      </c>
      <c r="K135" s="55" t="s">
        <v>465</v>
      </c>
      <c r="L135" s="55" t="n">
        <v>0.5</v>
      </c>
      <c r="M135" s="55" t="n">
        <v>1.125</v>
      </c>
      <c r="N135" s="55" t="s">
        <v>141</v>
      </c>
      <c r="O135" s="57"/>
      <c r="P135" s="55"/>
      <c r="Q135" s="55"/>
      <c r="R135" s="55" t="n">
        <v>17</v>
      </c>
      <c r="S135" s="55" t="n">
        <v>30</v>
      </c>
      <c r="T135" s="55"/>
      <c r="U135" s="55"/>
      <c r="V135" s="55"/>
      <c r="W135" s="58" t="s">
        <v>2454</v>
      </c>
      <c r="X135" s="4"/>
      <c r="Y135" s="4"/>
      <c r="Z135" s="4"/>
    </row>
    <row r="136" customFormat="false" ht="15.75" hidden="false" customHeight="true" outlineLevel="0" collapsed="false">
      <c r="A136" s="55" t="n">
        <v>1662</v>
      </c>
      <c r="B136" s="55" t="s">
        <v>527</v>
      </c>
      <c r="C136" s="55" t="s">
        <v>528</v>
      </c>
      <c r="D136" s="55" t="s">
        <v>1897</v>
      </c>
      <c r="E136" s="55" t="s">
        <v>1897</v>
      </c>
      <c r="F136" s="55" t="s">
        <v>1194</v>
      </c>
      <c r="G136" s="55" t="s">
        <v>1195</v>
      </c>
      <c r="H136" s="55" t="s">
        <v>1248</v>
      </c>
      <c r="I136" s="55" t="s">
        <v>529</v>
      </c>
      <c r="J136" s="55" t="s">
        <v>1898</v>
      </c>
      <c r="K136" s="55" t="s">
        <v>439</v>
      </c>
      <c r="L136" s="55" t="n">
        <v>0.375</v>
      </c>
      <c r="M136" s="55" t="n">
        <v>0.75</v>
      </c>
      <c r="N136" s="55" t="s">
        <v>141</v>
      </c>
      <c r="O136" s="57"/>
      <c r="P136" s="55"/>
      <c r="Q136" s="55"/>
      <c r="R136" s="55" t="n">
        <v>16</v>
      </c>
      <c r="S136" s="55" t="n">
        <v>81</v>
      </c>
      <c r="T136" s="55"/>
      <c r="U136" s="55" t="s">
        <v>528</v>
      </c>
      <c r="V136" s="55" t="s">
        <v>1899</v>
      </c>
      <c r="W136" s="55" t="s">
        <v>1500</v>
      </c>
      <c r="X136" s="4"/>
      <c r="Y136" s="4"/>
      <c r="Z136" s="4"/>
    </row>
    <row r="137" customFormat="false" ht="15.75" hidden="false" customHeight="true" outlineLevel="0" collapsed="false">
      <c r="A137" s="55" t="n">
        <v>1663</v>
      </c>
      <c r="B137" s="55" t="s">
        <v>530</v>
      </c>
      <c r="C137" s="55" t="s">
        <v>531</v>
      </c>
      <c r="D137" s="55" t="s">
        <v>1900</v>
      </c>
      <c r="E137" s="55" t="s">
        <v>1900</v>
      </c>
      <c r="F137" s="55" t="s">
        <v>1194</v>
      </c>
      <c r="G137" s="55" t="s">
        <v>1195</v>
      </c>
      <c r="H137" s="55" t="s">
        <v>1248</v>
      </c>
      <c r="I137" s="55" t="s">
        <v>529</v>
      </c>
      <c r="J137" s="55" t="s">
        <v>1901</v>
      </c>
      <c r="K137" s="55" t="s">
        <v>532</v>
      </c>
      <c r="L137" s="55" t="n">
        <v>0.25</v>
      </c>
      <c r="M137" s="55" t="n">
        <v>0.5</v>
      </c>
      <c r="N137" s="55" t="s">
        <v>141</v>
      </c>
      <c r="O137" s="57"/>
      <c r="P137" s="55"/>
      <c r="Q137" s="55"/>
      <c r="R137" s="55" t="n">
        <v>17</v>
      </c>
      <c r="S137" s="55" t="n">
        <v>59</v>
      </c>
      <c r="T137" s="55"/>
      <c r="U137" s="55" t="s">
        <v>531</v>
      </c>
      <c r="V137" s="55" t="s">
        <v>1902</v>
      </c>
      <c r="W137" s="55" t="s">
        <v>1500</v>
      </c>
      <c r="X137" s="4"/>
      <c r="Y137" s="4"/>
      <c r="Z137" s="4"/>
    </row>
    <row r="138" customFormat="false" ht="15.75" hidden="false" customHeight="true" outlineLevel="0" collapsed="false">
      <c r="A138" s="55" t="n">
        <v>1664</v>
      </c>
      <c r="B138" s="55" t="s">
        <v>533</v>
      </c>
      <c r="C138" s="55" t="s">
        <v>534</v>
      </c>
      <c r="D138" s="55" t="s">
        <v>1903</v>
      </c>
      <c r="E138" s="55" t="s">
        <v>1903</v>
      </c>
      <c r="F138" s="55" t="s">
        <v>1194</v>
      </c>
      <c r="G138" s="55" t="s">
        <v>1195</v>
      </c>
      <c r="H138" s="55" t="s">
        <v>1248</v>
      </c>
      <c r="I138" s="55" t="s">
        <v>529</v>
      </c>
      <c r="J138" s="55" t="s">
        <v>1904</v>
      </c>
      <c r="K138" s="55" t="s">
        <v>535</v>
      </c>
      <c r="L138" s="55" t="n">
        <v>0.5</v>
      </c>
      <c r="M138" s="55" t="n">
        <v>1</v>
      </c>
      <c r="N138" s="55" t="s">
        <v>141</v>
      </c>
      <c r="O138" s="57"/>
      <c r="P138" s="55"/>
      <c r="Q138" s="55"/>
      <c r="R138" s="55" t="n">
        <v>16</v>
      </c>
      <c r="S138" s="55" t="n">
        <v>48</v>
      </c>
      <c r="T138" s="55"/>
      <c r="U138" s="55" t="s">
        <v>534</v>
      </c>
      <c r="V138" s="55" t="s">
        <v>1905</v>
      </c>
      <c r="W138" s="55" t="s">
        <v>1500</v>
      </c>
      <c r="X138" s="4"/>
      <c r="Y138" s="4"/>
      <c r="Z138" s="4"/>
    </row>
    <row r="139" customFormat="false" ht="15.75" hidden="false" customHeight="true" outlineLevel="0" collapsed="false">
      <c r="A139" s="55" t="n">
        <v>1665</v>
      </c>
      <c r="B139" s="55" t="s">
        <v>536</v>
      </c>
      <c r="C139" s="55" t="s">
        <v>537</v>
      </c>
      <c r="D139" s="55" t="s">
        <v>1906</v>
      </c>
      <c r="E139" s="55" t="s">
        <v>1906</v>
      </c>
      <c r="F139" s="55" t="s">
        <v>1194</v>
      </c>
      <c r="G139" s="55" t="s">
        <v>1195</v>
      </c>
      <c r="H139" s="55" t="s">
        <v>1248</v>
      </c>
      <c r="I139" s="55" t="s">
        <v>529</v>
      </c>
      <c r="J139" s="55" t="s">
        <v>1907</v>
      </c>
      <c r="K139" s="55" t="s">
        <v>456</v>
      </c>
      <c r="L139" s="55" t="n">
        <v>0.625</v>
      </c>
      <c r="M139" s="55" t="n">
        <v>1.25</v>
      </c>
      <c r="N139" s="55" t="s">
        <v>141</v>
      </c>
      <c r="O139" s="57"/>
      <c r="P139" s="55"/>
      <c r="Q139" s="55"/>
      <c r="R139" s="55" t="n">
        <v>16</v>
      </c>
      <c r="S139" s="55" t="n">
        <v>23</v>
      </c>
      <c r="T139" s="55"/>
      <c r="U139" s="55" t="s">
        <v>537</v>
      </c>
      <c r="V139" s="55" t="s">
        <v>1908</v>
      </c>
      <c r="W139" s="55" t="s">
        <v>1500</v>
      </c>
      <c r="X139" s="4"/>
      <c r="Y139" s="4"/>
      <c r="Z139" s="4"/>
    </row>
    <row r="140" customFormat="false" ht="15.75" hidden="false" customHeight="true" outlineLevel="0" collapsed="false">
      <c r="A140" s="55" t="n">
        <v>1666</v>
      </c>
      <c r="B140" s="55" t="s">
        <v>538</v>
      </c>
      <c r="C140" s="55" t="s">
        <v>539</v>
      </c>
      <c r="D140" s="55" t="s">
        <v>1909</v>
      </c>
      <c r="E140" s="55" t="s">
        <v>1909</v>
      </c>
      <c r="F140" s="55" t="s">
        <v>1194</v>
      </c>
      <c r="G140" s="55" t="s">
        <v>1195</v>
      </c>
      <c r="H140" s="55" t="s">
        <v>1248</v>
      </c>
      <c r="I140" s="55" t="s">
        <v>529</v>
      </c>
      <c r="J140" s="55" t="s">
        <v>1910</v>
      </c>
      <c r="K140" s="55" t="s">
        <v>540</v>
      </c>
      <c r="L140" s="55" t="n">
        <v>0.8125</v>
      </c>
      <c r="M140" s="55" t="n">
        <v>1.625</v>
      </c>
      <c r="N140" s="55" t="s">
        <v>141</v>
      </c>
      <c r="O140" s="57"/>
      <c r="P140" s="55"/>
      <c r="Q140" s="55"/>
      <c r="R140" s="55" t="n">
        <v>16</v>
      </c>
      <c r="S140" s="55" t="n">
        <v>24</v>
      </c>
      <c r="T140" s="55"/>
      <c r="U140" s="55" t="s">
        <v>539</v>
      </c>
      <c r="V140" s="55" t="s">
        <v>1911</v>
      </c>
      <c r="W140" s="55" t="s">
        <v>1500</v>
      </c>
      <c r="X140" s="4"/>
      <c r="Y140" s="4"/>
      <c r="Z140" s="4"/>
    </row>
    <row r="141" customFormat="false" ht="15.75" hidden="false" customHeight="true" outlineLevel="0" collapsed="false">
      <c r="A141" s="55" t="n">
        <v>1667</v>
      </c>
      <c r="B141" s="55" t="s">
        <v>541</v>
      </c>
      <c r="C141" s="55" t="s">
        <v>542</v>
      </c>
      <c r="D141" s="55" t="s">
        <v>2475</v>
      </c>
      <c r="E141" s="55"/>
      <c r="F141" s="55" t="s">
        <v>1194</v>
      </c>
      <c r="G141" s="55" t="s">
        <v>1194</v>
      </c>
      <c r="H141" s="55" t="s">
        <v>1248</v>
      </c>
      <c r="I141" s="55" t="s">
        <v>529</v>
      </c>
      <c r="J141" s="55" t="s">
        <v>2476</v>
      </c>
      <c r="K141" s="55" t="s">
        <v>543</v>
      </c>
      <c r="L141" s="55" t="n">
        <v>1</v>
      </c>
      <c r="M141" s="55" t="n">
        <v>2</v>
      </c>
      <c r="N141" s="55" t="s">
        <v>141</v>
      </c>
      <c r="O141" s="57"/>
      <c r="P141" s="55"/>
      <c r="Q141" s="55"/>
      <c r="R141" s="55" t="n">
        <v>16</v>
      </c>
      <c r="S141" s="55" t="n">
        <v>33</v>
      </c>
      <c r="T141" s="55"/>
      <c r="U141" s="55"/>
      <c r="V141" s="55"/>
      <c r="W141" s="58" t="s">
        <v>2454</v>
      </c>
      <c r="X141" s="4"/>
      <c r="Y141" s="4"/>
      <c r="Z141" s="4"/>
    </row>
    <row r="142" customFormat="false" ht="15.75" hidden="false" customHeight="true" outlineLevel="0" collapsed="false">
      <c r="A142" s="55" t="n">
        <v>1668</v>
      </c>
      <c r="B142" s="55" t="s">
        <v>544</v>
      </c>
      <c r="C142" s="55" t="s">
        <v>545</v>
      </c>
      <c r="D142" s="55" t="s">
        <v>2463</v>
      </c>
      <c r="E142" s="55"/>
      <c r="F142" s="55" t="s">
        <v>1194</v>
      </c>
      <c r="G142" s="55" t="s">
        <v>1194</v>
      </c>
      <c r="H142" s="55" t="s">
        <v>1248</v>
      </c>
      <c r="I142" s="55" t="s">
        <v>529</v>
      </c>
      <c r="J142" s="55" t="s">
        <v>2464</v>
      </c>
      <c r="K142" s="55" t="s">
        <v>546</v>
      </c>
      <c r="L142" s="55" t="n">
        <v>1.5</v>
      </c>
      <c r="M142" s="55" t="n">
        <v>3</v>
      </c>
      <c r="N142" s="55" t="s">
        <v>141</v>
      </c>
      <c r="O142" s="57"/>
      <c r="P142" s="55"/>
      <c r="Q142" s="55"/>
      <c r="R142" s="55" t="n">
        <v>17</v>
      </c>
      <c r="S142" s="55" t="n">
        <v>29</v>
      </c>
      <c r="T142" s="55"/>
      <c r="U142" s="55"/>
      <c r="V142" s="55"/>
      <c r="W142" s="58" t="s">
        <v>2454</v>
      </c>
      <c r="X142" s="4"/>
      <c r="Y142" s="4"/>
      <c r="Z142" s="4"/>
    </row>
    <row r="143" customFormat="false" ht="15.75" hidden="false" customHeight="true" outlineLevel="0" collapsed="false">
      <c r="A143" s="55" t="n">
        <v>1669</v>
      </c>
      <c r="B143" s="55" t="s">
        <v>604</v>
      </c>
      <c r="C143" s="55" t="s">
        <v>605</v>
      </c>
      <c r="D143" s="55" t="s">
        <v>1705</v>
      </c>
      <c r="E143" s="55" t="s">
        <v>1705</v>
      </c>
      <c r="F143" s="55" t="s">
        <v>1194</v>
      </c>
      <c r="G143" s="55" t="s">
        <v>1195</v>
      </c>
      <c r="H143" s="55" t="s">
        <v>1248</v>
      </c>
      <c r="I143" s="55" t="s">
        <v>599</v>
      </c>
      <c r="J143" s="55" t="s">
        <v>1706</v>
      </c>
      <c r="K143" s="55" t="s">
        <v>606</v>
      </c>
      <c r="L143" s="55" t="n">
        <v>1.25</v>
      </c>
      <c r="M143" s="55" t="n">
        <v>2.5</v>
      </c>
      <c r="N143" s="55" t="s">
        <v>141</v>
      </c>
      <c r="O143" s="57"/>
      <c r="P143" s="55"/>
      <c r="Q143" s="55"/>
      <c r="R143" s="55" t="n">
        <v>31</v>
      </c>
      <c r="S143" s="55" t="n">
        <v>231</v>
      </c>
      <c r="T143" s="55"/>
      <c r="U143" s="55" t="s">
        <v>605</v>
      </c>
      <c r="V143" s="55" t="s">
        <v>1503</v>
      </c>
      <c r="W143" s="55" t="s">
        <v>1500</v>
      </c>
      <c r="X143" s="4"/>
      <c r="Y143" s="4"/>
      <c r="Z143" s="4"/>
    </row>
    <row r="144" customFormat="false" ht="15.75" hidden="false" customHeight="true" outlineLevel="0" collapsed="false">
      <c r="A144" s="55" t="n">
        <v>1670</v>
      </c>
      <c r="B144" s="55" t="s">
        <v>607</v>
      </c>
      <c r="C144" s="55" t="s">
        <v>608</v>
      </c>
      <c r="D144" s="55" t="s">
        <v>1755</v>
      </c>
      <c r="E144" s="55" t="s">
        <v>1755</v>
      </c>
      <c r="F144" s="55" t="s">
        <v>1194</v>
      </c>
      <c r="G144" s="55" t="s">
        <v>1195</v>
      </c>
      <c r="H144" s="55" t="s">
        <v>1248</v>
      </c>
      <c r="I144" s="55" t="s">
        <v>599</v>
      </c>
      <c r="J144" s="55" t="s">
        <v>1756</v>
      </c>
      <c r="K144" s="55" t="s">
        <v>609</v>
      </c>
      <c r="L144" s="55" t="n">
        <v>1.75</v>
      </c>
      <c r="M144" s="55" t="n">
        <v>2.5</v>
      </c>
      <c r="N144" s="55" t="s">
        <v>141</v>
      </c>
      <c r="O144" s="57"/>
      <c r="P144" s="55"/>
      <c r="Q144" s="55"/>
      <c r="R144" s="55" t="n">
        <v>29</v>
      </c>
      <c r="S144" s="55" t="n">
        <v>123</v>
      </c>
      <c r="T144" s="55"/>
      <c r="U144" s="55" t="s">
        <v>608</v>
      </c>
      <c r="V144" s="55" t="s">
        <v>1503</v>
      </c>
      <c r="W144" s="55" t="s">
        <v>1500</v>
      </c>
      <c r="X144" s="4"/>
      <c r="Y144" s="4"/>
      <c r="Z144" s="4"/>
    </row>
    <row r="145" customFormat="false" ht="15.75" hidden="false" customHeight="true" outlineLevel="0" collapsed="false">
      <c r="A145" s="55" t="n">
        <v>1671</v>
      </c>
      <c r="B145" s="55" t="s">
        <v>610</v>
      </c>
      <c r="C145" s="55" t="s">
        <v>611</v>
      </c>
      <c r="D145" s="55" t="s">
        <v>2465</v>
      </c>
      <c r="E145" s="55"/>
      <c r="F145" s="55" t="s">
        <v>1194</v>
      </c>
      <c r="G145" s="55" t="s">
        <v>1194</v>
      </c>
      <c r="H145" s="55" t="s">
        <v>1248</v>
      </c>
      <c r="I145" s="55" t="s">
        <v>599</v>
      </c>
      <c r="J145" s="55" t="s">
        <v>2466</v>
      </c>
      <c r="K145" s="55" t="s">
        <v>612</v>
      </c>
      <c r="L145" s="55" t="n">
        <v>1.3125</v>
      </c>
      <c r="M145" s="55" t="n">
        <v>2.625</v>
      </c>
      <c r="N145" s="55" t="s">
        <v>141</v>
      </c>
      <c r="O145" s="57"/>
      <c r="P145" s="55"/>
      <c r="Q145" s="55"/>
      <c r="R145" s="55" t="n">
        <v>31</v>
      </c>
      <c r="S145" s="55" t="n">
        <v>113</v>
      </c>
      <c r="T145" s="55"/>
      <c r="U145" s="55"/>
      <c r="V145" s="55"/>
      <c r="W145" s="58" t="s">
        <v>2454</v>
      </c>
      <c r="X145" s="4"/>
      <c r="Y145" s="4"/>
      <c r="Z145" s="4"/>
    </row>
    <row r="146" customFormat="false" ht="15.75" hidden="false" customHeight="true" outlineLevel="0" collapsed="false">
      <c r="A146" s="55" t="n">
        <v>1672</v>
      </c>
      <c r="B146" s="55" t="s">
        <v>613</v>
      </c>
      <c r="C146" s="55" t="s">
        <v>614</v>
      </c>
      <c r="D146" s="55" t="s">
        <v>2469</v>
      </c>
      <c r="E146" s="55"/>
      <c r="F146" s="55" t="s">
        <v>1194</v>
      </c>
      <c r="G146" s="55" t="s">
        <v>1194</v>
      </c>
      <c r="H146" s="55" t="s">
        <v>1248</v>
      </c>
      <c r="I146" s="55" t="s">
        <v>599</v>
      </c>
      <c r="J146" s="55" t="s">
        <v>2470</v>
      </c>
      <c r="K146" s="55" t="s">
        <v>615</v>
      </c>
      <c r="L146" s="55" t="n">
        <v>1.3125</v>
      </c>
      <c r="M146" s="55" t="n">
        <v>2.5</v>
      </c>
      <c r="N146" s="55" t="s">
        <v>141</v>
      </c>
      <c r="O146" s="57"/>
      <c r="P146" s="55"/>
      <c r="Q146" s="55"/>
      <c r="R146" s="55" t="n">
        <v>31</v>
      </c>
      <c r="S146" s="55" t="n">
        <v>95</v>
      </c>
      <c r="T146" s="55"/>
      <c r="U146" s="55"/>
      <c r="V146" s="55"/>
      <c r="W146" s="58" t="s">
        <v>2454</v>
      </c>
      <c r="X146" s="4"/>
      <c r="Y146" s="4"/>
      <c r="Z146" s="4"/>
    </row>
    <row r="147" customFormat="false" ht="15.75" hidden="false" customHeight="true" outlineLevel="0" collapsed="false">
      <c r="A147" s="55" t="n">
        <v>1673</v>
      </c>
      <c r="B147" s="55" t="s">
        <v>616</v>
      </c>
      <c r="C147" s="55" t="s">
        <v>617</v>
      </c>
      <c r="D147" s="55" t="s">
        <v>1535</v>
      </c>
      <c r="E147" s="55" t="s">
        <v>1535</v>
      </c>
      <c r="F147" s="55" t="s">
        <v>1194</v>
      </c>
      <c r="G147" s="55" t="s">
        <v>1195</v>
      </c>
      <c r="H147" s="55" t="s">
        <v>1248</v>
      </c>
      <c r="I147" s="55" t="s">
        <v>599</v>
      </c>
      <c r="J147" s="55" t="s">
        <v>1536</v>
      </c>
      <c r="K147" s="55" t="s">
        <v>618</v>
      </c>
      <c r="L147" s="55" t="n">
        <v>1.75</v>
      </c>
      <c r="M147" s="55" t="n">
        <v>2.75</v>
      </c>
      <c r="N147" s="55" t="s">
        <v>141</v>
      </c>
      <c r="O147" s="57"/>
      <c r="P147" s="55"/>
      <c r="Q147" s="55"/>
      <c r="R147" s="55" t="n">
        <v>31</v>
      </c>
      <c r="S147" s="55" t="n">
        <v>164</v>
      </c>
      <c r="T147" s="55"/>
      <c r="U147" s="55" t="s">
        <v>617</v>
      </c>
      <c r="V147" s="55" t="s">
        <v>1503</v>
      </c>
      <c r="W147" s="55" t="s">
        <v>1500</v>
      </c>
      <c r="X147" s="4"/>
      <c r="Y147" s="4"/>
      <c r="Z147" s="4"/>
    </row>
    <row r="148" customFormat="false" ht="15.75" hidden="false" customHeight="true" outlineLevel="0" collapsed="false">
      <c r="A148" s="55" t="n">
        <v>1674</v>
      </c>
      <c r="B148" s="55" t="s">
        <v>619</v>
      </c>
      <c r="C148" s="55" t="s">
        <v>620</v>
      </c>
      <c r="D148" s="55" t="s">
        <v>1546</v>
      </c>
      <c r="E148" s="55" t="s">
        <v>1546</v>
      </c>
      <c r="F148" s="55" t="s">
        <v>1194</v>
      </c>
      <c r="G148" s="55" t="s">
        <v>1195</v>
      </c>
      <c r="H148" s="55" t="s">
        <v>1248</v>
      </c>
      <c r="I148" s="55" t="s">
        <v>599</v>
      </c>
      <c r="J148" s="55" t="s">
        <v>1547</v>
      </c>
      <c r="K148" s="55" t="s">
        <v>618</v>
      </c>
      <c r="L148" s="55" t="n">
        <v>1.75</v>
      </c>
      <c r="M148" s="55" t="n">
        <v>2.75</v>
      </c>
      <c r="N148" s="55" t="s">
        <v>141</v>
      </c>
      <c r="O148" s="57"/>
      <c r="P148" s="55"/>
      <c r="Q148" s="55"/>
      <c r="R148" s="55" t="n">
        <v>31</v>
      </c>
      <c r="S148" s="55" t="n">
        <v>153</v>
      </c>
      <c r="T148" s="55"/>
      <c r="U148" s="55" t="s">
        <v>620</v>
      </c>
      <c r="V148" s="55" t="s">
        <v>1503</v>
      </c>
      <c r="W148" s="55" t="s">
        <v>1500</v>
      </c>
      <c r="X148" s="4"/>
      <c r="Y148" s="4"/>
      <c r="Z148" s="4"/>
    </row>
    <row r="149" customFormat="false" ht="15.75" hidden="false" customHeight="true" outlineLevel="0" collapsed="false">
      <c r="A149" s="55" t="n">
        <v>1675</v>
      </c>
      <c r="B149" s="55" t="s">
        <v>621</v>
      </c>
      <c r="C149" s="55" t="s">
        <v>622</v>
      </c>
      <c r="D149" s="55" t="s">
        <v>1548</v>
      </c>
      <c r="E149" s="55" t="s">
        <v>1548</v>
      </c>
      <c r="F149" s="55" t="s">
        <v>1194</v>
      </c>
      <c r="G149" s="55" t="s">
        <v>1195</v>
      </c>
      <c r="H149" s="55" t="s">
        <v>1248</v>
      </c>
      <c r="I149" s="55" t="s">
        <v>599</v>
      </c>
      <c r="J149" s="55" t="s">
        <v>1549</v>
      </c>
      <c r="K149" s="55" t="s">
        <v>618</v>
      </c>
      <c r="L149" s="55" t="n">
        <v>1.75</v>
      </c>
      <c r="M149" s="55" t="n">
        <v>2.75</v>
      </c>
      <c r="N149" s="55" t="s">
        <v>141</v>
      </c>
      <c r="O149" s="57"/>
      <c r="P149" s="55"/>
      <c r="Q149" s="55"/>
      <c r="R149" s="55" t="n">
        <v>31</v>
      </c>
      <c r="S149" s="55" t="n">
        <v>82</v>
      </c>
      <c r="T149" s="55"/>
      <c r="U149" s="55" t="s">
        <v>622</v>
      </c>
      <c r="V149" s="55" t="s">
        <v>1503</v>
      </c>
      <c r="W149" s="55" t="s">
        <v>1500</v>
      </c>
      <c r="X149" s="4"/>
      <c r="Y149" s="4"/>
      <c r="Z149" s="4"/>
    </row>
    <row r="150" customFormat="false" ht="15.75" hidden="false" customHeight="true" outlineLevel="0" collapsed="false">
      <c r="A150" s="55" t="n">
        <v>1676</v>
      </c>
      <c r="B150" s="55" t="s">
        <v>623</v>
      </c>
      <c r="C150" s="55" t="s">
        <v>624</v>
      </c>
      <c r="D150" s="55" t="s">
        <v>2471</v>
      </c>
      <c r="E150" s="55"/>
      <c r="F150" s="55" t="s">
        <v>1194</v>
      </c>
      <c r="G150" s="55" t="s">
        <v>1194</v>
      </c>
      <c r="H150" s="55" t="s">
        <v>1248</v>
      </c>
      <c r="I150" s="55" t="s">
        <v>599</v>
      </c>
      <c r="J150" s="55" t="s">
        <v>2472</v>
      </c>
      <c r="K150" s="55" t="s">
        <v>625</v>
      </c>
      <c r="L150" s="55" t="n">
        <v>2.25</v>
      </c>
      <c r="M150" s="55" t="n">
        <v>3</v>
      </c>
      <c r="N150" s="55" t="s">
        <v>141</v>
      </c>
      <c r="O150" s="57"/>
      <c r="P150" s="55"/>
      <c r="Q150" s="55"/>
      <c r="R150" s="55" t="n">
        <v>29</v>
      </c>
      <c r="S150" s="55" t="n">
        <v>125</v>
      </c>
      <c r="T150" s="55"/>
      <c r="U150" s="55"/>
      <c r="V150" s="55"/>
      <c r="W150" s="58" t="s">
        <v>2454</v>
      </c>
      <c r="X150" s="4"/>
      <c r="Y150" s="4"/>
      <c r="Z150" s="4"/>
    </row>
    <row r="151" customFormat="false" ht="15.75" hidden="false" customHeight="true" outlineLevel="0" collapsed="false">
      <c r="A151" s="55" t="n">
        <v>1677</v>
      </c>
      <c r="B151" s="55" t="s">
        <v>626</v>
      </c>
      <c r="C151" s="55" t="s">
        <v>627</v>
      </c>
      <c r="D151" s="55" t="s">
        <v>1557</v>
      </c>
      <c r="E151" s="55" t="s">
        <v>1557</v>
      </c>
      <c r="F151" s="55" t="s">
        <v>1194</v>
      </c>
      <c r="G151" s="55" t="s">
        <v>1195</v>
      </c>
      <c r="H151" s="55" t="s">
        <v>1248</v>
      </c>
      <c r="I151" s="55" t="s">
        <v>599</v>
      </c>
      <c r="J151" s="55" t="s">
        <v>1558</v>
      </c>
      <c r="K151" s="55" t="s">
        <v>628</v>
      </c>
      <c r="L151" s="55" t="n">
        <v>1.75</v>
      </c>
      <c r="M151" s="55" t="n">
        <v>3</v>
      </c>
      <c r="N151" s="55" t="s">
        <v>141</v>
      </c>
      <c r="O151" s="57"/>
      <c r="P151" s="55"/>
      <c r="Q151" s="55"/>
      <c r="R151" s="55" t="n">
        <v>29</v>
      </c>
      <c r="S151" s="55" t="n">
        <v>134</v>
      </c>
      <c r="T151" s="55"/>
      <c r="U151" s="55" t="s">
        <v>627</v>
      </c>
      <c r="V151" s="55" t="s">
        <v>1503</v>
      </c>
      <c r="W151" s="55" t="s">
        <v>1500</v>
      </c>
      <c r="X151" s="4"/>
      <c r="Y151" s="4"/>
      <c r="Z151" s="4"/>
    </row>
    <row r="152" customFormat="false" ht="15.75" hidden="false" customHeight="true" outlineLevel="0" collapsed="false">
      <c r="A152" s="55" t="n">
        <v>1678</v>
      </c>
      <c r="B152" s="55" t="s">
        <v>629</v>
      </c>
      <c r="C152" s="55" t="s">
        <v>630</v>
      </c>
      <c r="D152" s="55" t="s">
        <v>2473</v>
      </c>
      <c r="E152" s="55"/>
      <c r="F152" s="55" t="s">
        <v>1194</v>
      </c>
      <c r="G152" s="55" t="s">
        <v>1194</v>
      </c>
      <c r="H152" s="55" t="s">
        <v>1248</v>
      </c>
      <c r="I152" s="55" t="s">
        <v>599</v>
      </c>
      <c r="J152" s="55" t="s">
        <v>2474</v>
      </c>
      <c r="K152" s="55" t="s">
        <v>631</v>
      </c>
      <c r="L152" s="55" t="n">
        <v>1.625</v>
      </c>
      <c r="M152" s="55" t="n">
        <v>3.5</v>
      </c>
      <c r="N152" s="55" t="s">
        <v>141</v>
      </c>
      <c r="O152" s="57"/>
      <c r="P152" s="55"/>
      <c r="Q152" s="55"/>
      <c r="R152" s="55" t="n">
        <v>34</v>
      </c>
      <c r="S152" s="55" t="n">
        <v>171</v>
      </c>
      <c r="T152" s="55"/>
      <c r="U152" s="55"/>
      <c r="V152" s="55"/>
      <c r="W152" s="58" t="s">
        <v>2454</v>
      </c>
      <c r="X152" s="4"/>
      <c r="Y152" s="4"/>
      <c r="Z152" s="4"/>
    </row>
    <row r="153" customFormat="false" ht="15.75" hidden="false" customHeight="true" outlineLevel="0" collapsed="false">
      <c r="A153" s="55" t="n">
        <v>1679</v>
      </c>
      <c r="B153" s="55" t="s">
        <v>496</v>
      </c>
      <c r="C153" s="55" t="s">
        <v>497</v>
      </c>
      <c r="D153" s="55" t="s">
        <v>2550</v>
      </c>
      <c r="E153" s="55" t="s">
        <v>2551</v>
      </c>
      <c r="F153" s="55" t="s">
        <v>1195</v>
      </c>
      <c r="G153" s="55" t="s">
        <v>1195</v>
      </c>
      <c r="H153" s="55" t="s">
        <v>1248</v>
      </c>
      <c r="I153" s="55" t="s">
        <v>498</v>
      </c>
      <c r="J153" s="55" t="s">
        <v>2552</v>
      </c>
      <c r="K153" s="55" t="s">
        <v>499</v>
      </c>
      <c r="L153" s="55" t="n">
        <v>0.8</v>
      </c>
      <c r="M153" s="55" t="n">
        <v>4.625</v>
      </c>
      <c r="N153" s="55" t="s">
        <v>141</v>
      </c>
      <c r="O153" s="57"/>
      <c r="P153" s="55"/>
      <c r="Q153" s="55"/>
      <c r="R153" s="55" t="n">
        <v>102</v>
      </c>
      <c r="S153" s="55" t="n">
        <v>303</v>
      </c>
      <c r="T153" s="55"/>
      <c r="U153" s="55" t="s">
        <v>2553</v>
      </c>
      <c r="V153" s="55" t="s">
        <v>2554</v>
      </c>
      <c r="W153" s="58" t="s">
        <v>2555</v>
      </c>
      <c r="X153" s="4"/>
      <c r="Y153" s="4"/>
      <c r="Z153" s="4"/>
    </row>
    <row r="154" customFormat="false" ht="15.75" hidden="false" customHeight="true" outlineLevel="0" collapsed="false">
      <c r="A154" s="55" t="n">
        <v>1680</v>
      </c>
      <c r="B154" s="55" t="s">
        <v>500</v>
      </c>
      <c r="C154" s="55" t="s">
        <v>501</v>
      </c>
      <c r="D154" s="55" t="s">
        <v>2539</v>
      </c>
      <c r="E154" s="55" t="s">
        <v>2539</v>
      </c>
      <c r="F154" s="55" t="s">
        <v>1194</v>
      </c>
      <c r="G154" s="55" t="s">
        <v>1195</v>
      </c>
      <c r="H154" s="55" t="s">
        <v>1248</v>
      </c>
      <c r="I154" s="55" t="s">
        <v>498</v>
      </c>
      <c r="J154" s="55" t="s">
        <v>2540</v>
      </c>
      <c r="K154" s="55" t="s">
        <v>502</v>
      </c>
      <c r="L154" s="55" t="n">
        <v>0.75</v>
      </c>
      <c r="M154" s="55" t="n">
        <v>6.8333</v>
      </c>
      <c r="N154" s="55" t="s">
        <v>141</v>
      </c>
      <c r="O154" s="57"/>
      <c r="P154" s="55"/>
      <c r="Q154" s="55"/>
      <c r="R154" s="55" t="n">
        <v>101</v>
      </c>
      <c r="S154" s="55" t="n">
        <v>257</v>
      </c>
      <c r="T154" s="55"/>
      <c r="U154" s="55" t="s">
        <v>501</v>
      </c>
      <c r="V154" s="55" t="s">
        <v>1503</v>
      </c>
      <c r="W154" s="58" t="s">
        <v>2541</v>
      </c>
      <c r="X154" s="4"/>
      <c r="Y154" s="4"/>
      <c r="Z154" s="4"/>
    </row>
    <row r="155" customFormat="false" ht="15.75" hidden="false" customHeight="true" outlineLevel="0" collapsed="false">
      <c r="A155" s="55" t="n">
        <v>1681</v>
      </c>
      <c r="B155" s="55" t="s">
        <v>639</v>
      </c>
      <c r="C155" s="55" t="s">
        <v>640</v>
      </c>
      <c r="D155" s="55" t="s">
        <v>1563</v>
      </c>
      <c r="E155" s="55" t="s">
        <v>1563</v>
      </c>
      <c r="F155" s="55" t="s">
        <v>1194</v>
      </c>
      <c r="G155" s="55" t="s">
        <v>1195</v>
      </c>
      <c r="H155" s="55" t="s">
        <v>1248</v>
      </c>
      <c r="I155" s="55" t="s">
        <v>638</v>
      </c>
      <c r="J155" s="55" t="s">
        <v>1564</v>
      </c>
      <c r="K155" s="55" t="s">
        <v>357</v>
      </c>
      <c r="L155" s="55" t="n">
        <v>1.0625</v>
      </c>
      <c r="M155" s="55" t="n">
        <v>3.5</v>
      </c>
      <c r="N155" s="55" t="s">
        <v>141</v>
      </c>
      <c r="O155" s="57"/>
      <c r="P155" s="55"/>
      <c r="Q155" s="55"/>
      <c r="R155" s="55" t="n">
        <v>50</v>
      </c>
      <c r="S155" s="55" t="n">
        <v>158</v>
      </c>
      <c r="T155" s="55"/>
      <c r="U155" s="55" t="s">
        <v>1565</v>
      </c>
      <c r="V155" s="55" t="s">
        <v>1503</v>
      </c>
      <c r="W155" s="55" t="s">
        <v>1500</v>
      </c>
      <c r="X155" s="4"/>
      <c r="Y155" s="4"/>
      <c r="Z155" s="4"/>
    </row>
    <row r="156" customFormat="false" ht="15.75" hidden="false" customHeight="true" outlineLevel="0" collapsed="false">
      <c r="A156" s="55" t="n">
        <v>1682</v>
      </c>
      <c r="B156" s="55" t="s">
        <v>641</v>
      </c>
      <c r="C156" s="55" t="s">
        <v>642</v>
      </c>
      <c r="D156" s="55" t="s">
        <v>1566</v>
      </c>
      <c r="E156" s="55" t="s">
        <v>1566</v>
      </c>
      <c r="F156" s="55" t="s">
        <v>1194</v>
      </c>
      <c r="G156" s="55" t="s">
        <v>1195</v>
      </c>
      <c r="H156" s="55" t="s">
        <v>1248</v>
      </c>
      <c r="I156" s="55" t="s">
        <v>638</v>
      </c>
      <c r="J156" s="55" t="s">
        <v>1567</v>
      </c>
      <c r="K156" s="55" t="s">
        <v>643</v>
      </c>
      <c r="L156" s="55" t="n">
        <v>1.0625</v>
      </c>
      <c r="M156" s="55" t="n">
        <v>4.25</v>
      </c>
      <c r="N156" s="55" t="s">
        <v>141</v>
      </c>
      <c r="O156" s="57"/>
      <c r="P156" s="55"/>
      <c r="Q156" s="55"/>
      <c r="R156" s="55" t="n">
        <v>50</v>
      </c>
      <c r="S156" s="55" t="n">
        <v>124</v>
      </c>
      <c r="T156" s="55"/>
      <c r="U156" s="55" t="s">
        <v>1568</v>
      </c>
      <c r="V156" s="55" t="s">
        <v>1503</v>
      </c>
      <c r="W156" s="55" t="s">
        <v>1500</v>
      </c>
      <c r="X156" s="4"/>
      <c r="Y156" s="4"/>
      <c r="Z156" s="4"/>
    </row>
    <row r="157" customFormat="false" ht="15.75" hidden="false" customHeight="true" outlineLevel="0" collapsed="false">
      <c r="A157" s="55" t="n">
        <v>1683</v>
      </c>
      <c r="B157" s="55" t="s">
        <v>644</v>
      </c>
      <c r="C157" s="55" t="s">
        <v>645</v>
      </c>
      <c r="D157" s="55" t="s">
        <v>1569</v>
      </c>
      <c r="E157" s="55" t="s">
        <v>1569</v>
      </c>
      <c r="F157" s="55" t="s">
        <v>1194</v>
      </c>
      <c r="G157" s="55" t="s">
        <v>1195</v>
      </c>
      <c r="H157" s="55" t="s">
        <v>1248</v>
      </c>
      <c r="I157" s="55" t="s">
        <v>638</v>
      </c>
      <c r="J157" s="55" t="s">
        <v>1570</v>
      </c>
      <c r="K157" s="55" t="s">
        <v>643</v>
      </c>
      <c r="L157" s="55" t="n">
        <v>1.0625</v>
      </c>
      <c r="M157" s="55" t="n">
        <v>4.25</v>
      </c>
      <c r="N157" s="55" t="s">
        <v>141</v>
      </c>
      <c r="O157" s="57"/>
      <c r="P157" s="55"/>
      <c r="Q157" s="55"/>
      <c r="R157" s="55" t="n">
        <v>50</v>
      </c>
      <c r="S157" s="55" t="n">
        <v>101</v>
      </c>
      <c r="T157" s="55"/>
      <c r="U157" s="55" t="s">
        <v>1571</v>
      </c>
      <c r="V157" s="55" t="s">
        <v>1503</v>
      </c>
      <c r="W157" s="55" t="s">
        <v>1500</v>
      </c>
      <c r="X157" s="4"/>
      <c r="Y157" s="4"/>
      <c r="Z157" s="4"/>
    </row>
    <row r="158" customFormat="false" ht="15.75" hidden="false" customHeight="true" outlineLevel="0" collapsed="false">
      <c r="A158" s="55" t="n">
        <v>1684</v>
      </c>
      <c r="B158" s="55" t="s">
        <v>649</v>
      </c>
      <c r="C158" s="55" t="s">
        <v>650</v>
      </c>
      <c r="D158" s="55" t="s">
        <v>1572</v>
      </c>
      <c r="E158" s="55" t="s">
        <v>1572</v>
      </c>
      <c r="F158" s="55" t="s">
        <v>1194</v>
      </c>
      <c r="G158" s="55" t="s">
        <v>1195</v>
      </c>
      <c r="H158" s="55" t="s">
        <v>1248</v>
      </c>
      <c r="I158" s="55" t="s">
        <v>638</v>
      </c>
      <c r="J158" s="55" t="s">
        <v>1573</v>
      </c>
      <c r="K158" s="55" t="s">
        <v>651</v>
      </c>
      <c r="L158" s="55" t="n">
        <v>1.0625</v>
      </c>
      <c r="M158" s="55" t="n">
        <v>6.25</v>
      </c>
      <c r="N158" s="55" t="s">
        <v>141</v>
      </c>
      <c r="O158" s="57"/>
      <c r="P158" s="55"/>
      <c r="Q158" s="55"/>
      <c r="R158" s="55" t="n">
        <v>50</v>
      </c>
      <c r="S158" s="55" t="n">
        <v>123</v>
      </c>
      <c r="T158" s="55"/>
      <c r="U158" s="55" t="s">
        <v>1574</v>
      </c>
      <c r="V158" s="55" t="s">
        <v>1503</v>
      </c>
      <c r="W158" s="55" t="s">
        <v>1500</v>
      </c>
      <c r="X158" s="4"/>
      <c r="Y158" s="4"/>
      <c r="Z158" s="4"/>
    </row>
    <row r="159" customFormat="false" ht="15.75" hidden="false" customHeight="true" outlineLevel="0" collapsed="false">
      <c r="A159" s="55" t="n">
        <v>1685</v>
      </c>
      <c r="B159" s="55" t="s">
        <v>547</v>
      </c>
      <c r="C159" s="55" t="s">
        <v>548</v>
      </c>
      <c r="D159" s="55" t="s">
        <v>1575</v>
      </c>
      <c r="E159" s="55" t="s">
        <v>1575</v>
      </c>
      <c r="F159" s="55" t="s">
        <v>1194</v>
      </c>
      <c r="G159" s="55" t="s">
        <v>1195</v>
      </c>
      <c r="H159" s="55" t="s">
        <v>1248</v>
      </c>
      <c r="I159" s="55" t="s">
        <v>549</v>
      </c>
      <c r="J159" s="55" t="s">
        <v>1576</v>
      </c>
      <c r="K159" s="55" t="s">
        <v>370</v>
      </c>
      <c r="L159" s="55" t="n">
        <v>0.75</v>
      </c>
      <c r="M159" s="55" t="n">
        <v>0.75</v>
      </c>
      <c r="N159" s="55" t="s">
        <v>141</v>
      </c>
      <c r="O159" s="57"/>
      <c r="P159" s="55"/>
      <c r="Q159" s="55"/>
      <c r="R159" s="55" t="n">
        <v>30</v>
      </c>
      <c r="S159" s="55" t="n">
        <v>108</v>
      </c>
      <c r="T159" s="55"/>
      <c r="U159" s="55" t="s">
        <v>548</v>
      </c>
      <c r="V159" s="55" t="s">
        <v>1503</v>
      </c>
      <c r="W159" s="55" t="s">
        <v>1500</v>
      </c>
      <c r="X159" s="4"/>
      <c r="Y159" s="4"/>
      <c r="Z159" s="4"/>
    </row>
    <row r="160" customFormat="false" ht="15.75" hidden="false" customHeight="true" outlineLevel="0" collapsed="false">
      <c r="A160" s="55" t="n">
        <v>1686</v>
      </c>
      <c r="B160" s="55" t="s">
        <v>550</v>
      </c>
      <c r="C160" s="55" t="s">
        <v>551</v>
      </c>
      <c r="D160" s="55" t="s">
        <v>1533</v>
      </c>
      <c r="E160" s="55" t="s">
        <v>1533</v>
      </c>
      <c r="F160" s="55" t="s">
        <v>1194</v>
      </c>
      <c r="G160" s="55" t="s">
        <v>1195</v>
      </c>
      <c r="H160" s="55" t="s">
        <v>1248</v>
      </c>
      <c r="I160" s="55" t="s">
        <v>549</v>
      </c>
      <c r="J160" s="55" t="s">
        <v>1534</v>
      </c>
      <c r="K160" s="55" t="s">
        <v>552</v>
      </c>
      <c r="L160" s="55" t="n">
        <v>1</v>
      </c>
      <c r="M160" s="55" t="n">
        <v>1</v>
      </c>
      <c r="N160" s="55" t="s">
        <v>141</v>
      </c>
      <c r="O160" s="57"/>
      <c r="P160" s="55"/>
      <c r="Q160" s="55"/>
      <c r="R160" s="55" t="n">
        <v>30</v>
      </c>
      <c r="S160" s="55" t="n">
        <v>115</v>
      </c>
      <c r="T160" s="55"/>
      <c r="U160" s="55" t="s">
        <v>551</v>
      </c>
      <c r="V160" s="55" t="s">
        <v>1503</v>
      </c>
      <c r="W160" s="55" t="s">
        <v>1500</v>
      </c>
      <c r="X160" s="4"/>
      <c r="Y160" s="4"/>
      <c r="Z160" s="4"/>
    </row>
    <row r="161" customFormat="false" ht="15.75" hidden="false" customHeight="true" outlineLevel="0" collapsed="false">
      <c r="A161" s="55" t="n">
        <v>1687</v>
      </c>
      <c r="B161" s="55" t="s">
        <v>553</v>
      </c>
      <c r="C161" s="55" t="s">
        <v>554</v>
      </c>
      <c r="D161" s="55" t="s">
        <v>1521</v>
      </c>
      <c r="E161" s="55" t="s">
        <v>1521</v>
      </c>
      <c r="F161" s="55" t="s">
        <v>1194</v>
      </c>
      <c r="G161" s="55" t="s">
        <v>1195</v>
      </c>
      <c r="H161" s="55" t="s">
        <v>1248</v>
      </c>
      <c r="I161" s="55" t="s">
        <v>549</v>
      </c>
      <c r="J161" s="55" t="s">
        <v>1522</v>
      </c>
      <c r="K161" s="55" t="s">
        <v>552</v>
      </c>
      <c r="L161" s="55" t="n">
        <v>1</v>
      </c>
      <c r="M161" s="55" t="n">
        <v>1</v>
      </c>
      <c r="N161" s="55" t="s">
        <v>141</v>
      </c>
      <c r="O161" s="57"/>
      <c r="P161" s="55"/>
      <c r="Q161" s="55"/>
      <c r="R161" s="55" t="n">
        <v>37</v>
      </c>
      <c r="S161" s="55" t="n">
        <v>96</v>
      </c>
      <c r="T161" s="55"/>
      <c r="U161" s="55" t="s">
        <v>554</v>
      </c>
      <c r="V161" s="55" t="s">
        <v>1503</v>
      </c>
      <c r="W161" s="55" t="s">
        <v>1500</v>
      </c>
      <c r="X161" s="4"/>
      <c r="Y161" s="4"/>
      <c r="Z161" s="4"/>
    </row>
    <row r="162" customFormat="false" ht="15.75" hidden="false" customHeight="true" outlineLevel="0" collapsed="false">
      <c r="A162" s="55" t="n">
        <v>1688</v>
      </c>
      <c r="B162" s="55" t="s">
        <v>555</v>
      </c>
      <c r="C162" s="55" t="s">
        <v>556</v>
      </c>
      <c r="D162" s="55" t="s">
        <v>1519</v>
      </c>
      <c r="E162" s="55" t="s">
        <v>1519</v>
      </c>
      <c r="F162" s="55" t="s">
        <v>1194</v>
      </c>
      <c r="G162" s="55" t="s">
        <v>1195</v>
      </c>
      <c r="H162" s="55" t="s">
        <v>1248</v>
      </c>
      <c r="I162" s="55" t="s">
        <v>549</v>
      </c>
      <c r="J162" s="55" t="s">
        <v>1520</v>
      </c>
      <c r="K162" s="55" t="s">
        <v>557</v>
      </c>
      <c r="L162" s="55" t="n">
        <v>1.25</v>
      </c>
      <c r="M162" s="55" t="n">
        <v>1.25</v>
      </c>
      <c r="N162" s="55" t="s">
        <v>141</v>
      </c>
      <c r="O162" s="57"/>
      <c r="P162" s="55"/>
      <c r="Q162" s="55"/>
      <c r="R162" s="55" t="n">
        <v>30</v>
      </c>
      <c r="S162" s="55" t="n">
        <v>103</v>
      </c>
      <c r="T162" s="55"/>
      <c r="U162" s="55" t="s">
        <v>556</v>
      </c>
      <c r="V162" s="55" t="s">
        <v>1503</v>
      </c>
      <c r="W162" s="55" t="s">
        <v>1500</v>
      </c>
      <c r="X162" s="4"/>
      <c r="Y162" s="4"/>
      <c r="Z162" s="4"/>
    </row>
    <row r="163" customFormat="false" ht="15.75" hidden="false" customHeight="true" outlineLevel="0" collapsed="false">
      <c r="A163" s="55" t="n">
        <v>1689</v>
      </c>
      <c r="B163" s="55" t="s">
        <v>558</v>
      </c>
      <c r="C163" s="55" t="s">
        <v>559</v>
      </c>
      <c r="D163" s="55" t="s">
        <v>1513</v>
      </c>
      <c r="E163" s="55" t="s">
        <v>1513</v>
      </c>
      <c r="F163" s="55" t="s">
        <v>1194</v>
      </c>
      <c r="G163" s="55" t="s">
        <v>1195</v>
      </c>
      <c r="H163" s="55" t="s">
        <v>1248</v>
      </c>
      <c r="I163" s="55" t="s">
        <v>549</v>
      </c>
      <c r="J163" s="55" t="s">
        <v>1514</v>
      </c>
      <c r="K163" s="55" t="s">
        <v>560</v>
      </c>
      <c r="L163" s="55" t="n">
        <v>1.5</v>
      </c>
      <c r="M163" s="55" t="n">
        <v>1.5</v>
      </c>
      <c r="N163" s="55" t="s">
        <v>141</v>
      </c>
      <c r="O163" s="57"/>
      <c r="P163" s="55"/>
      <c r="Q163" s="55"/>
      <c r="R163" s="55" t="n">
        <v>30</v>
      </c>
      <c r="S163" s="55" t="n">
        <v>239</v>
      </c>
      <c r="T163" s="55"/>
      <c r="U163" s="55" t="s">
        <v>559</v>
      </c>
      <c r="V163" s="55" t="s">
        <v>1503</v>
      </c>
      <c r="W163" s="55" t="s">
        <v>1500</v>
      </c>
      <c r="X163" s="4"/>
      <c r="Y163" s="4"/>
      <c r="Z163" s="4"/>
    </row>
    <row r="164" customFormat="false" ht="15.75" hidden="false" customHeight="true" outlineLevel="0" collapsed="false">
      <c r="A164" s="55" t="n">
        <v>1690</v>
      </c>
      <c r="B164" s="55" t="s">
        <v>561</v>
      </c>
      <c r="C164" s="55" t="s">
        <v>562</v>
      </c>
      <c r="D164" s="55" t="s">
        <v>1504</v>
      </c>
      <c r="E164" s="55" t="s">
        <v>1504</v>
      </c>
      <c r="F164" s="55" t="s">
        <v>1194</v>
      </c>
      <c r="G164" s="55" t="s">
        <v>1195</v>
      </c>
      <c r="H164" s="55" t="s">
        <v>1248</v>
      </c>
      <c r="I164" s="55" t="s">
        <v>563</v>
      </c>
      <c r="J164" s="55" t="s">
        <v>1505</v>
      </c>
      <c r="K164" s="55" t="s">
        <v>564</v>
      </c>
      <c r="L164" s="55" t="n">
        <v>0.5</v>
      </c>
      <c r="M164" s="55" t="n">
        <v>0.875</v>
      </c>
      <c r="N164" s="55" t="s">
        <v>141</v>
      </c>
      <c r="O164" s="57"/>
      <c r="P164" s="55"/>
      <c r="Q164" s="55"/>
      <c r="R164" s="55" t="n">
        <v>116</v>
      </c>
      <c r="S164" s="55" t="n">
        <v>187</v>
      </c>
      <c r="T164" s="55"/>
      <c r="U164" s="55" t="s">
        <v>562</v>
      </c>
      <c r="V164" s="55" t="s">
        <v>1506</v>
      </c>
      <c r="W164" s="55" t="s">
        <v>1500</v>
      </c>
      <c r="X164" s="4"/>
      <c r="Y164" s="4"/>
      <c r="Z164" s="4"/>
    </row>
    <row r="165" customFormat="false" ht="15.75" hidden="false" customHeight="true" outlineLevel="0" collapsed="false">
      <c r="A165" s="55" t="n">
        <v>1691</v>
      </c>
      <c r="B165" s="55" t="s">
        <v>565</v>
      </c>
      <c r="C165" s="55" t="s">
        <v>566</v>
      </c>
      <c r="D165" s="55" t="s">
        <v>1526</v>
      </c>
      <c r="E165" s="55" t="s">
        <v>1526</v>
      </c>
      <c r="F165" s="55" t="s">
        <v>1194</v>
      </c>
      <c r="G165" s="55" t="s">
        <v>1195</v>
      </c>
      <c r="H165" s="55" t="s">
        <v>1248</v>
      </c>
      <c r="I165" s="55" t="s">
        <v>563</v>
      </c>
      <c r="J165" s="55" t="s">
        <v>1527</v>
      </c>
      <c r="K165" s="55" t="s">
        <v>158</v>
      </c>
      <c r="L165" s="55" t="n">
        <v>0.8125</v>
      </c>
      <c r="M165" s="55" t="n">
        <v>1.375</v>
      </c>
      <c r="N165" s="55" t="s">
        <v>141</v>
      </c>
      <c r="O165" s="57"/>
      <c r="P165" s="55"/>
      <c r="Q165" s="55"/>
      <c r="R165" s="55" t="n">
        <v>132</v>
      </c>
      <c r="S165" s="55" t="n">
        <v>192</v>
      </c>
      <c r="T165" s="55"/>
      <c r="U165" s="55" t="s">
        <v>1528</v>
      </c>
      <c r="V165" s="55" t="s">
        <v>1529</v>
      </c>
      <c r="W165" s="55" t="s">
        <v>1500</v>
      </c>
      <c r="X165" s="4"/>
      <c r="Y165" s="4"/>
      <c r="Z165" s="4"/>
    </row>
    <row r="166" customFormat="false" ht="15.75" hidden="false" customHeight="true" outlineLevel="0" collapsed="false">
      <c r="A166" s="55" t="n">
        <v>1692</v>
      </c>
      <c r="B166" s="55" t="s">
        <v>567</v>
      </c>
      <c r="C166" s="55" t="s">
        <v>568</v>
      </c>
      <c r="D166" s="55" t="s">
        <v>1523</v>
      </c>
      <c r="E166" s="55" t="s">
        <v>1523</v>
      </c>
      <c r="F166" s="55" t="s">
        <v>1194</v>
      </c>
      <c r="G166" s="55" t="s">
        <v>1195</v>
      </c>
      <c r="H166" s="55" t="s">
        <v>1248</v>
      </c>
      <c r="I166" s="55" t="s">
        <v>563</v>
      </c>
      <c r="J166" s="55" t="s">
        <v>1524</v>
      </c>
      <c r="K166" s="55" t="s">
        <v>569</v>
      </c>
      <c r="L166" s="55" t="n">
        <v>0.75</v>
      </c>
      <c r="M166" s="55" t="n">
        <v>1.875</v>
      </c>
      <c r="N166" s="55" t="s">
        <v>141</v>
      </c>
      <c r="O166" s="57"/>
      <c r="P166" s="55"/>
      <c r="Q166" s="55"/>
      <c r="R166" s="55" t="n">
        <v>116</v>
      </c>
      <c r="S166" s="55" t="n">
        <v>183</v>
      </c>
      <c r="T166" s="55"/>
      <c r="U166" s="55" t="s">
        <v>568</v>
      </c>
      <c r="V166" s="55" t="s">
        <v>1525</v>
      </c>
      <c r="W166" s="55" t="s">
        <v>1500</v>
      </c>
      <c r="X166" s="4"/>
      <c r="Y166" s="4"/>
      <c r="Z166" s="4"/>
    </row>
    <row r="167" customFormat="false" ht="15.75" hidden="false" customHeight="true" outlineLevel="0" collapsed="false">
      <c r="A167" s="55" t="n">
        <v>1693</v>
      </c>
      <c r="B167" s="55" t="s">
        <v>570</v>
      </c>
      <c r="C167" s="55" t="s">
        <v>571</v>
      </c>
      <c r="D167" s="55" t="s">
        <v>1497</v>
      </c>
      <c r="E167" s="55" t="s">
        <v>1497</v>
      </c>
      <c r="F167" s="55" t="s">
        <v>1194</v>
      </c>
      <c r="G167" s="55" t="s">
        <v>1195</v>
      </c>
      <c r="H167" s="55" t="s">
        <v>1248</v>
      </c>
      <c r="I167" s="55" t="s">
        <v>563</v>
      </c>
      <c r="J167" s="55" t="s">
        <v>1498</v>
      </c>
      <c r="K167" s="55" t="s">
        <v>572</v>
      </c>
      <c r="L167" s="55" t="n">
        <v>0.875</v>
      </c>
      <c r="M167" s="55" t="n">
        <v>1</v>
      </c>
      <c r="N167" s="55" t="s">
        <v>141</v>
      </c>
      <c r="O167" s="57"/>
      <c r="P167" s="55"/>
      <c r="Q167" s="55"/>
      <c r="R167" s="55" t="n">
        <v>116</v>
      </c>
      <c r="S167" s="55" t="n">
        <v>140</v>
      </c>
      <c r="T167" s="55"/>
      <c r="U167" s="55" t="s">
        <v>571</v>
      </c>
      <c r="V167" s="55" t="s">
        <v>1499</v>
      </c>
      <c r="W167" s="55" t="s">
        <v>1500</v>
      </c>
      <c r="X167" s="4"/>
      <c r="Y167" s="4"/>
      <c r="Z167" s="4"/>
    </row>
    <row r="168" customFormat="false" ht="15.75" hidden="false" customHeight="true" outlineLevel="0" collapsed="false">
      <c r="A168" s="55" t="n">
        <v>1694</v>
      </c>
      <c r="B168" s="55" t="s">
        <v>269</v>
      </c>
      <c r="C168" s="55" t="s">
        <v>270</v>
      </c>
      <c r="D168" s="55" t="s">
        <v>2461</v>
      </c>
      <c r="E168" s="55"/>
      <c r="F168" s="55" t="s">
        <v>1194</v>
      </c>
      <c r="G168" s="55" t="s">
        <v>1194</v>
      </c>
      <c r="H168" s="55" t="s">
        <v>1248</v>
      </c>
      <c r="I168" s="55" t="s">
        <v>258</v>
      </c>
      <c r="J168" s="55" t="s">
        <v>2462</v>
      </c>
      <c r="K168" s="55" t="s">
        <v>271</v>
      </c>
      <c r="L168" s="55" t="n">
        <v>0.8125</v>
      </c>
      <c r="M168" s="55" t="n">
        <v>1.5</v>
      </c>
      <c r="N168" s="55" t="s">
        <v>141</v>
      </c>
      <c r="O168" s="57"/>
      <c r="P168" s="55"/>
      <c r="Q168" s="55"/>
      <c r="R168" s="55" t="n">
        <v>11</v>
      </c>
      <c r="S168" s="55" t="n">
        <v>169</v>
      </c>
      <c r="T168" s="55"/>
      <c r="U168" s="55"/>
      <c r="V168" s="55"/>
      <c r="W168" s="58" t="s">
        <v>2454</v>
      </c>
      <c r="X168" s="4"/>
      <c r="Y168" s="4"/>
      <c r="Z168" s="4"/>
    </row>
    <row r="169" customFormat="false" ht="15.75" hidden="false" customHeight="true" outlineLevel="0" collapsed="false">
      <c r="A169" s="55" t="n">
        <v>1695</v>
      </c>
      <c r="B169" s="55" t="s">
        <v>336</v>
      </c>
      <c r="C169" s="55" t="s">
        <v>337</v>
      </c>
      <c r="D169" s="55" t="s">
        <v>2507</v>
      </c>
      <c r="E169" s="55"/>
      <c r="F169" s="55" t="s">
        <v>1194</v>
      </c>
      <c r="G169" s="55" t="s">
        <v>1194</v>
      </c>
      <c r="H169" s="55" t="s">
        <v>1248</v>
      </c>
      <c r="I169" s="55" t="s">
        <v>274</v>
      </c>
      <c r="J169" s="55" t="s">
        <v>2508</v>
      </c>
      <c r="K169" s="55" t="s">
        <v>338</v>
      </c>
      <c r="L169" s="55" t="n">
        <v>0.75</v>
      </c>
      <c r="M169" s="55" t="n">
        <v>4</v>
      </c>
      <c r="N169" s="55" t="s">
        <v>141</v>
      </c>
      <c r="O169" s="57"/>
      <c r="P169" s="55"/>
      <c r="Q169" s="55"/>
      <c r="R169" s="55" t="n">
        <v>21</v>
      </c>
      <c r="S169" s="55" t="n">
        <v>69</v>
      </c>
      <c r="T169" s="55"/>
      <c r="U169" s="55"/>
      <c r="V169" s="55"/>
      <c r="W169" s="58" t="s">
        <v>2454</v>
      </c>
      <c r="X169" s="4"/>
      <c r="Y169" s="4"/>
      <c r="Z169" s="4"/>
    </row>
    <row r="170" customFormat="false" ht="15.75" hidden="false" customHeight="true" outlineLevel="0" collapsed="false">
      <c r="A170" s="55" t="n">
        <v>1696</v>
      </c>
      <c r="B170" s="55" t="s">
        <v>339</v>
      </c>
      <c r="C170" s="55" t="s">
        <v>340</v>
      </c>
      <c r="D170" s="55" t="s">
        <v>2517</v>
      </c>
      <c r="E170" s="55"/>
      <c r="F170" s="55" t="s">
        <v>1194</v>
      </c>
      <c r="G170" s="55" t="s">
        <v>1194</v>
      </c>
      <c r="H170" s="55" t="s">
        <v>1248</v>
      </c>
      <c r="I170" s="55" t="s">
        <v>274</v>
      </c>
      <c r="J170" s="55" t="s">
        <v>2518</v>
      </c>
      <c r="K170" s="55" t="s">
        <v>341</v>
      </c>
      <c r="L170" s="55" t="n">
        <v>0.75</v>
      </c>
      <c r="M170" s="55" t="n">
        <v>6</v>
      </c>
      <c r="N170" s="55" t="s">
        <v>141</v>
      </c>
      <c r="O170" s="57"/>
      <c r="P170" s="55"/>
      <c r="Q170" s="55"/>
      <c r="R170" s="55" t="n">
        <v>21</v>
      </c>
      <c r="S170" s="55" t="n">
        <v>35</v>
      </c>
      <c r="T170" s="55"/>
      <c r="U170" s="55"/>
      <c r="V170" s="55"/>
      <c r="W170" s="58" t="s">
        <v>2454</v>
      </c>
      <c r="X170" s="4"/>
      <c r="Y170" s="4"/>
      <c r="Z170" s="4"/>
    </row>
    <row r="171" customFormat="false" ht="15.75" hidden="false" customHeight="true" outlineLevel="0" collapsed="false">
      <c r="A171" s="55" t="n">
        <v>1697</v>
      </c>
      <c r="B171" s="55" t="s">
        <v>573</v>
      </c>
      <c r="C171" s="55" t="s">
        <v>574</v>
      </c>
      <c r="D171" s="55" t="s">
        <v>2582</v>
      </c>
      <c r="E171" s="55" t="s">
        <v>2582</v>
      </c>
      <c r="F171" s="55" t="s">
        <v>1194</v>
      </c>
      <c r="G171" s="55" t="s">
        <v>1195</v>
      </c>
      <c r="H171" s="55" t="s">
        <v>1248</v>
      </c>
      <c r="I171" s="55" t="s">
        <v>575</v>
      </c>
      <c r="J171" s="55" t="s">
        <v>2583</v>
      </c>
      <c r="K171" s="55"/>
      <c r="L171" s="55"/>
      <c r="M171" s="55"/>
      <c r="N171" s="55" t="s">
        <v>141</v>
      </c>
      <c r="O171" s="57"/>
      <c r="P171" s="55"/>
      <c r="Q171" s="55"/>
      <c r="R171" s="55" t="n">
        <v>16</v>
      </c>
      <c r="S171" s="55" t="n">
        <v>344</v>
      </c>
      <c r="T171" s="55"/>
      <c r="U171" s="55" t="s">
        <v>575</v>
      </c>
      <c r="V171" s="55" t="s">
        <v>1503</v>
      </c>
      <c r="W171" s="55" t="s">
        <v>2575</v>
      </c>
      <c r="X171" s="4"/>
      <c r="Y171" s="4"/>
      <c r="Z171" s="4"/>
    </row>
    <row r="172" customFormat="false" ht="15.75" hidden="false" customHeight="true" outlineLevel="0" collapsed="false">
      <c r="A172" s="55" t="n">
        <v>1698</v>
      </c>
      <c r="B172" s="55" t="s">
        <v>466</v>
      </c>
      <c r="C172" s="55" t="s">
        <v>467</v>
      </c>
      <c r="D172" s="55" t="s">
        <v>1555</v>
      </c>
      <c r="E172" s="55" t="s">
        <v>1555</v>
      </c>
      <c r="F172" s="55" t="s">
        <v>1194</v>
      </c>
      <c r="G172" s="55" t="s">
        <v>1195</v>
      </c>
      <c r="H172" s="55" t="s">
        <v>1248</v>
      </c>
      <c r="I172" s="55" t="s">
        <v>420</v>
      </c>
      <c r="J172" s="55" t="s">
        <v>1556</v>
      </c>
      <c r="K172" s="55" t="s">
        <v>468</v>
      </c>
      <c r="L172" s="55" t="n">
        <v>0.4375</v>
      </c>
      <c r="M172" s="55" t="n">
        <v>1.25</v>
      </c>
      <c r="N172" s="55" t="s">
        <v>141</v>
      </c>
      <c r="O172" s="57"/>
      <c r="P172" s="55"/>
      <c r="Q172" s="55"/>
      <c r="R172" s="55" t="n">
        <v>15</v>
      </c>
      <c r="S172" s="55" t="n">
        <v>149</v>
      </c>
      <c r="T172" s="55"/>
      <c r="U172" s="55" t="s">
        <v>467</v>
      </c>
      <c r="V172" s="55" t="s">
        <v>1503</v>
      </c>
      <c r="W172" s="55" t="s">
        <v>1500</v>
      </c>
      <c r="X172" s="4"/>
      <c r="Y172" s="4"/>
      <c r="Z172" s="4"/>
    </row>
    <row r="173" customFormat="false" ht="15.75" hidden="false" customHeight="true" outlineLevel="0" collapsed="false">
      <c r="A173" s="55" t="n">
        <v>1699</v>
      </c>
      <c r="B173" s="55" t="s">
        <v>576</v>
      </c>
      <c r="C173" s="55" t="s">
        <v>577</v>
      </c>
      <c r="D173" s="55" t="s">
        <v>2533</v>
      </c>
      <c r="E173" s="55"/>
      <c r="F173" s="55" t="s">
        <v>1194</v>
      </c>
      <c r="G173" s="55" t="s">
        <v>1194</v>
      </c>
      <c r="H173" s="55" t="s">
        <v>1248</v>
      </c>
      <c r="I173" s="55" t="s">
        <v>578</v>
      </c>
      <c r="J173" s="55" t="s">
        <v>2534</v>
      </c>
      <c r="K173" s="55" t="s">
        <v>579</v>
      </c>
      <c r="L173" s="55" t="n">
        <v>0.25</v>
      </c>
      <c r="M173" s="55" t="n">
        <v>0.25</v>
      </c>
      <c r="N173" s="55" t="s">
        <v>141</v>
      </c>
      <c r="O173" s="57"/>
      <c r="P173" s="55"/>
      <c r="Q173" s="55"/>
      <c r="R173" s="55" t="n">
        <v>23</v>
      </c>
      <c r="S173" s="55" t="n">
        <v>86</v>
      </c>
      <c r="T173" s="55"/>
      <c r="U173" s="55"/>
      <c r="V173" s="55"/>
      <c r="W173" s="58" t="s">
        <v>2454</v>
      </c>
      <c r="X173" s="4"/>
      <c r="Y173" s="4"/>
      <c r="Z173" s="4"/>
    </row>
    <row r="174" customFormat="false" ht="15.75" hidden="false" customHeight="true" outlineLevel="0" collapsed="false">
      <c r="A174" s="55" t="n">
        <v>1700</v>
      </c>
      <c r="B174" s="55" t="s">
        <v>580</v>
      </c>
      <c r="C174" s="55" t="s">
        <v>581</v>
      </c>
      <c r="D174" s="55" t="s">
        <v>2535</v>
      </c>
      <c r="E174" s="55"/>
      <c r="F174" s="55" t="s">
        <v>1194</v>
      </c>
      <c r="G174" s="55" t="s">
        <v>1194</v>
      </c>
      <c r="H174" s="55" t="s">
        <v>1248</v>
      </c>
      <c r="I174" s="55" t="s">
        <v>578</v>
      </c>
      <c r="J174" s="55" t="s">
        <v>2536</v>
      </c>
      <c r="K174" s="55" t="s">
        <v>582</v>
      </c>
      <c r="L174" s="55" t="n">
        <v>0.75</v>
      </c>
      <c r="M174" s="55" t="n">
        <v>0.75</v>
      </c>
      <c r="N174" s="55" t="s">
        <v>141</v>
      </c>
      <c r="O174" s="57"/>
      <c r="P174" s="55"/>
      <c r="Q174" s="55"/>
      <c r="R174" s="55" t="n">
        <v>23</v>
      </c>
      <c r="S174" s="55" t="n">
        <v>137</v>
      </c>
      <c r="T174" s="55"/>
      <c r="U174" s="55"/>
      <c r="V174" s="55"/>
      <c r="W174" s="58" t="s">
        <v>2454</v>
      </c>
      <c r="X174" s="4"/>
      <c r="Y174" s="4"/>
      <c r="Z174" s="4"/>
    </row>
    <row r="175" customFormat="false" ht="15.75" hidden="false" customHeight="true" outlineLevel="0" collapsed="false">
      <c r="A175" s="55" t="n">
        <v>1701</v>
      </c>
      <c r="B175" s="55" t="s">
        <v>583</v>
      </c>
      <c r="C175" s="55" t="s">
        <v>584</v>
      </c>
      <c r="D175" s="55" t="s">
        <v>1584</v>
      </c>
      <c r="E175" s="55" t="s">
        <v>1584</v>
      </c>
      <c r="F175" s="55" t="s">
        <v>1194</v>
      </c>
      <c r="G175" s="55" t="s">
        <v>1195</v>
      </c>
      <c r="H175" s="55" t="s">
        <v>1248</v>
      </c>
      <c r="I175" s="55" t="s">
        <v>578</v>
      </c>
      <c r="J175" s="55" t="s">
        <v>1585</v>
      </c>
      <c r="K175" s="55" t="s">
        <v>585</v>
      </c>
      <c r="L175" s="55" t="n">
        <v>0.6875</v>
      </c>
      <c r="M175" s="55" t="n">
        <v>0.6875</v>
      </c>
      <c r="N175" s="55" t="s">
        <v>141</v>
      </c>
      <c r="O175" s="57"/>
      <c r="P175" s="55"/>
      <c r="Q175" s="55"/>
      <c r="R175" s="55" t="n">
        <v>23</v>
      </c>
      <c r="S175" s="55" t="n">
        <v>82</v>
      </c>
      <c r="T175" s="55"/>
      <c r="U175" s="55" t="s">
        <v>584</v>
      </c>
      <c r="V175" s="55" t="s">
        <v>1586</v>
      </c>
      <c r="W175" s="55" t="s">
        <v>1500</v>
      </c>
      <c r="X175" s="4"/>
      <c r="Y175" s="4"/>
      <c r="Z175" s="4"/>
    </row>
    <row r="176" customFormat="false" ht="15.75" hidden="false" customHeight="true" outlineLevel="0" collapsed="false">
      <c r="A176" s="55" t="n">
        <v>1702</v>
      </c>
      <c r="B176" s="55" t="s">
        <v>586</v>
      </c>
      <c r="C176" s="55" t="s">
        <v>587</v>
      </c>
      <c r="D176" s="55" t="s">
        <v>1653</v>
      </c>
      <c r="E176" s="55" t="s">
        <v>1653</v>
      </c>
      <c r="F176" s="55" t="s">
        <v>1194</v>
      </c>
      <c r="G176" s="55" t="s">
        <v>1195</v>
      </c>
      <c r="H176" s="55" t="s">
        <v>1248</v>
      </c>
      <c r="I176" s="55" t="s">
        <v>578</v>
      </c>
      <c r="J176" s="55" t="s">
        <v>1654</v>
      </c>
      <c r="K176" s="55" t="s">
        <v>588</v>
      </c>
      <c r="L176" s="55" t="n">
        <v>0.5</v>
      </c>
      <c r="M176" s="55" t="n">
        <v>0.5</v>
      </c>
      <c r="N176" s="55" t="s">
        <v>141</v>
      </c>
      <c r="O176" s="57"/>
      <c r="P176" s="55"/>
      <c r="Q176" s="55"/>
      <c r="R176" s="55" t="n">
        <v>23</v>
      </c>
      <c r="S176" s="55" t="n">
        <v>95</v>
      </c>
      <c r="T176" s="55"/>
      <c r="U176" s="55" t="s">
        <v>587</v>
      </c>
      <c r="V176" s="55" t="s">
        <v>1655</v>
      </c>
      <c r="W176" s="55" t="s">
        <v>1500</v>
      </c>
      <c r="X176" s="4"/>
      <c r="Y176" s="4"/>
      <c r="Z176" s="4"/>
    </row>
    <row r="177" customFormat="false" ht="15.75" hidden="false" customHeight="true" outlineLevel="0" collapsed="false">
      <c r="A177" s="55" t="n">
        <v>1703</v>
      </c>
      <c r="B177" s="55" t="s">
        <v>589</v>
      </c>
      <c r="C177" s="55" t="s">
        <v>590</v>
      </c>
      <c r="D177" s="55" t="s">
        <v>1656</v>
      </c>
      <c r="E177" s="55" t="s">
        <v>1656</v>
      </c>
      <c r="F177" s="55" t="s">
        <v>1194</v>
      </c>
      <c r="G177" s="55" t="s">
        <v>1195</v>
      </c>
      <c r="H177" s="55" t="s">
        <v>1248</v>
      </c>
      <c r="I177" s="55" t="s">
        <v>578</v>
      </c>
      <c r="J177" s="55" t="s">
        <v>1657</v>
      </c>
      <c r="K177" s="55" t="s">
        <v>582</v>
      </c>
      <c r="L177" s="55" t="n">
        <v>0.75</v>
      </c>
      <c r="M177" s="55" t="n">
        <v>0.75</v>
      </c>
      <c r="N177" s="55" t="s">
        <v>141</v>
      </c>
      <c r="O177" s="57"/>
      <c r="P177" s="55"/>
      <c r="Q177" s="55"/>
      <c r="R177" s="55" t="n">
        <v>23</v>
      </c>
      <c r="S177" s="55" t="n">
        <v>180</v>
      </c>
      <c r="T177" s="55"/>
      <c r="U177" s="55" t="s">
        <v>590</v>
      </c>
      <c r="V177" s="55" t="s">
        <v>1658</v>
      </c>
      <c r="W177" s="55" t="s">
        <v>1500</v>
      </c>
      <c r="X177" s="4"/>
      <c r="Y177" s="4"/>
      <c r="Z177" s="4"/>
    </row>
    <row r="178" customFormat="false" ht="15.75" hidden="false" customHeight="true" outlineLevel="0" collapsed="false">
      <c r="A178" s="55" t="n">
        <v>1704</v>
      </c>
      <c r="B178" s="55" t="s">
        <v>591</v>
      </c>
      <c r="C178" s="55" t="s">
        <v>592</v>
      </c>
      <c r="D178" s="55" t="s">
        <v>1659</v>
      </c>
      <c r="E178" s="55" t="s">
        <v>1659</v>
      </c>
      <c r="F178" s="55" t="s">
        <v>1194</v>
      </c>
      <c r="G178" s="55" t="s">
        <v>1195</v>
      </c>
      <c r="H178" s="55" t="s">
        <v>1248</v>
      </c>
      <c r="I178" s="55" t="s">
        <v>578</v>
      </c>
      <c r="J178" s="55" t="s">
        <v>1660</v>
      </c>
      <c r="K178" s="55" t="s">
        <v>593</v>
      </c>
      <c r="L178" s="55" t="n">
        <v>1</v>
      </c>
      <c r="M178" s="55" t="n">
        <v>1</v>
      </c>
      <c r="N178" s="55" t="s">
        <v>141</v>
      </c>
      <c r="O178" s="57"/>
      <c r="P178" s="55"/>
      <c r="Q178" s="55"/>
      <c r="R178" s="55" t="n">
        <v>23</v>
      </c>
      <c r="S178" s="55" t="n">
        <v>114</v>
      </c>
      <c r="T178" s="55"/>
      <c r="U178" s="55" t="s">
        <v>592</v>
      </c>
      <c r="V178" s="55" t="s">
        <v>1661</v>
      </c>
      <c r="W178" s="55" t="s">
        <v>1500</v>
      </c>
      <c r="X178" s="4"/>
      <c r="Y178" s="4"/>
      <c r="Z178" s="4"/>
    </row>
    <row r="179" customFormat="false" ht="15.75" hidden="false" customHeight="true" outlineLevel="0" collapsed="false">
      <c r="A179" s="55" t="n">
        <v>1705</v>
      </c>
      <c r="B179" s="55" t="s">
        <v>679</v>
      </c>
      <c r="C179" s="55" t="s">
        <v>680</v>
      </c>
      <c r="D179" s="55" t="s">
        <v>1662</v>
      </c>
      <c r="E179" s="55" t="s">
        <v>1662</v>
      </c>
      <c r="F179" s="55" t="s">
        <v>1194</v>
      </c>
      <c r="G179" s="55" t="s">
        <v>1195</v>
      </c>
      <c r="H179" s="55" t="s">
        <v>1248</v>
      </c>
      <c r="I179" s="55" t="s">
        <v>681</v>
      </c>
      <c r="J179" s="55" t="s">
        <v>1663</v>
      </c>
      <c r="K179" s="55" t="s">
        <v>682</v>
      </c>
      <c r="L179" s="55" t="n">
        <v>0.5</v>
      </c>
      <c r="M179" s="55" t="n">
        <v>1.4375</v>
      </c>
      <c r="N179" s="55" t="s">
        <v>141</v>
      </c>
      <c r="O179" s="57"/>
      <c r="P179" s="55"/>
      <c r="Q179" s="55"/>
      <c r="R179" s="55" t="n">
        <v>46</v>
      </c>
      <c r="S179" s="55" t="n">
        <v>71</v>
      </c>
      <c r="T179" s="55"/>
      <c r="U179" s="55" t="s">
        <v>680</v>
      </c>
      <c r="V179" s="55" t="s">
        <v>1503</v>
      </c>
      <c r="W179" s="55" t="s">
        <v>1500</v>
      </c>
      <c r="X179" s="4"/>
      <c r="Y179" s="4"/>
      <c r="Z179" s="4"/>
    </row>
    <row r="180" customFormat="false" ht="15.75" hidden="false" customHeight="true" outlineLevel="0" collapsed="false">
      <c r="A180" s="55" t="n">
        <v>1706</v>
      </c>
      <c r="B180" s="55" t="s">
        <v>683</v>
      </c>
      <c r="C180" s="55" t="s">
        <v>684</v>
      </c>
      <c r="D180" s="55" t="s">
        <v>2529</v>
      </c>
      <c r="E180" s="55"/>
      <c r="F180" s="55" t="s">
        <v>1194</v>
      </c>
      <c r="G180" s="55" t="s">
        <v>1194</v>
      </c>
      <c r="H180" s="55" t="s">
        <v>1248</v>
      </c>
      <c r="I180" s="55" t="s">
        <v>681</v>
      </c>
      <c r="J180" s="55" t="s">
        <v>2530</v>
      </c>
      <c r="K180" s="55" t="s">
        <v>685</v>
      </c>
      <c r="L180" s="55" t="n">
        <v>0.5</v>
      </c>
      <c r="M180" s="55" t="n">
        <v>1.75</v>
      </c>
      <c r="N180" s="55" t="s">
        <v>141</v>
      </c>
      <c r="O180" s="57"/>
      <c r="P180" s="55"/>
      <c r="Q180" s="55"/>
      <c r="R180" s="55" t="n">
        <v>46</v>
      </c>
      <c r="S180" s="55" t="n">
        <v>75</v>
      </c>
      <c r="T180" s="55"/>
      <c r="U180" s="55"/>
      <c r="V180" s="55"/>
      <c r="W180" s="58" t="s">
        <v>2454</v>
      </c>
      <c r="X180" s="4"/>
      <c r="Y180" s="4"/>
      <c r="Z180" s="4"/>
    </row>
    <row r="181" customFormat="false" ht="15.75" hidden="false" customHeight="true" outlineLevel="0" collapsed="false">
      <c r="A181" s="55" t="n">
        <v>1707</v>
      </c>
      <c r="B181" s="55" t="s">
        <v>686</v>
      </c>
      <c r="C181" s="55" t="s">
        <v>687</v>
      </c>
      <c r="D181" s="55" t="s">
        <v>1667</v>
      </c>
      <c r="E181" s="55" t="s">
        <v>1667</v>
      </c>
      <c r="F181" s="55" t="s">
        <v>1194</v>
      </c>
      <c r="G181" s="55" t="s">
        <v>1195</v>
      </c>
      <c r="H181" s="55" t="s">
        <v>1248</v>
      </c>
      <c r="I181" s="55" t="s">
        <v>681</v>
      </c>
      <c r="J181" s="55" t="s">
        <v>1668</v>
      </c>
      <c r="K181" s="55" t="s">
        <v>688</v>
      </c>
      <c r="L181" s="55" t="n">
        <v>0.5</v>
      </c>
      <c r="M181" s="55" t="n">
        <v>1.1875</v>
      </c>
      <c r="N181" s="55" t="s">
        <v>141</v>
      </c>
      <c r="O181" s="57"/>
      <c r="P181" s="55"/>
      <c r="Q181" s="55"/>
      <c r="R181" s="55" t="n">
        <v>46</v>
      </c>
      <c r="S181" s="55" t="n">
        <v>145</v>
      </c>
      <c r="T181" s="55"/>
      <c r="U181" s="55" t="s">
        <v>687</v>
      </c>
      <c r="V181" s="55" t="s">
        <v>1503</v>
      </c>
      <c r="W181" s="55" t="s">
        <v>1500</v>
      </c>
      <c r="X181" s="4"/>
      <c r="Y181" s="4"/>
      <c r="Z181" s="4"/>
    </row>
    <row r="182" customFormat="false" ht="15.75" hidden="false" customHeight="true" outlineLevel="0" collapsed="false">
      <c r="A182" s="55" t="n">
        <v>1708</v>
      </c>
      <c r="B182" s="55" t="s">
        <v>689</v>
      </c>
      <c r="C182" s="55" t="s">
        <v>690</v>
      </c>
      <c r="D182" s="55" t="s">
        <v>1673</v>
      </c>
      <c r="E182" s="55" t="s">
        <v>1673</v>
      </c>
      <c r="F182" s="55" t="s">
        <v>1194</v>
      </c>
      <c r="G182" s="55" t="s">
        <v>1195</v>
      </c>
      <c r="H182" s="55" t="s">
        <v>1248</v>
      </c>
      <c r="I182" s="55" t="s">
        <v>681</v>
      </c>
      <c r="J182" s="55" t="s">
        <v>1674</v>
      </c>
      <c r="K182" s="55" t="s">
        <v>691</v>
      </c>
      <c r="L182" s="55" t="n">
        <v>0.6875</v>
      </c>
      <c r="M182" s="55" t="n">
        <v>1.875</v>
      </c>
      <c r="N182" s="55" t="s">
        <v>141</v>
      </c>
      <c r="O182" s="57"/>
      <c r="P182" s="55"/>
      <c r="Q182" s="55"/>
      <c r="R182" s="55" t="n">
        <v>46</v>
      </c>
      <c r="S182" s="55" t="n">
        <v>90</v>
      </c>
      <c r="T182" s="55"/>
      <c r="U182" s="55" t="s">
        <v>690</v>
      </c>
      <c r="V182" s="55" t="s">
        <v>1503</v>
      </c>
      <c r="W182" s="55" t="s">
        <v>1500</v>
      </c>
      <c r="X182" s="4"/>
      <c r="Y182" s="4"/>
      <c r="Z182" s="4"/>
    </row>
    <row r="183" customFormat="false" ht="15.75" hidden="false" customHeight="true" outlineLevel="0" collapsed="false">
      <c r="A183" s="55" t="n">
        <v>1709</v>
      </c>
      <c r="B183" s="55" t="s">
        <v>692</v>
      </c>
      <c r="C183" s="55" t="s">
        <v>693</v>
      </c>
      <c r="D183" s="55" t="s">
        <v>2527</v>
      </c>
      <c r="E183" s="55"/>
      <c r="F183" s="55" t="s">
        <v>1194</v>
      </c>
      <c r="G183" s="55" t="s">
        <v>1194</v>
      </c>
      <c r="H183" s="55" t="s">
        <v>1248</v>
      </c>
      <c r="I183" s="55" t="s">
        <v>681</v>
      </c>
      <c r="J183" s="55" t="s">
        <v>2528</v>
      </c>
      <c r="K183" s="55" t="s">
        <v>293</v>
      </c>
      <c r="L183" s="55" t="n">
        <v>0.75</v>
      </c>
      <c r="M183" s="55" t="n">
        <v>2.5</v>
      </c>
      <c r="N183" s="55" t="s">
        <v>141</v>
      </c>
      <c r="O183" s="57"/>
      <c r="P183" s="55"/>
      <c r="Q183" s="55"/>
      <c r="R183" s="55" t="n">
        <v>46</v>
      </c>
      <c r="S183" s="55" t="n">
        <v>61</v>
      </c>
      <c r="T183" s="55"/>
      <c r="U183" s="55"/>
      <c r="V183" s="55"/>
      <c r="W183" s="58" t="s">
        <v>2454</v>
      </c>
      <c r="X183" s="4"/>
      <c r="Y183" s="4"/>
      <c r="Z183" s="4"/>
    </row>
    <row r="184" customFormat="false" ht="15.75" hidden="false" customHeight="true" outlineLevel="0" collapsed="false">
      <c r="A184" s="55" t="n">
        <v>1710</v>
      </c>
      <c r="B184" s="55" t="s">
        <v>694</v>
      </c>
      <c r="C184" s="55" t="s">
        <v>695</v>
      </c>
      <c r="D184" s="55" t="s">
        <v>1675</v>
      </c>
      <c r="E184" s="55" t="s">
        <v>1675</v>
      </c>
      <c r="F184" s="55" t="s">
        <v>1194</v>
      </c>
      <c r="G184" s="55" t="s">
        <v>1195</v>
      </c>
      <c r="H184" s="55" t="s">
        <v>1248</v>
      </c>
      <c r="I184" s="55" t="s">
        <v>681</v>
      </c>
      <c r="J184" s="55" t="s">
        <v>1676</v>
      </c>
      <c r="K184" s="55" t="s">
        <v>290</v>
      </c>
      <c r="L184" s="55" t="n">
        <v>0.75</v>
      </c>
      <c r="M184" s="55" t="n">
        <v>2.25</v>
      </c>
      <c r="N184" s="55" t="s">
        <v>141</v>
      </c>
      <c r="O184" s="57"/>
      <c r="P184" s="55"/>
      <c r="Q184" s="55"/>
      <c r="R184" s="55" t="n">
        <v>46</v>
      </c>
      <c r="S184" s="55" t="n">
        <v>67</v>
      </c>
      <c r="T184" s="55"/>
      <c r="U184" s="55" t="s">
        <v>695</v>
      </c>
      <c r="V184" s="55" t="s">
        <v>1503</v>
      </c>
      <c r="W184" s="55" t="s">
        <v>1500</v>
      </c>
      <c r="X184" s="4"/>
      <c r="Y184" s="4"/>
      <c r="Z184" s="4"/>
    </row>
    <row r="185" customFormat="false" ht="15.75" hidden="false" customHeight="true" outlineLevel="0" collapsed="false">
      <c r="A185" s="55" t="n">
        <v>1711</v>
      </c>
      <c r="B185" s="55" t="s">
        <v>696</v>
      </c>
      <c r="C185" s="55" t="s">
        <v>697</v>
      </c>
      <c r="D185" s="55" t="s">
        <v>2523</v>
      </c>
      <c r="E185" s="55"/>
      <c r="F185" s="55" t="s">
        <v>1194</v>
      </c>
      <c r="G185" s="55" t="s">
        <v>1194</v>
      </c>
      <c r="H185" s="55" t="s">
        <v>1248</v>
      </c>
      <c r="I185" s="55" t="s">
        <v>681</v>
      </c>
      <c r="J185" s="55" t="s">
        <v>2524</v>
      </c>
      <c r="K185" s="55" t="s">
        <v>698</v>
      </c>
      <c r="L185" s="55" t="n">
        <v>0.5</v>
      </c>
      <c r="M185" s="55" t="n">
        <v>2.25</v>
      </c>
      <c r="N185" s="55" t="s">
        <v>141</v>
      </c>
      <c r="O185" s="57"/>
      <c r="P185" s="55"/>
      <c r="Q185" s="55"/>
      <c r="R185" s="55" t="n">
        <v>46</v>
      </c>
      <c r="S185" s="55" t="n">
        <v>65</v>
      </c>
      <c r="T185" s="55"/>
      <c r="U185" s="55"/>
      <c r="V185" s="55"/>
      <c r="W185" s="58" t="s">
        <v>2454</v>
      </c>
      <c r="X185" s="4"/>
      <c r="Y185" s="4"/>
      <c r="Z185" s="4"/>
    </row>
    <row r="186" customFormat="false" ht="15.75" hidden="false" customHeight="true" outlineLevel="0" collapsed="false">
      <c r="A186" s="55" t="n">
        <v>1712</v>
      </c>
      <c r="B186" s="55" t="s">
        <v>469</v>
      </c>
      <c r="C186" s="55" t="s">
        <v>470</v>
      </c>
      <c r="D186" s="55" t="s">
        <v>2521</v>
      </c>
      <c r="E186" s="55"/>
      <c r="F186" s="55" t="s">
        <v>1194</v>
      </c>
      <c r="G186" s="55" t="s">
        <v>1194</v>
      </c>
      <c r="H186" s="55" t="s">
        <v>1248</v>
      </c>
      <c r="I186" s="55" t="s">
        <v>420</v>
      </c>
      <c r="J186" s="55" t="s">
        <v>2522</v>
      </c>
      <c r="K186" s="55" t="s">
        <v>471</v>
      </c>
      <c r="L186" s="55" t="n">
        <v>0.25</v>
      </c>
      <c r="M186" s="55" t="n">
        <v>0.75</v>
      </c>
      <c r="N186" s="55" t="s">
        <v>141</v>
      </c>
      <c r="O186" s="57"/>
      <c r="P186" s="55"/>
      <c r="Q186" s="55"/>
      <c r="R186" s="55" t="n">
        <v>23</v>
      </c>
      <c r="S186" s="55" t="n">
        <v>70</v>
      </c>
      <c r="T186" s="55"/>
      <c r="U186" s="55"/>
      <c r="V186" s="55"/>
      <c r="W186" s="58" t="s">
        <v>2454</v>
      </c>
      <c r="X186" s="4"/>
      <c r="Y186" s="4"/>
      <c r="Z186" s="4"/>
    </row>
    <row r="187" customFormat="false" ht="15.75" hidden="false" customHeight="true" outlineLevel="0" collapsed="false">
      <c r="A187" s="55" t="n">
        <v>1713</v>
      </c>
      <c r="B187" s="55" t="s">
        <v>472</v>
      </c>
      <c r="C187" s="55" t="s">
        <v>473</v>
      </c>
      <c r="D187" s="55" t="s">
        <v>1680</v>
      </c>
      <c r="E187" s="55" t="s">
        <v>1680</v>
      </c>
      <c r="F187" s="55" t="s">
        <v>1194</v>
      </c>
      <c r="G187" s="55" t="s">
        <v>1195</v>
      </c>
      <c r="H187" s="55" t="s">
        <v>1248</v>
      </c>
      <c r="I187" s="55" t="s">
        <v>420</v>
      </c>
      <c r="J187" s="55" t="s">
        <v>1681</v>
      </c>
      <c r="K187" s="55" t="s">
        <v>474</v>
      </c>
      <c r="L187" s="55" t="n">
        <v>0.5</v>
      </c>
      <c r="M187" s="55" t="n">
        <v>0.75</v>
      </c>
      <c r="N187" s="55" t="s">
        <v>141</v>
      </c>
      <c r="O187" s="57"/>
      <c r="P187" s="55"/>
      <c r="Q187" s="55"/>
      <c r="R187" s="55" t="n">
        <v>33</v>
      </c>
      <c r="S187" s="55" t="n">
        <v>122</v>
      </c>
      <c r="T187" s="55"/>
      <c r="U187" s="55" t="s">
        <v>473</v>
      </c>
      <c r="V187" s="55" t="s">
        <v>1682</v>
      </c>
      <c r="W187" s="55" t="s">
        <v>1500</v>
      </c>
      <c r="X187" s="4"/>
      <c r="Y187" s="4"/>
      <c r="Z187" s="4"/>
    </row>
    <row r="188" customFormat="false" ht="15.75" hidden="false" customHeight="true" outlineLevel="0" collapsed="false">
      <c r="A188" s="55" t="n">
        <v>1714</v>
      </c>
      <c r="B188" s="55" t="s">
        <v>475</v>
      </c>
      <c r="C188" s="55" t="s">
        <v>476</v>
      </c>
      <c r="D188" s="55" t="s">
        <v>1683</v>
      </c>
      <c r="E188" s="55" t="s">
        <v>1683</v>
      </c>
      <c r="F188" s="55" t="s">
        <v>1194</v>
      </c>
      <c r="G188" s="55" t="s">
        <v>1195</v>
      </c>
      <c r="H188" s="55" t="s">
        <v>1248</v>
      </c>
      <c r="I188" s="55" t="s">
        <v>420</v>
      </c>
      <c r="J188" s="55" t="s">
        <v>1684</v>
      </c>
      <c r="K188" s="55" t="s">
        <v>262</v>
      </c>
      <c r="L188" s="55" t="n">
        <v>0.75</v>
      </c>
      <c r="M188" s="55" t="n">
        <v>1.625</v>
      </c>
      <c r="N188" s="55" t="s">
        <v>141</v>
      </c>
      <c r="O188" s="57"/>
      <c r="P188" s="55"/>
      <c r="Q188" s="55"/>
      <c r="R188" s="55" t="n">
        <v>33</v>
      </c>
      <c r="S188" s="55" t="n">
        <v>100</v>
      </c>
      <c r="T188" s="55"/>
      <c r="U188" s="55" t="s">
        <v>476</v>
      </c>
      <c r="V188" s="55" t="s">
        <v>1503</v>
      </c>
      <c r="W188" s="55" t="s">
        <v>1500</v>
      </c>
      <c r="X188" s="4"/>
      <c r="Y188" s="4"/>
      <c r="Z188" s="4"/>
    </row>
    <row r="189" customFormat="false" ht="15.75" hidden="false" customHeight="true" outlineLevel="0" collapsed="false">
      <c r="A189" s="55" t="n">
        <v>1715</v>
      </c>
      <c r="B189" s="55" t="s">
        <v>477</v>
      </c>
      <c r="C189" s="55" t="s">
        <v>478</v>
      </c>
      <c r="D189" s="55" t="s">
        <v>1685</v>
      </c>
      <c r="E189" s="55" t="s">
        <v>1685</v>
      </c>
      <c r="F189" s="55" t="s">
        <v>1194</v>
      </c>
      <c r="G189" s="55" t="s">
        <v>1195</v>
      </c>
      <c r="H189" s="55" t="s">
        <v>1248</v>
      </c>
      <c r="I189" s="55" t="s">
        <v>420</v>
      </c>
      <c r="J189" s="55" t="s">
        <v>1686</v>
      </c>
      <c r="K189" s="55" t="s">
        <v>146</v>
      </c>
      <c r="L189" s="55" t="n">
        <v>0.75</v>
      </c>
      <c r="M189" s="55" t="n">
        <v>1.25</v>
      </c>
      <c r="N189" s="55" t="s">
        <v>141</v>
      </c>
      <c r="O189" s="57"/>
      <c r="P189" s="55"/>
      <c r="Q189" s="55"/>
      <c r="R189" s="55" t="n">
        <v>33</v>
      </c>
      <c r="S189" s="55" t="n">
        <v>117</v>
      </c>
      <c r="T189" s="55"/>
      <c r="U189" s="55" t="s">
        <v>478</v>
      </c>
      <c r="V189" s="55" t="s">
        <v>1687</v>
      </c>
      <c r="W189" s="55" t="s">
        <v>1500</v>
      </c>
      <c r="X189" s="4"/>
      <c r="Y189" s="4"/>
      <c r="Z189" s="4"/>
    </row>
    <row r="190" customFormat="false" ht="15.75" hidden="false" customHeight="true" outlineLevel="0" collapsed="false">
      <c r="A190" s="55" t="n">
        <v>1716</v>
      </c>
      <c r="B190" s="55" t="s">
        <v>479</v>
      </c>
      <c r="C190" s="55" t="s">
        <v>480</v>
      </c>
      <c r="D190" s="55" t="s">
        <v>1691</v>
      </c>
      <c r="E190" s="55" t="s">
        <v>1691</v>
      </c>
      <c r="F190" s="55" t="s">
        <v>1194</v>
      </c>
      <c r="G190" s="55" t="s">
        <v>1195</v>
      </c>
      <c r="H190" s="55" t="s">
        <v>1248</v>
      </c>
      <c r="I190" s="55" t="s">
        <v>420</v>
      </c>
      <c r="J190" s="55" t="s">
        <v>1692</v>
      </c>
      <c r="K190" s="55" t="s">
        <v>262</v>
      </c>
      <c r="L190" s="55" t="n">
        <v>0.75</v>
      </c>
      <c r="M190" s="55" t="n">
        <v>1.625</v>
      </c>
      <c r="N190" s="55" t="s">
        <v>141</v>
      </c>
      <c r="O190" s="57"/>
      <c r="P190" s="55"/>
      <c r="Q190" s="55"/>
      <c r="R190" s="55" t="n">
        <v>33</v>
      </c>
      <c r="S190" s="55" t="n">
        <v>93</v>
      </c>
      <c r="T190" s="55"/>
      <c r="U190" s="55" t="s">
        <v>480</v>
      </c>
      <c r="V190" s="55" t="s">
        <v>1693</v>
      </c>
      <c r="W190" s="55" t="s">
        <v>1500</v>
      </c>
      <c r="X190" s="4"/>
      <c r="Y190" s="4"/>
      <c r="Z190" s="4"/>
    </row>
    <row r="191" customFormat="false" ht="15.75" hidden="false" customHeight="true" outlineLevel="0" collapsed="false">
      <c r="A191" s="55" t="n">
        <v>1717</v>
      </c>
      <c r="B191" s="55" t="s">
        <v>481</v>
      </c>
      <c r="C191" s="55" t="s">
        <v>482</v>
      </c>
      <c r="D191" s="55" t="s">
        <v>1648</v>
      </c>
      <c r="E191" s="55" t="s">
        <v>1648</v>
      </c>
      <c r="F191" s="55" t="s">
        <v>1194</v>
      </c>
      <c r="G191" s="55" t="s">
        <v>1195</v>
      </c>
      <c r="H191" s="55" t="s">
        <v>1248</v>
      </c>
      <c r="I191" s="55" t="s">
        <v>420</v>
      </c>
      <c r="J191" s="55" t="s">
        <v>1649</v>
      </c>
      <c r="K191" s="55" t="s">
        <v>483</v>
      </c>
      <c r="L191" s="55" t="n">
        <v>1.25</v>
      </c>
      <c r="M191" s="55" t="n">
        <v>2.25</v>
      </c>
      <c r="N191" s="55" t="s">
        <v>141</v>
      </c>
      <c r="O191" s="57"/>
      <c r="P191" s="55"/>
      <c r="Q191" s="55"/>
      <c r="R191" s="55" t="n">
        <v>33</v>
      </c>
      <c r="S191" s="55" t="n">
        <v>79</v>
      </c>
      <c r="T191" s="55"/>
      <c r="U191" s="55" t="s">
        <v>482</v>
      </c>
      <c r="V191" s="55" t="s">
        <v>1503</v>
      </c>
      <c r="W191" s="55" t="s">
        <v>1500</v>
      </c>
      <c r="X191" s="4"/>
      <c r="Y191" s="4"/>
      <c r="Z191" s="4"/>
    </row>
    <row r="192" customFormat="false" ht="15.75" hidden="false" customHeight="true" outlineLevel="0" collapsed="false">
      <c r="A192" s="55" t="n">
        <v>1718</v>
      </c>
      <c r="B192" s="55" t="s">
        <v>484</v>
      </c>
      <c r="C192" s="55" t="s">
        <v>485</v>
      </c>
      <c r="D192" s="55" t="s">
        <v>2525</v>
      </c>
      <c r="E192" s="55"/>
      <c r="F192" s="55" t="s">
        <v>1194</v>
      </c>
      <c r="G192" s="55" t="s">
        <v>1194</v>
      </c>
      <c r="H192" s="55" t="s">
        <v>1248</v>
      </c>
      <c r="I192" s="55" t="s">
        <v>420</v>
      </c>
      <c r="J192" s="55" t="s">
        <v>2526</v>
      </c>
      <c r="K192" s="55" t="s">
        <v>486</v>
      </c>
      <c r="L192" s="55" t="n">
        <v>1.3125</v>
      </c>
      <c r="M192" s="55" t="n">
        <v>2.375</v>
      </c>
      <c r="N192" s="55" t="s">
        <v>141</v>
      </c>
      <c r="O192" s="57"/>
      <c r="P192" s="55"/>
      <c r="Q192" s="55"/>
      <c r="R192" s="55" t="n">
        <v>33</v>
      </c>
      <c r="S192" s="55" t="n">
        <v>61</v>
      </c>
      <c r="T192" s="55"/>
      <c r="U192" s="55"/>
      <c r="V192" s="55"/>
      <c r="W192" s="58" t="s">
        <v>2454</v>
      </c>
      <c r="X192" s="4"/>
      <c r="Y192" s="4"/>
      <c r="Z192" s="4"/>
    </row>
    <row r="193" customFormat="false" ht="15.75" hidden="false" customHeight="true" outlineLevel="0" collapsed="false">
      <c r="A193" s="55" t="n">
        <v>1719</v>
      </c>
      <c r="B193" s="55" t="s">
        <v>487</v>
      </c>
      <c r="C193" s="55" t="s">
        <v>488</v>
      </c>
      <c r="D193" s="55" t="s">
        <v>1645</v>
      </c>
      <c r="E193" s="55" t="s">
        <v>1645</v>
      </c>
      <c r="F193" s="55" t="s">
        <v>1194</v>
      </c>
      <c r="G193" s="55" t="s">
        <v>1195</v>
      </c>
      <c r="H193" s="55" t="s">
        <v>1248</v>
      </c>
      <c r="I193" s="55" t="s">
        <v>420</v>
      </c>
      <c r="J193" s="55" t="s">
        <v>1646</v>
      </c>
      <c r="K193" s="55" t="s">
        <v>489</v>
      </c>
      <c r="L193" s="55" t="n">
        <v>1.3125</v>
      </c>
      <c r="M193" s="55" t="n">
        <v>2.5</v>
      </c>
      <c r="N193" s="55" t="s">
        <v>141</v>
      </c>
      <c r="O193" s="57"/>
      <c r="P193" s="55"/>
      <c r="Q193" s="55"/>
      <c r="R193" s="55" t="n">
        <v>33</v>
      </c>
      <c r="S193" s="55" t="n">
        <v>53</v>
      </c>
      <c r="T193" s="55"/>
      <c r="U193" s="55" t="s">
        <v>488</v>
      </c>
      <c r="V193" s="55" t="s">
        <v>1647</v>
      </c>
      <c r="W193" s="55" t="s">
        <v>1500</v>
      </c>
      <c r="X193" s="4"/>
      <c r="Y193" s="4"/>
      <c r="Z193" s="4"/>
    </row>
    <row r="194" customFormat="false" ht="15.75" hidden="false" customHeight="true" outlineLevel="0" collapsed="false">
      <c r="A194" s="55" t="n">
        <v>1720</v>
      </c>
      <c r="B194" s="55" t="s">
        <v>490</v>
      </c>
      <c r="C194" s="55" t="s">
        <v>491</v>
      </c>
      <c r="D194" s="55" t="s">
        <v>2513</v>
      </c>
      <c r="E194" s="55"/>
      <c r="F194" s="55" t="s">
        <v>1194</v>
      </c>
      <c r="G194" s="55" t="s">
        <v>1194</v>
      </c>
      <c r="H194" s="55" t="s">
        <v>1248</v>
      </c>
      <c r="I194" s="55" t="s">
        <v>420</v>
      </c>
      <c r="J194" s="55" t="s">
        <v>2514</v>
      </c>
      <c r="K194" s="55" t="s">
        <v>492</v>
      </c>
      <c r="L194" s="55" t="n">
        <v>1.25</v>
      </c>
      <c r="M194" s="55" t="n">
        <v>3.25</v>
      </c>
      <c r="N194" s="55" t="s">
        <v>141</v>
      </c>
      <c r="O194" s="57"/>
      <c r="P194" s="55"/>
      <c r="Q194" s="55"/>
      <c r="R194" s="55" t="n">
        <v>33</v>
      </c>
      <c r="S194" s="55" t="n">
        <v>42</v>
      </c>
      <c r="T194" s="55"/>
      <c r="U194" s="55"/>
      <c r="V194" s="55"/>
      <c r="W194" s="58" t="s">
        <v>2454</v>
      </c>
      <c r="X194" s="4"/>
      <c r="Y194" s="4"/>
      <c r="Z194" s="4"/>
    </row>
    <row r="195" customFormat="false" ht="15.75" hidden="false" customHeight="true" outlineLevel="0" collapsed="false">
      <c r="A195" s="55" t="n">
        <v>1721</v>
      </c>
      <c r="B195" s="55" t="s">
        <v>594</v>
      </c>
      <c r="C195" s="55" t="s">
        <v>595</v>
      </c>
      <c r="D195" s="55" t="s">
        <v>2012</v>
      </c>
      <c r="E195" s="55" t="s">
        <v>2012</v>
      </c>
      <c r="F195" s="55" t="s">
        <v>1194</v>
      </c>
      <c r="G195" s="55" t="s">
        <v>1195</v>
      </c>
      <c r="H195" s="55" t="s">
        <v>1248</v>
      </c>
      <c r="I195" s="55" t="s">
        <v>578</v>
      </c>
      <c r="J195" s="55" t="s">
        <v>2013</v>
      </c>
      <c r="K195" s="55" t="s">
        <v>596</v>
      </c>
      <c r="L195" s="55" t="n">
        <v>0.5</v>
      </c>
      <c r="M195" s="55" t="n">
        <v>0.75</v>
      </c>
      <c r="N195" s="55" t="s">
        <v>141</v>
      </c>
      <c r="O195" s="57"/>
      <c r="P195" s="55"/>
      <c r="Q195" s="55"/>
      <c r="R195" s="55" t="n">
        <v>0</v>
      </c>
      <c r="S195" s="55" t="n">
        <v>138</v>
      </c>
      <c r="T195" s="55"/>
      <c r="U195" s="55" t="s">
        <v>595</v>
      </c>
      <c r="V195" s="55" t="s">
        <v>1503</v>
      </c>
      <c r="W195" s="55" t="s">
        <v>1992</v>
      </c>
      <c r="X195" s="4"/>
      <c r="Y195" s="4"/>
      <c r="Z195" s="4"/>
    </row>
    <row r="196" customFormat="false" ht="15.75" hidden="false" customHeight="true" outlineLevel="0" collapsed="false">
      <c r="A196" s="55" t="n">
        <v>1722</v>
      </c>
      <c r="B196" s="55" t="s">
        <v>632</v>
      </c>
      <c r="C196" s="55" t="s">
        <v>633</v>
      </c>
      <c r="D196" s="55" t="s">
        <v>2133</v>
      </c>
      <c r="E196" s="55"/>
      <c r="F196" s="55" t="s">
        <v>1194</v>
      </c>
      <c r="G196" s="55" t="s">
        <v>1194</v>
      </c>
      <c r="H196" s="55" t="s">
        <v>1248</v>
      </c>
      <c r="I196" s="55" t="s">
        <v>599</v>
      </c>
      <c r="J196" s="55" t="s">
        <v>2134</v>
      </c>
      <c r="K196" s="55" t="s">
        <v>296</v>
      </c>
      <c r="L196" s="55" t="n">
        <v>0.75</v>
      </c>
      <c r="M196" s="55" t="n">
        <v>2.75</v>
      </c>
      <c r="N196" s="55" t="s">
        <v>141</v>
      </c>
      <c r="O196" s="57"/>
      <c r="P196" s="55"/>
      <c r="Q196" s="55"/>
      <c r="R196" s="55" t="n">
        <v>0</v>
      </c>
      <c r="S196" s="55" t="n">
        <v>124</v>
      </c>
      <c r="T196" s="55"/>
      <c r="U196" s="55"/>
      <c r="V196" s="55"/>
      <c r="W196" s="58" t="s">
        <v>2132</v>
      </c>
      <c r="X196" s="4"/>
      <c r="Y196" s="4"/>
      <c r="Z196" s="4"/>
    </row>
    <row r="197" customFormat="false" ht="15.75" hidden="false" customHeight="true" outlineLevel="0" collapsed="false">
      <c r="A197" s="55" t="n">
        <v>1723</v>
      </c>
      <c r="B197" s="55" t="s">
        <v>1165</v>
      </c>
      <c r="C197" s="55" t="s">
        <v>1166</v>
      </c>
      <c r="D197" s="55" t="s">
        <v>2022</v>
      </c>
      <c r="E197" s="55" t="s">
        <v>2026</v>
      </c>
      <c r="F197" s="55" t="s">
        <v>1195</v>
      </c>
      <c r="G197" s="55" t="s">
        <v>1195</v>
      </c>
      <c r="H197" s="55" t="s">
        <v>2023</v>
      </c>
      <c r="I197" s="55"/>
      <c r="J197" s="55" t="s">
        <v>2024</v>
      </c>
      <c r="K197" s="55" t="s">
        <v>1167</v>
      </c>
      <c r="L197" s="55" t="n">
        <v>0.75</v>
      </c>
      <c r="M197" s="55" t="n">
        <v>3</v>
      </c>
      <c r="N197" s="55" t="s">
        <v>141</v>
      </c>
      <c r="O197" s="57"/>
      <c r="P197" s="55"/>
      <c r="Q197" s="55"/>
      <c r="R197" s="55" t="n">
        <v>0</v>
      </c>
      <c r="S197" s="55" t="n">
        <v>0</v>
      </c>
      <c r="T197" s="55"/>
      <c r="U197" s="55" t="s">
        <v>1166</v>
      </c>
      <c r="V197" s="55" t="s">
        <v>1503</v>
      </c>
      <c r="W197" s="58" t="s">
        <v>2027</v>
      </c>
      <c r="X197" s="4"/>
      <c r="Y197" s="4"/>
      <c r="Z197" s="4"/>
    </row>
    <row r="198" customFormat="false" ht="15.75" hidden="false" customHeight="true" outlineLevel="0" collapsed="false">
      <c r="A198" s="55" t="n">
        <v>1724</v>
      </c>
      <c r="B198" s="55" t="s">
        <v>702</v>
      </c>
      <c r="C198" s="55" t="s">
        <v>703</v>
      </c>
      <c r="D198" s="55" t="s">
        <v>1589</v>
      </c>
      <c r="E198" s="55" t="s">
        <v>1589</v>
      </c>
      <c r="F198" s="55" t="s">
        <v>1194</v>
      </c>
      <c r="G198" s="55" t="s">
        <v>1195</v>
      </c>
      <c r="H198" s="55" t="s">
        <v>1248</v>
      </c>
      <c r="I198" s="55" t="s">
        <v>704</v>
      </c>
      <c r="J198" s="55" t="s">
        <v>1590</v>
      </c>
      <c r="K198" s="55" t="s">
        <v>705</v>
      </c>
      <c r="L198" s="55" t="n">
        <v>1.25</v>
      </c>
      <c r="M198" s="55" t="n">
        <v>1.75</v>
      </c>
      <c r="N198" s="55" t="s">
        <v>141</v>
      </c>
      <c r="O198" s="57"/>
      <c r="P198" s="55"/>
      <c r="Q198" s="55"/>
      <c r="R198" s="55" t="n">
        <v>52</v>
      </c>
      <c r="S198" s="55" t="n">
        <v>46</v>
      </c>
      <c r="T198" s="55"/>
      <c r="U198" s="55" t="s">
        <v>703</v>
      </c>
      <c r="V198" s="55" t="s">
        <v>1591</v>
      </c>
      <c r="W198" s="55" t="s">
        <v>1500</v>
      </c>
      <c r="X198" s="4"/>
      <c r="Y198" s="4"/>
      <c r="Z198" s="4"/>
    </row>
    <row r="199" customFormat="false" ht="15.75" hidden="false" customHeight="true" outlineLevel="0" collapsed="false">
      <c r="A199" s="55" t="n">
        <v>1725</v>
      </c>
      <c r="B199" s="55" t="s">
        <v>706</v>
      </c>
      <c r="C199" s="55" t="s">
        <v>707</v>
      </c>
      <c r="D199" s="55" t="s">
        <v>1592</v>
      </c>
      <c r="E199" s="55" t="s">
        <v>1592</v>
      </c>
      <c r="F199" s="55" t="s">
        <v>1194</v>
      </c>
      <c r="G199" s="55" t="s">
        <v>1195</v>
      </c>
      <c r="H199" s="55" t="s">
        <v>1248</v>
      </c>
      <c r="I199" s="55" t="s">
        <v>704</v>
      </c>
      <c r="J199" s="55" t="s">
        <v>1593</v>
      </c>
      <c r="K199" s="55" t="s">
        <v>606</v>
      </c>
      <c r="L199" s="55" t="n">
        <v>1.25</v>
      </c>
      <c r="M199" s="55" t="n">
        <v>2.5</v>
      </c>
      <c r="N199" s="55" t="s">
        <v>141</v>
      </c>
      <c r="O199" s="57"/>
      <c r="P199" s="55"/>
      <c r="Q199" s="55"/>
      <c r="R199" s="55" t="n">
        <v>52</v>
      </c>
      <c r="S199" s="55" t="n">
        <v>53</v>
      </c>
      <c r="T199" s="55"/>
      <c r="U199" s="55" t="s">
        <v>707</v>
      </c>
      <c r="V199" s="55" t="s">
        <v>1594</v>
      </c>
      <c r="W199" s="55" t="s">
        <v>1500</v>
      </c>
      <c r="X199" s="4"/>
      <c r="Y199" s="4"/>
      <c r="Z199" s="4"/>
    </row>
    <row r="200" customFormat="false" ht="15.75" hidden="false" customHeight="true" outlineLevel="0" collapsed="false">
      <c r="A200" s="55" t="n">
        <v>1726</v>
      </c>
      <c r="B200" s="55" t="s">
        <v>708</v>
      </c>
      <c r="C200" s="55" t="s">
        <v>709</v>
      </c>
      <c r="D200" s="55" t="s">
        <v>1595</v>
      </c>
      <c r="E200" s="55" t="s">
        <v>1595</v>
      </c>
      <c r="F200" s="55" t="s">
        <v>1194</v>
      </c>
      <c r="G200" s="55" t="s">
        <v>1195</v>
      </c>
      <c r="H200" s="55" t="s">
        <v>1248</v>
      </c>
      <c r="I200" s="55" t="s">
        <v>704</v>
      </c>
      <c r="J200" s="55" t="s">
        <v>1596</v>
      </c>
      <c r="K200" s="55" t="s">
        <v>293</v>
      </c>
      <c r="L200" s="55" t="n">
        <v>0.75</v>
      </c>
      <c r="M200" s="55" t="n">
        <v>2.5</v>
      </c>
      <c r="N200" s="55" t="s">
        <v>141</v>
      </c>
      <c r="O200" s="57"/>
      <c r="P200" s="55"/>
      <c r="Q200" s="55"/>
      <c r="R200" s="55" t="n">
        <v>52</v>
      </c>
      <c r="S200" s="55" t="n">
        <v>36</v>
      </c>
      <c r="T200" s="55"/>
      <c r="U200" s="55" t="s">
        <v>709</v>
      </c>
      <c r="V200" s="55" t="s">
        <v>1597</v>
      </c>
      <c r="W200" s="55" t="s">
        <v>1500</v>
      </c>
      <c r="X200" s="4"/>
      <c r="Y200" s="4"/>
      <c r="Z200" s="4"/>
    </row>
    <row r="201" customFormat="false" ht="15.75" hidden="false" customHeight="true" outlineLevel="0" collapsed="false">
      <c r="A201" s="55" t="n">
        <v>1727</v>
      </c>
      <c r="B201" s="55" t="s">
        <v>710</v>
      </c>
      <c r="C201" s="55" t="s">
        <v>711</v>
      </c>
      <c r="D201" s="55" t="s">
        <v>1598</v>
      </c>
      <c r="E201" s="55" t="s">
        <v>1598</v>
      </c>
      <c r="F201" s="55" t="s">
        <v>1194</v>
      </c>
      <c r="G201" s="55" t="s">
        <v>1195</v>
      </c>
      <c r="H201" s="55" t="s">
        <v>1248</v>
      </c>
      <c r="I201" s="55" t="s">
        <v>704</v>
      </c>
      <c r="J201" s="55" t="s">
        <v>1599</v>
      </c>
      <c r="K201" s="55" t="s">
        <v>606</v>
      </c>
      <c r="L201" s="55" t="n">
        <v>1.25</v>
      </c>
      <c r="M201" s="55" t="n">
        <v>2.5</v>
      </c>
      <c r="N201" s="55" t="s">
        <v>141</v>
      </c>
      <c r="O201" s="57"/>
      <c r="P201" s="55"/>
      <c r="Q201" s="55"/>
      <c r="R201" s="55" t="n">
        <v>52</v>
      </c>
      <c r="S201" s="55" t="n">
        <v>59</v>
      </c>
      <c r="T201" s="55"/>
      <c r="U201" s="55" t="s">
        <v>711</v>
      </c>
      <c r="V201" s="55" t="s">
        <v>1503</v>
      </c>
      <c r="W201" s="55" t="s">
        <v>1500</v>
      </c>
      <c r="X201" s="4"/>
      <c r="Y201" s="4"/>
      <c r="Z201" s="4"/>
    </row>
    <row r="202" customFormat="false" ht="15.75" hidden="false" customHeight="true" outlineLevel="0" collapsed="false">
      <c r="A202" s="55" t="n">
        <v>1728</v>
      </c>
      <c r="B202" s="55" t="s">
        <v>712</v>
      </c>
      <c r="C202" s="55" t="s">
        <v>713</v>
      </c>
      <c r="D202" s="55" t="s">
        <v>1604</v>
      </c>
      <c r="E202" s="55" t="s">
        <v>1604</v>
      </c>
      <c r="F202" s="55" t="s">
        <v>1194</v>
      </c>
      <c r="G202" s="55" t="s">
        <v>1195</v>
      </c>
      <c r="H202" s="55" t="s">
        <v>1248</v>
      </c>
      <c r="I202" s="55" t="s">
        <v>704</v>
      </c>
      <c r="J202" s="55" t="s">
        <v>1605</v>
      </c>
      <c r="K202" s="55" t="s">
        <v>268</v>
      </c>
      <c r="L202" s="55" t="n">
        <v>1.25</v>
      </c>
      <c r="M202" s="55" t="n">
        <v>2.25</v>
      </c>
      <c r="N202" s="55" t="s">
        <v>141</v>
      </c>
      <c r="O202" s="57"/>
      <c r="P202" s="55"/>
      <c r="Q202" s="55"/>
      <c r="R202" s="55" t="n">
        <v>60</v>
      </c>
      <c r="S202" s="55" t="n">
        <v>70</v>
      </c>
      <c r="T202" s="55"/>
      <c r="U202" s="55" t="s">
        <v>713</v>
      </c>
      <c r="V202" s="55" t="s">
        <v>1503</v>
      </c>
      <c r="W202" s="55" t="s">
        <v>1500</v>
      </c>
      <c r="X202" s="4"/>
      <c r="Y202" s="4"/>
      <c r="Z202" s="4"/>
    </row>
    <row r="203" customFormat="false" ht="15.75" hidden="false" customHeight="true" outlineLevel="0" collapsed="false">
      <c r="A203" s="55" t="n">
        <v>1729</v>
      </c>
      <c r="B203" s="55" t="s">
        <v>714</v>
      </c>
      <c r="C203" s="55" t="s">
        <v>715</v>
      </c>
      <c r="D203" s="55" t="s">
        <v>2515</v>
      </c>
      <c r="E203" s="55"/>
      <c r="F203" s="55" t="s">
        <v>1194</v>
      </c>
      <c r="G203" s="55" t="s">
        <v>1194</v>
      </c>
      <c r="H203" s="55" t="s">
        <v>1248</v>
      </c>
      <c r="I203" s="55" t="s">
        <v>704</v>
      </c>
      <c r="J203" s="55" t="s">
        <v>2516</v>
      </c>
      <c r="K203" s="55" t="s">
        <v>716</v>
      </c>
      <c r="L203" s="55" t="n">
        <v>1.25</v>
      </c>
      <c r="M203" s="55" t="n">
        <v>3.5</v>
      </c>
      <c r="N203" s="55" t="s">
        <v>141</v>
      </c>
      <c r="O203" s="57"/>
      <c r="P203" s="55"/>
      <c r="Q203" s="55"/>
      <c r="R203" s="55" t="n">
        <v>52</v>
      </c>
      <c r="S203" s="55" t="n">
        <v>48</v>
      </c>
      <c r="T203" s="55"/>
      <c r="U203" s="55"/>
      <c r="V203" s="55"/>
      <c r="W203" s="58" t="s">
        <v>2454</v>
      </c>
      <c r="X203" s="4"/>
      <c r="Y203" s="4"/>
      <c r="Z203" s="4"/>
    </row>
    <row r="204" customFormat="false" ht="15.75" hidden="false" customHeight="true" outlineLevel="0" collapsed="false">
      <c r="A204" s="55" t="n">
        <v>1730</v>
      </c>
      <c r="B204" s="55" t="s">
        <v>717</v>
      </c>
      <c r="C204" s="55" t="s">
        <v>718</v>
      </c>
      <c r="D204" s="55" t="s">
        <v>1606</v>
      </c>
      <c r="E204" s="55" t="s">
        <v>1606</v>
      </c>
      <c r="F204" s="55" t="s">
        <v>1194</v>
      </c>
      <c r="G204" s="55" t="s">
        <v>1195</v>
      </c>
      <c r="H204" s="55" t="s">
        <v>1248</v>
      </c>
      <c r="I204" s="55" t="s">
        <v>704</v>
      </c>
      <c r="J204" s="55" t="s">
        <v>1607</v>
      </c>
      <c r="K204" s="55" t="s">
        <v>312</v>
      </c>
      <c r="L204" s="55" t="n">
        <v>0.75</v>
      </c>
      <c r="M204" s="55" t="n">
        <v>3.5</v>
      </c>
      <c r="N204" s="55" t="s">
        <v>141</v>
      </c>
      <c r="O204" s="57"/>
      <c r="P204" s="55"/>
      <c r="Q204" s="55"/>
      <c r="R204" s="55" t="n">
        <v>52</v>
      </c>
      <c r="S204" s="55" t="n">
        <v>34</v>
      </c>
      <c r="T204" s="55"/>
      <c r="U204" s="55" t="s">
        <v>718</v>
      </c>
      <c r="V204" s="55" t="s">
        <v>1608</v>
      </c>
      <c r="W204" s="55" t="s">
        <v>1500</v>
      </c>
      <c r="X204" s="4"/>
      <c r="Y204" s="4"/>
      <c r="Z204" s="4"/>
    </row>
    <row r="205" customFormat="false" ht="15.75" hidden="false" customHeight="true" outlineLevel="0" collapsed="false">
      <c r="A205" s="55" t="n">
        <v>1731</v>
      </c>
      <c r="B205" s="55" t="s">
        <v>719</v>
      </c>
      <c r="C205" s="55" t="s">
        <v>720</v>
      </c>
      <c r="D205" s="55" t="s">
        <v>1613</v>
      </c>
      <c r="E205" s="55" t="s">
        <v>1613</v>
      </c>
      <c r="F205" s="55" t="s">
        <v>1194</v>
      </c>
      <c r="G205" s="55" t="s">
        <v>1195</v>
      </c>
      <c r="H205" s="55" t="s">
        <v>1248</v>
      </c>
      <c r="I205" s="55" t="s">
        <v>704</v>
      </c>
      <c r="J205" s="55" t="s">
        <v>1614</v>
      </c>
      <c r="K205" s="55" t="s">
        <v>716</v>
      </c>
      <c r="L205" s="55" t="n">
        <v>1.25</v>
      </c>
      <c r="M205" s="55" t="n">
        <v>3.5</v>
      </c>
      <c r="N205" s="55" t="s">
        <v>141</v>
      </c>
      <c r="O205" s="57"/>
      <c r="P205" s="55"/>
      <c r="Q205" s="55"/>
      <c r="R205" s="55" t="n">
        <v>52</v>
      </c>
      <c r="S205" s="55" t="n">
        <v>28</v>
      </c>
      <c r="T205" s="55"/>
      <c r="U205" s="55" t="s">
        <v>720</v>
      </c>
      <c r="V205" s="55" t="s">
        <v>1615</v>
      </c>
      <c r="W205" s="55" t="s">
        <v>1500</v>
      </c>
      <c r="X205" s="4"/>
      <c r="Y205" s="4"/>
      <c r="Z205" s="4"/>
    </row>
    <row r="206" customFormat="false" ht="15.75" hidden="false" customHeight="true" outlineLevel="0" collapsed="false">
      <c r="A206" s="55" t="n">
        <v>1732</v>
      </c>
      <c r="B206" s="55" t="s">
        <v>721</v>
      </c>
      <c r="C206" s="55" t="s">
        <v>722</v>
      </c>
      <c r="D206" s="55" t="s">
        <v>1616</v>
      </c>
      <c r="E206" s="55" t="s">
        <v>1616</v>
      </c>
      <c r="F206" s="55" t="s">
        <v>1194</v>
      </c>
      <c r="G206" s="55" t="s">
        <v>1195</v>
      </c>
      <c r="H206" s="55" t="s">
        <v>1248</v>
      </c>
      <c r="I206" s="55" t="s">
        <v>704</v>
      </c>
      <c r="J206" s="55" t="s">
        <v>1617</v>
      </c>
      <c r="K206" s="55" t="s">
        <v>723</v>
      </c>
      <c r="L206" s="55" t="n">
        <v>0.75</v>
      </c>
      <c r="M206" s="55" t="n">
        <v>5.5</v>
      </c>
      <c r="N206" s="55" t="s">
        <v>141</v>
      </c>
      <c r="O206" s="57"/>
      <c r="P206" s="55"/>
      <c r="Q206" s="55"/>
      <c r="R206" s="55" t="n">
        <v>52</v>
      </c>
      <c r="S206" s="55" t="n">
        <v>60</v>
      </c>
      <c r="T206" s="55"/>
      <c r="U206" s="55" t="s">
        <v>722</v>
      </c>
      <c r="V206" s="55" t="s">
        <v>1618</v>
      </c>
      <c r="W206" s="55" t="s">
        <v>1500</v>
      </c>
      <c r="X206" s="4"/>
      <c r="Y206" s="4"/>
      <c r="Z206" s="4"/>
    </row>
    <row r="207" customFormat="false" ht="15.75" hidden="false" customHeight="true" outlineLevel="0" collapsed="false">
      <c r="A207" s="55" t="n">
        <v>1733</v>
      </c>
      <c r="B207" s="55" t="s">
        <v>724</v>
      </c>
      <c r="C207" s="55" t="s">
        <v>725</v>
      </c>
      <c r="D207" s="55" t="s">
        <v>1619</v>
      </c>
      <c r="E207" s="55" t="s">
        <v>1619</v>
      </c>
      <c r="F207" s="55" t="s">
        <v>1194</v>
      </c>
      <c r="G207" s="55" t="s">
        <v>1195</v>
      </c>
      <c r="H207" s="55" t="s">
        <v>1248</v>
      </c>
      <c r="I207" s="55" t="s">
        <v>704</v>
      </c>
      <c r="J207" s="55" t="s">
        <v>1620</v>
      </c>
      <c r="K207" s="55" t="s">
        <v>726</v>
      </c>
      <c r="L207" s="55" t="n">
        <v>1.25</v>
      </c>
      <c r="M207" s="55" t="n">
        <v>5.5</v>
      </c>
      <c r="N207" s="55" t="s">
        <v>141</v>
      </c>
      <c r="O207" s="57"/>
      <c r="P207" s="55"/>
      <c r="Q207" s="55"/>
      <c r="R207" s="55" t="n">
        <v>52</v>
      </c>
      <c r="S207" s="55" t="n">
        <v>49</v>
      </c>
      <c r="T207" s="55"/>
      <c r="U207" s="55" t="s">
        <v>725</v>
      </c>
      <c r="V207" s="55" t="s">
        <v>1621</v>
      </c>
      <c r="W207" s="55" t="s">
        <v>1500</v>
      </c>
      <c r="X207" s="4"/>
      <c r="Y207" s="4"/>
      <c r="Z207" s="4"/>
    </row>
    <row r="208" customFormat="false" ht="15.75" hidden="false" customHeight="true" outlineLevel="0" collapsed="false">
      <c r="A208" s="55" t="n">
        <v>1734</v>
      </c>
      <c r="B208" s="55" t="s">
        <v>727</v>
      </c>
      <c r="C208" s="55" t="s">
        <v>728</v>
      </c>
      <c r="D208" s="55" t="s">
        <v>1626</v>
      </c>
      <c r="E208" s="55" t="s">
        <v>1626</v>
      </c>
      <c r="F208" s="55" t="s">
        <v>1194</v>
      </c>
      <c r="G208" s="55" t="s">
        <v>1195</v>
      </c>
      <c r="H208" s="55" t="s">
        <v>1248</v>
      </c>
      <c r="I208" s="55" t="s">
        <v>704</v>
      </c>
      <c r="J208" s="55" t="s">
        <v>1627</v>
      </c>
      <c r="K208" s="55" t="s">
        <v>416</v>
      </c>
      <c r="L208" s="55" t="n">
        <v>0.75</v>
      </c>
      <c r="M208" s="55" t="n">
        <v>7.25</v>
      </c>
      <c r="N208" s="55" t="s">
        <v>141</v>
      </c>
      <c r="O208" s="57"/>
      <c r="P208" s="55"/>
      <c r="Q208" s="55"/>
      <c r="R208" s="55" t="n">
        <v>52</v>
      </c>
      <c r="S208" s="55" t="n">
        <v>60</v>
      </c>
      <c r="T208" s="55"/>
      <c r="U208" s="55" t="s">
        <v>728</v>
      </c>
      <c r="V208" s="55" t="s">
        <v>1628</v>
      </c>
      <c r="W208" s="55" t="s">
        <v>1500</v>
      </c>
      <c r="X208" s="4"/>
      <c r="Y208" s="4"/>
      <c r="Z208" s="4"/>
    </row>
    <row r="209" customFormat="false" ht="15.75" hidden="false" customHeight="true" outlineLevel="0" collapsed="false">
      <c r="A209" s="55" t="n">
        <v>1735</v>
      </c>
      <c r="B209" s="55" t="s">
        <v>507</v>
      </c>
      <c r="C209" s="55" t="s">
        <v>508</v>
      </c>
      <c r="D209" s="55" t="s">
        <v>1629</v>
      </c>
      <c r="E209" s="55" t="s">
        <v>1629</v>
      </c>
      <c r="F209" s="55" t="s">
        <v>1194</v>
      </c>
      <c r="G209" s="55" t="s">
        <v>1195</v>
      </c>
      <c r="H209" s="55" t="s">
        <v>1248</v>
      </c>
      <c r="I209" s="55" t="s">
        <v>505</v>
      </c>
      <c r="J209" s="55" t="s">
        <v>1630</v>
      </c>
      <c r="K209" s="55" t="s">
        <v>509</v>
      </c>
      <c r="L209" s="55" t="n">
        <v>0.3125</v>
      </c>
      <c r="M209" s="55" t="n">
        <v>1.25</v>
      </c>
      <c r="N209" s="55" t="s">
        <v>141</v>
      </c>
      <c r="O209" s="57"/>
      <c r="P209" s="55"/>
      <c r="Q209" s="55"/>
      <c r="R209" s="55" t="n">
        <v>33</v>
      </c>
      <c r="S209" s="55" t="n">
        <v>140</v>
      </c>
      <c r="T209" s="55"/>
      <c r="U209" s="55" t="s">
        <v>508</v>
      </c>
      <c r="V209" s="55" t="s">
        <v>1631</v>
      </c>
      <c r="W209" s="55" t="s">
        <v>1500</v>
      </c>
      <c r="X209" s="4"/>
      <c r="Y209" s="4"/>
      <c r="Z209" s="4"/>
    </row>
    <row r="210" customFormat="false" ht="15.75" hidden="false" customHeight="true" outlineLevel="0" collapsed="false">
      <c r="A210" s="55" t="n">
        <v>1736</v>
      </c>
      <c r="B210" s="55" t="s">
        <v>510</v>
      </c>
      <c r="C210" s="55" t="s">
        <v>511</v>
      </c>
      <c r="D210" s="55" t="s">
        <v>1635</v>
      </c>
      <c r="E210" s="55" t="s">
        <v>1635</v>
      </c>
      <c r="F210" s="55" t="s">
        <v>1194</v>
      </c>
      <c r="G210" s="55" t="s">
        <v>1195</v>
      </c>
      <c r="H210" s="55" t="s">
        <v>1248</v>
      </c>
      <c r="I210" s="55" t="s">
        <v>505</v>
      </c>
      <c r="J210" s="55" t="s">
        <v>1636</v>
      </c>
      <c r="K210" s="55" t="s">
        <v>512</v>
      </c>
      <c r="L210" s="55" t="n">
        <v>0.3125</v>
      </c>
      <c r="M210" s="55" t="n">
        <v>1.625</v>
      </c>
      <c r="N210" s="55" t="s">
        <v>141</v>
      </c>
      <c r="O210" s="57"/>
      <c r="P210" s="55"/>
      <c r="Q210" s="55"/>
      <c r="R210" s="55" t="n">
        <v>33</v>
      </c>
      <c r="S210" s="55" t="n">
        <v>83</v>
      </c>
      <c r="T210" s="55"/>
      <c r="U210" s="55" t="s">
        <v>511</v>
      </c>
      <c r="V210" s="55" t="s">
        <v>1637</v>
      </c>
      <c r="W210" s="55" t="s">
        <v>1500</v>
      </c>
      <c r="X210" s="4"/>
      <c r="Y210" s="4"/>
      <c r="Z210" s="4"/>
    </row>
    <row r="211" customFormat="false" ht="15.75" hidden="false" customHeight="true" outlineLevel="0" collapsed="false">
      <c r="A211" s="55" t="n">
        <v>1737</v>
      </c>
      <c r="B211" s="55" t="s">
        <v>513</v>
      </c>
      <c r="C211" s="55" t="s">
        <v>514</v>
      </c>
      <c r="D211" s="55" t="s">
        <v>1530</v>
      </c>
      <c r="E211" s="55" t="s">
        <v>1530</v>
      </c>
      <c r="F211" s="55" t="s">
        <v>1194</v>
      </c>
      <c r="G211" s="55" t="s">
        <v>1195</v>
      </c>
      <c r="H211" s="55" t="s">
        <v>1248</v>
      </c>
      <c r="I211" s="55" t="s">
        <v>505</v>
      </c>
      <c r="J211" s="55" t="s">
        <v>1531</v>
      </c>
      <c r="K211" s="55" t="s">
        <v>515</v>
      </c>
      <c r="L211" s="55" t="n">
        <v>0.5</v>
      </c>
      <c r="M211" s="55" t="n">
        <v>1.5</v>
      </c>
      <c r="N211" s="55" t="s">
        <v>141</v>
      </c>
      <c r="O211" s="57"/>
      <c r="P211" s="55"/>
      <c r="Q211" s="55"/>
      <c r="R211" s="55" t="n">
        <v>33</v>
      </c>
      <c r="S211" s="55" t="n">
        <v>165</v>
      </c>
      <c r="T211" s="55"/>
      <c r="U211" s="55" t="s">
        <v>514</v>
      </c>
      <c r="V211" s="55" t="s">
        <v>1532</v>
      </c>
      <c r="W211" s="55" t="s">
        <v>1500</v>
      </c>
      <c r="X211" s="4"/>
      <c r="Y211" s="4"/>
      <c r="Z211" s="4"/>
    </row>
    <row r="212" customFormat="false" ht="15.75" hidden="false" customHeight="true" outlineLevel="0" collapsed="false">
      <c r="A212" s="55" t="n">
        <v>1739</v>
      </c>
      <c r="B212" s="55" t="s">
        <v>516</v>
      </c>
      <c r="C212" s="55" t="s">
        <v>517</v>
      </c>
      <c r="D212" s="55" t="s">
        <v>1587</v>
      </c>
      <c r="E212" s="55" t="s">
        <v>1587</v>
      </c>
      <c r="F212" s="55" t="s">
        <v>1194</v>
      </c>
      <c r="G212" s="55" t="s">
        <v>1195</v>
      </c>
      <c r="H212" s="55" t="s">
        <v>1248</v>
      </c>
      <c r="I212" s="55" t="s">
        <v>505</v>
      </c>
      <c r="J212" s="55" t="s">
        <v>1588</v>
      </c>
      <c r="K212" s="55" t="s">
        <v>245</v>
      </c>
      <c r="L212" s="55" t="n">
        <v>0.3125</v>
      </c>
      <c r="M212" s="55" t="n">
        <v>1.25</v>
      </c>
      <c r="N212" s="55" t="s">
        <v>141</v>
      </c>
      <c r="O212" s="57"/>
      <c r="P212" s="55"/>
      <c r="Q212" s="55"/>
      <c r="R212" s="55" t="n">
        <v>33</v>
      </c>
      <c r="S212" s="55" t="n">
        <v>73</v>
      </c>
      <c r="T212" s="55"/>
      <c r="U212" s="55" t="s">
        <v>517</v>
      </c>
      <c r="V212" s="55" t="s">
        <v>1503</v>
      </c>
      <c r="W212" s="55" t="s">
        <v>1500</v>
      </c>
      <c r="X212" s="4"/>
      <c r="Y212" s="4"/>
      <c r="Z212" s="4"/>
    </row>
    <row r="213" customFormat="false" ht="15.75" hidden="false" customHeight="true" outlineLevel="0" collapsed="false">
      <c r="A213" s="55" t="n">
        <v>1740</v>
      </c>
      <c r="B213" s="55" t="s">
        <v>518</v>
      </c>
      <c r="C213" s="55" t="s">
        <v>519</v>
      </c>
      <c r="D213" s="55" t="s">
        <v>1632</v>
      </c>
      <c r="E213" s="55" t="s">
        <v>1632</v>
      </c>
      <c r="F213" s="55" t="s">
        <v>1194</v>
      </c>
      <c r="G213" s="55" t="s">
        <v>1195</v>
      </c>
      <c r="H213" s="55" t="s">
        <v>1248</v>
      </c>
      <c r="I213" s="55" t="s">
        <v>505</v>
      </c>
      <c r="J213" s="55" t="s">
        <v>1633</v>
      </c>
      <c r="K213" s="55" t="s">
        <v>252</v>
      </c>
      <c r="L213" s="55" t="n">
        <v>0.3125</v>
      </c>
      <c r="M213" s="55" t="n">
        <v>1.625</v>
      </c>
      <c r="N213" s="55" t="s">
        <v>141</v>
      </c>
      <c r="O213" s="57"/>
      <c r="P213" s="55"/>
      <c r="Q213" s="55"/>
      <c r="R213" s="55" t="n">
        <v>33</v>
      </c>
      <c r="S213" s="55" t="n">
        <v>56</v>
      </c>
      <c r="T213" s="55"/>
      <c r="U213" s="55" t="s">
        <v>519</v>
      </c>
      <c r="V213" s="55" t="s">
        <v>1634</v>
      </c>
      <c r="W213" s="55" t="s">
        <v>1500</v>
      </c>
      <c r="X213" s="4"/>
      <c r="Y213" s="4"/>
      <c r="Z213" s="4"/>
    </row>
    <row r="214" customFormat="false" ht="15.75" hidden="false" customHeight="true" outlineLevel="0" collapsed="false">
      <c r="A214" s="55" t="n">
        <v>1741</v>
      </c>
      <c r="B214" s="55" t="s">
        <v>520</v>
      </c>
      <c r="C214" s="55" t="s">
        <v>521</v>
      </c>
      <c r="D214" s="55" t="s">
        <v>1622</v>
      </c>
      <c r="E214" s="55" t="s">
        <v>1622</v>
      </c>
      <c r="F214" s="55" t="s">
        <v>1194</v>
      </c>
      <c r="G214" s="55" t="s">
        <v>1195</v>
      </c>
      <c r="H214" s="55" t="s">
        <v>1248</v>
      </c>
      <c r="I214" s="55" t="s">
        <v>505</v>
      </c>
      <c r="J214" s="55" t="s">
        <v>1623</v>
      </c>
      <c r="K214" s="55" t="s">
        <v>245</v>
      </c>
      <c r="L214" s="55" t="n">
        <v>0.3125</v>
      </c>
      <c r="M214" s="55" t="n">
        <v>1.25</v>
      </c>
      <c r="N214" s="55" t="s">
        <v>141</v>
      </c>
      <c r="O214" s="57"/>
      <c r="P214" s="55"/>
      <c r="Q214" s="55"/>
      <c r="R214" s="55" t="n">
        <v>33</v>
      </c>
      <c r="S214" s="55" t="n">
        <v>176</v>
      </c>
      <c r="T214" s="55"/>
      <c r="U214" s="55" t="s">
        <v>1624</v>
      </c>
      <c r="V214" s="55" t="s">
        <v>1625</v>
      </c>
      <c r="W214" s="55" t="s">
        <v>1500</v>
      </c>
      <c r="X214" s="4"/>
      <c r="Y214" s="4"/>
      <c r="Z214" s="4"/>
    </row>
    <row r="215" customFormat="false" ht="15.75" hidden="false" customHeight="true" outlineLevel="0" collapsed="false">
      <c r="A215" s="55" t="n">
        <v>1742</v>
      </c>
      <c r="B215" s="55" t="s">
        <v>522</v>
      </c>
      <c r="C215" s="55" t="s">
        <v>523</v>
      </c>
      <c r="D215" s="55" t="s">
        <v>1638</v>
      </c>
      <c r="E215" s="55" t="s">
        <v>1638</v>
      </c>
      <c r="F215" s="55" t="s">
        <v>1194</v>
      </c>
      <c r="G215" s="55" t="s">
        <v>1195</v>
      </c>
      <c r="H215" s="55" t="s">
        <v>1248</v>
      </c>
      <c r="I215" s="55" t="s">
        <v>505</v>
      </c>
      <c r="J215" s="55" t="s">
        <v>1639</v>
      </c>
      <c r="K215" s="55" t="s">
        <v>241</v>
      </c>
      <c r="L215" s="55" t="n">
        <v>0.5</v>
      </c>
      <c r="M215" s="55" t="n">
        <v>1.5</v>
      </c>
      <c r="N215" s="55" t="s">
        <v>141</v>
      </c>
      <c r="O215" s="57"/>
      <c r="P215" s="55"/>
      <c r="Q215" s="55"/>
      <c r="R215" s="55" t="n">
        <v>44</v>
      </c>
      <c r="S215" s="55" t="n">
        <v>217</v>
      </c>
      <c r="T215" s="55"/>
      <c r="U215" s="55" t="s">
        <v>1640</v>
      </c>
      <c r="V215" s="55" t="s">
        <v>1641</v>
      </c>
      <c r="W215" s="55" t="s">
        <v>1500</v>
      </c>
      <c r="X215" s="4"/>
      <c r="Y215" s="4"/>
      <c r="Z215" s="4"/>
    </row>
    <row r="216" customFormat="false" ht="15.75" hidden="false" customHeight="true" outlineLevel="0" collapsed="false">
      <c r="A216" s="55" t="n">
        <v>1743</v>
      </c>
      <c r="B216" s="55" t="s">
        <v>2940</v>
      </c>
      <c r="C216" s="55" t="s">
        <v>2941</v>
      </c>
      <c r="D216" s="55" t="s">
        <v>2942</v>
      </c>
      <c r="E216" s="55" t="s">
        <v>2942</v>
      </c>
      <c r="F216" s="55" t="s">
        <v>1194</v>
      </c>
      <c r="G216" s="55" t="s">
        <v>1195</v>
      </c>
      <c r="H216" s="55" t="s">
        <v>1248</v>
      </c>
      <c r="I216" s="55" t="s">
        <v>505</v>
      </c>
      <c r="J216" s="55" t="s">
        <v>2943</v>
      </c>
      <c r="K216" s="55" t="s">
        <v>2944</v>
      </c>
      <c r="L216" s="55" t="n">
        <v>0.375</v>
      </c>
      <c r="M216" s="55" t="n">
        <v>1.375</v>
      </c>
      <c r="N216" s="55" t="s">
        <v>1270</v>
      </c>
      <c r="O216" s="55" t="s">
        <v>1270</v>
      </c>
      <c r="P216" s="55"/>
      <c r="Q216" s="55"/>
      <c r="R216" s="55" t="n">
        <v>33</v>
      </c>
      <c r="S216" s="55" t="n">
        <v>237</v>
      </c>
      <c r="T216" s="55"/>
      <c r="U216" s="55" t="s">
        <v>2941</v>
      </c>
      <c r="V216" s="55" t="s">
        <v>2945</v>
      </c>
      <c r="W216" s="55"/>
      <c r="X216" s="4"/>
      <c r="Y216" s="4"/>
      <c r="Z216" s="4"/>
    </row>
    <row r="217" customFormat="false" ht="15.75" hidden="false" customHeight="true" outlineLevel="0" collapsed="false">
      <c r="A217" s="55" t="n">
        <v>1744</v>
      </c>
      <c r="B217" s="55" t="s">
        <v>2946</v>
      </c>
      <c r="C217" s="55" t="s">
        <v>2947</v>
      </c>
      <c r="D217" s="55" t="s">
        <v>2948</v>
      </c>
      <c r="E217" s="55" t="s">
        <v>2948</v>
      </c>
      <c r="F217" s="55" t="s">
        <v>1194</v>
      </c>
      <c r="G217" s="55" t="s">
        <v>1195</v>
      </c>
      <c r="H217" s="55" t="s">
        <v>1248</v>
      </c>
      <c r="I217" s="55" t="s">
        <v>505</v>
      </c>
      <c r="J217" s="55" t="s">
        <v>2949</v>
      </c>
      <c r="K217" s="55" t="s">
        <v>2950</v>
      </c>
      <c r="L217" s="55" t="n">
        <v>0.4375</v>
      </c>
      <c r="M217" s="55" t="n">
        <v>1.1875</v>
      </c>
      <c r="N217" s="55" t="s">
        <v>1313</v>
      </c>
      <c r="O217" s="55" t="s">
        <v>1298</v>
      </c>
      <c r="P217" s="55"/>
      <c r="Q217" s="55"/>
      <c r="R217" s="55" t="n">
        <v>33</v>
      </c>
      <c r="S217" s="55" t="n">
        <v>167</v>
      </c>
      <c r="T217" s="55"/>
      <c r="U217" s="55" t="s">
        <v>2947</v>
      </c>
      <c r="V217" s="55" t="s">
        <v>1503</v>
      </c>
      <c r="W217" s="55"/>
      <c r="X217" s="4"/>
      <c r="Y217" s="4"/>
      <c r="Z217" s="4"/>
    </row>
    <row r="218" customFormat="false" ht="15.75" hidden="false" customHeight="true" outlineLevel="0" collapsed="false">
      <c r="A218" s="55" t="n">
        <v>1745</v>
      </c>
      <c r="B218" s="55" t="s">
        <v>652</v>
      </c>
      <c r="C218" s="55" t="s">
        <v>653</v>
      </c>
      <c r="D218" s="55" t="s">
        <v>1600</v>
      </c>
      <c r="E218" s="55" t="s">
        <v>1600</v>
      </c>
      <c r="F218" s="55" t="s">
        <v>1194</v>
      </c>
      <c r="G218" s="55" t="s">
        <v>1195</v>
      </c>
      <c r="H218" s="55" t="s">
        <v>1248</v>
      </c>
      <c r="I218" s="55" t="s">
        <v>654</v>
      </c>
      <c r="J218" s="55" t="s">
        <v>1601</v>
      </c>
      <c r="K218" s="55" t="s">
        <v>655</v>
      </c>
      <c r="L218" s="55" t="n">
        <v>0.375</v>
      </c>
      <c r="M218" s="55" t="n">
        <v>2.875</v>
      </c>
      <c r="N218" s="55" t="s">
        <v>141</v>
      </c>
      <c r="O218" s="57"/>
      <c r="P218" s="55"/>
      <c r="Q218" s="55"/>
      <c r="R218" s="55" t="n">
        <v>29</v>
      </c>
      <c r="S218" s="55" t="n">
        <v>76</v>
      </c>
      <c r="T218" s="55"/>
      <c r="U218" s="55" t="s">
        <v>1602</v>
      </c>
      <c r="V218" s="55" t="s">
        <v>1603</v>
      </c>
      <c r="W218" s="55" t="s">
        <v>1500</v>
      </c>
      <c r="X218" s="4"/>
      <c r="Y218" s="4"/>
      <c r="Z218" s="4"/>
    </row>
    <row r="219" customFormat="false" ht="15.75" hidden="false" customHeight="true" outlineLevel="0" collapsed="false">
      <c r="A219" s="55" t="n">
        <v>1746</v>
      </c>
      <c r="B219" s="55" t="s">
        <v>656</v>
      </c>
      <c r="C219" s="55" t="s">
        <v>657</v>
      </c>
      <c r="D219" s="55" t="s">
        <v>1609</v>
      </c>
      <c r="E219" s="55" t="s">
        <v>1609</v>
      </c>
      <c r="F219" s="55" t="s">
        <v>1194</v>
      </c>
      <c r="G219" s="55" t="s">
        <v>1195</v>
      </c>
      <c r="H219" s="55" t="s">
        <v>1248</v>
      </c>
      <c r="I219" s="55" t="s">
        <v>654</v>
      </c>
      <c r="J219" s="55" t="s">
        <v>1610</v>
      </c>
      <c r="K219" s="55" t="s">
        <v>658</v>
      </c>
      <c r="L219" s="55" t="n">
        <v>0.625</v>
      </c>
      <c r="M219" s="55" t="n">
        <v>3</v>
      </c>
      <c r="N219" s="55" t="s">
        <v>141</v>
      </c>
      <c r="O219" s="57"/>
      <c r="P219" s="55"/>
      <c r="Q219" s="55"/>
      <c r="R219" s="55" t="n">
        <v>27</v>
      </c>
      <c r="S219" s="55" t="n">
        <v>54</v>
      </c>
      <c r="T219" s="55"/>
      <c r="U219" s="55" t="s">
        <v>1611</v>
      </c>
      <c r="V219" s="55" t="s">
        <v>1612</v>
      </c>
      <c r="W219" s="55" t="s">
        <v>1500</v>
      </c>
      <c r="X219" s="4"/>
      <c r="Y219" s="4"/>
      <c r="Z219" s="4"/>
    </row>
    <row r="220" customFormat="false" ht="15.75" hidden="false" customHeight="true" outlineLevel="0" collapsed="false">
      <c r="A220" s="55" t="n">
        <v>1747</v>
      </c>
      <c r="B220" s="55" t="s">
        <v>659</v>
      </c>
      <c r="C220" s="55" t="s">
        <v>660</v>
      </c>
      <c r="D220" s="55" t="s">
        <v>1669</v>
      </c>
      <c r="E220" s="55" t="s">
        <v>1669</v>
      </c>
      <c r="F220" s="55" t="s">
        <v>1194</v>
      </c>
      <c r="G220" s="55" t="s">
        <v>1195</v>
      </c>
      <c r="H220" s="55" t="s">
        <v>1248</v>
      </c>
      <c r="I220" s="55" t="s">
        <v>654</v>
      </c>
      <c r="J220" s="55" t="s">
        <v>1670</v>
      </c>
      <c r="K220" s="55" t="s">
        <v>661</v>
      </c>
      <c r="L220" s="55" t="n">
        <v>0.625</v>
      </c>
      <c r="M220" s="55" t="n">
        <v>4</v>
      </c>
      <c r="N220" s="55" t="s">
        <v>141</v>
      </c>
      <c r="O220" s="57"/>
      <c r="P220" s="55"/>
      <c r="Q220" s="55"/>
      <c r="R220" s="55" t="n">
        <v>29</v>
      </c>
      <c r="S220" s="55" t="n">
        <v>53</v>
      </c>
      <c r="T220" s="55"/>
      <c r="U220" s="55" t="s">
        <v>1671</v>
      </c>
      <c r="V220" s="55" t="s">
        <v>1672</v>
      </c>
      <c r="W220" s="55" t="s">
        <v>1500</v>
      </c>
      <c r="X220" s="4"/>
      <c r="Y220" s="4"/>
      <c r="Z220" s="4"/>
    </row>
    <row r="221" customFormat="false" ht="15.75" hidden="false" customHeight="true" outlineLevel="0" collapsed="false">
      <c r="A221" s="55" t="n">
        <v>1748</v>
      </c>
      <c r="B221" s="55" t="s">
        <v>662</v>
      </c>
      <c r="C221" s="55" t="s">
        <v>663</v>
      </c>
      <c r="D221" s="55" t="s">
        <v>1688</v>
      </c>
      <c r="E221" s="55" t="s">
        <v>1688</v>
      </c>
      <c r="F221" s="55" t="s">
        <v>1194</v>
      </c>
      <c r="G221" s="55" t="s">
        <v>1195</v>
      </c>
      <c r="H221" s="55" t="s">
        <v>1248</v>
      </c>
      <c r="I221" s="55" t="s">
        <v>654</v>
      </c>
      <c r="J221" s="55" t="s">
        <v>1689</v>
      </c>
      <c r="K221" s="55" t="s">
        <v>664</v>
      </c>
      <c r="L221" s="55" t="n">
        <v>0.5625</v>
      </c>
      <c r="M221" s="55" t="n">
        <v>5.25</v>
      </c>
      <c r="N221" s="55" t="s">
        <v>665</v>
      </c>
      <c r="O221" s="57"/>
      <c r="P221" s="55"/>
      <c r="Q221" s="55"/>
      <c r="R221" s="55" t="n">
        <v>32</v>
      </c>
      <c r="S221" s="55" t="n">
        <v>174</v>
      </c>
      <c r="T221" s="55"/>
      <c r="U221" s="55" t="s">
        <v>663</v>
      </c>
      <c r="V221" s="55" t="s">
        <v>1690</v>
      </c>
      <c r="W221" s="55" t="s">
        <v>1500</v>
      </c>
      <c r="X221" s="4"/>
      <c r="Y221" s="4"/>
      <c r="Z221" s="4"/>
    </row>
    <row r="222" customFormat="false" ht="15.75" hidden="false" customHeight="true" outlineLevel="0" collapsed="false">
      <c r="A222" s="55" t="n">
        <v>1749</v>
      </c>
      <c r="B222" s="55" t="s">
        <v>666</v>
      </c>
      <c r="C222" s="55" t="s">
        <v>667</v>
      </c>
      <c r="D222" s="55" t="s">
        <v>1677</v>
      </c>
      <c r="E222" s="55" t="s">
        <v>1677</v>
      </c>
      <c r="F222" s="55" t="s">
        <v>1194</v>
      </c>
      <c r="G222" s="55" t="s">
        <v>1195</v>
      </c>
      <c r="H222" s="55" t="s">
        <v>1248</v>
      </c>
      <c r="I222" s="55" t="s">
        <v>654</v>
      </c>
      <c r="J222" s="55" t="s">
        <v>1678</v>
      </c>
      <c r="K222" s="55" t="s">
        <v>664</v>
      </c>
      <c r="L222" s="55" t="n">
        <v>0.5625</v>
      </c>
      <c r="M222" s="55" t="n">
        <v>5.25</v>
      </c>
      <c r="N222" s="55" t="s">
        <v>141</v>
      </c>
      <c r="O222" s="57"/>
      <c r="P222" s="55"/>
      <c r="Q222" s="55"/>
      <c r="R222" s="55" t="n">
        <v>32</v>
      </c>
      <c r="S222" s="55" t="n">
        <v>19</v>
      </c>
      <c r="T222" s="55"/>
      <c r="U222" s="55" t="s">
        <v>667</v>
      </c>
      <c r="V222" s="55" t="s">
        <v>1679</v>
      </c>
      <c r="W222" s="55" t="s">
        <v>1500</v>
      </c>
      <c r="X222" s="4"/>
      <c r="Y222" s="4"/>
      <c r="Z222" s="4"/>
    </row>
    <row r="223" customFormat="false" ht="15.75" hidden="false" customHeight="true" outlineLevel="0" collapsed="false">
      <c r="A223" s="55" t="n">
        <v>1750</v>
      </c>
      <c r="B223" s="55" t="s">
        <v>668</v>
      </c>
      <c r="C223" s="55" t="s">
        <v>669</v>
      </c>
      <c r="D223" s="55" t="s">
        <v>1650</v>
      </c>
      <c r="E223" s="55" t="s">
        <v>1650</v>
      </c>
      <c r="F223" s="55" t="s">
        <v>1194</v>
      </c>
      <c r="G223" s="55" t="s">
        <v>1195</v>
      </c>
      <c r="H223" s="55" t="s">
        <v>1248</v>
      </c>
      <c r="I223" s="55" t="s">
        <v>654</v>
      </c>
      <c r="J223" s="55" t="s">
        <v>1651</v>
      </c>
      <c r="K223" s="55" t="s">
        <v>670</v>
      </c>
      <c r="L223" s="55" t="n">
        <v>0.625</v>
      </c>
      <c r="M223" s="55" t="n">
        <v>5</v>
      </c>
      <c r="N223" s="55" t="s">
        <v>141</v>
      </c>
      <c r="O223" s="57"/>
      <c r="P223" s="55"/>
      <c r="Q223" s="55"/>
      <c r="R223" s="55" t="n">
        <v>25</v>
      </c>
      <c r="S223" s="55" t="n">
        <v>181</v>
      </c>
      <c r="T223" s="55"/>
      <c r="U223" s="55" t="s">
        <v>669</v>
      </c>
      <c r="V223" s="55" t="s">
        <v>1652</v>
      </c>
      <c r="W223" s="55" t="s">
        <v>1500</v>
      </c>
      <c r="X223" s="4"/>
      <c r="Y223" s="4"/>
      <c r="Z223" s="4"/>
    </row>
    <row r="224" customFormat="false" ht="15.75" hidden="false" customHeight="true" outlineLevel="0" collapsed="false">
      <c r="A224" s="55" t="n">
        <v>1751</v>
      </c>
      <c r="B224" s="55" t="s">
        <v>671</v>
      </c>
      <c r="C224" s="55" t="s">
        <v>672</v>
      </c>
      <c r="D224" s="55" t="s">
        <v>1515</v>
      </c>
      <c r="E224" s="55" t="s">
        <v>1515</v>
      </c>
      <c r="F224" s="55" t="s">
        <v>1194</v>
      </c>
      <c r="G224" s="55" t="s">
        <v>1195</v>
      </c>
      <c r="H224" s="55" t="s">
        <v>1248</v>
      </c>
      <c r="I224" s="55" t="s">
        <v>654</v>
      </c>
      <c r="J224" s="55" t="s">
        <v>1516</v>
      </c>
      <c r="K224" s="55" t="s">
        <v>670</v>
      </c>
      <c r="L224" s="55" t="n">
        <v>0.625</v>
      </c>
      <c r="M224" s="55" t="n">
        <v>5</v>
      </c>
      <c r="N224" s="55" t="s">
        <v>141</v>
      </c>
      <c r="O224" s="57"/>
      <c r="P224" s="55"/>
      <c r="Q224" s="55"/>
      <c r="R224" s="55" t="n">
        <v>33</v>
      </c>
      <c r="S224" s="55" t="n">
        <v>100</v>
      </c>
      <c r="T224" s="55"/>
      <c r="U224" s="55" t="s">
        <v>1517</v>
      </c>
      <c r="V224" s="55" t="s">
        <v>1518</v>
      </c>
      <c r="W224" s="55" t="s">
        <v>1500</v>
      </c>
      <c r="X224" s="4"/>
      <c r="Y224" s="4"/>
      <c r="Z224" s="4"/>
    </row>
    <row r="225" customFormat="false" ht="15.75" hidden="false" customHeight="true" outlineLevel="0" collapsed="false">
      <c r="A225" s="55" t="n">
        <v>1752</v>
      </c>
      <c r="B225" s="55" t="s">
        <v>1375</v>
      </c>
      <c r="C225" s="55" t="s">
        <v>1376</v>
      </c>
      <c r="D225" s="55" t="s">
        <v>1377</v>
      </c>
      <c r="E225" s="55" t="s">
        <v>1377</v>
      </c>
      <c r="F225" s="55" t="s">
        <v>1194</v>
      </c>
      <c r="G225" s="55" t="s">
        <v>1195</v>
      </c>
      <c r="H225" s="55" t="s">
        <v>1248</v>
      </c>
      <c r="I225" s="55" t="s">
        <v>654</v>
      </c>
      <c r="J225" s="55" t="s">
        <v>1378</v>
      </c>
      <c r="K225" s="55" t="s">
        <v>1379</v>
      </c>
      <c r="L225" s="55"/>
      <c r="M225" s="55"/>
      <c r="N225" s="55" t="s">
        <v>1270</v>
      </c>
      <c r="O225" s="55" t="s">
        <v>1270</v>
      </c>
      <c r="P225" s="55"/>
      <c r="Q225" s="55"/>
      <c r="R225" s="55" t="n">
        <v>148</v>
      </c>
      <c r="S225" s="55" t="n">
        <v>1207</v>
      </c>
      <c r="T225" s="55"/>
      <c r="U225" s="55" t="s">
        <v>1380</v>
      </c>
      <c r="V225" s="55" t="s">
        <v>1381</v>
      </c>
      <c r="W225" s="55" t="s">
        <v>1374</v>
      </c>
      <c r="X225" s="4"/>
      <c r="Y225" s="4"/>
      <c r="Z225" s="4"/>
    </row>
    <row r="226" customFormat="false" ht="15.75" hidden="false" customHeight="true" outlineLevel="0" collapsed="false">
      <c r="A226" s="55" t="n">
        <v>1753</v>
      </c>
      <c r="B226" s="55" t="s">
        <v>2951</v>
      </c>
      <c r="C226" s="55" t="s">
        <v>2952</v>
      </c>
      <c r="D226" s="55" t="s">
        <v>2953</v>
      </c>
      <c r="E226" s="55" t="s">
        <v>2953</v>
      </c>
      <c r="F226" s="55" t="s">
        <v>1194</v>
      </c>
      <c r="G226" s="55" t="s">
        <v>1195</v>
      </c>
      <c r="H226" s="55" t="s">
        <v>1248</v>
      </c>
      <c r="I226" s="55" t="s">
        <v>654</v>
      </c>
      <c r="J226" s="55" t="s">
        <v>2954</v>
      </c>
      <c r="K226" s="55" t="s">
        <v>2955</v>
      </c>
      <c r="L226" s="55" t="n">
        <v>0.625</v>
      </c>
      <c r="M226" s="55" t="n">
        <v>7.75</v>
      </c>
      <c r="N226" s="55" t="s">
        <v>1270</v>
      </c>
      <c r="O226" s="55" t="s">
        <v>1270</v>
      </c>
      <c r="P226" s="55"/>
      <c r="Q226" s="55"/>
      <c r="R226" s="55" t="n">
        <v>42</v>
      </c>
      <c r="S226" s="55" t="n">
        <v>135</v>
      </c>
      <c r="T226" s="55"/>
      <c r="U226" s="55" t="s">
        <v>2952</v>
      </c>
      <c r="V226" s="55" t="s">
        <v>2956</v>
      </c>
      <c r="W226" s="55"/>
      <c r="X226" s="4"/>
      <c r="Y226" s="4"/>
      <c r="Z226" s="4"/>
    </row>
    <row r="227" customFormat="false" ht="15.75" hidden="false" customHeight="true" outlineLevel="0" collapsed="false">
      <c r="A227" s="55" t="n">
        <v>1754</v>
      </c>
      <c r="B227" s="55" t="s">
        <v>2957</v>
      </c>
      <c r="C227" s="55" t="s">
        <v>2958</v>
      </c>
      <c r="D227" s="55" t="s">
        <v>2959</v>
      </c>
      <c r="E227" s="55" t="s">
        <v>2959</v>
      </c>
      <c r="F227" s="55" t="s">
        <v>1194</v>
      </c>
      <c r="G227" s="55" t="s">
        <v>1195</v>
      </c>
      <c r="H227" s="55" t="s">
        <v>1248</v>
      </c>
      <c r="I227" s="55" t="s">
        <v>654</v>
      </c>
      <c r="J227" s="55" t="s">
        <v>2960</v>
      </c>
      <c r="K227" s="55" t="s">
        <v>2961</v>
      </c>
      <c r="L227" s="55" t="n">
        <v>0.625</v>
      </c>
      <c r="M227" s="55" t="n">
        <v>5.6875</v>
      </c>
      <c r="N227" s="55" t="s">
        <v>1270</v>
      </c>
      <c r="O227" s="55" t="s">
        <v>1270</v>
      </c>
      <c r="P227" s="55"/>
      <c r="Q227" s="55"/>
      <c r="R227" s="55" t="n">
        <v>33</v>
      </c>
      <c r="S227" s="55" t="n">
        <v>90</v>
      </c>
      <c r="T227" s="55"/>
      <c r="U227" s="55" t="s">
        <v>2962</v>
      </c>
      <c r="V227" s="55" t="s">
        <v>2963</v>
      </c>
      <c r="W227" s="55"/>
      <c r="X227" s="4"/>
      <c r="Y227" s="4"/>
      <c r="Z227" s="4"/>
    </row>
    <row r="228" customFormat="false" ht="15.75" hidden="false" customHeight="true" outlineLevel="0" collapsed="false">
      <c r="A228" s="55" t="n">
        <v>1755</v>
      </c>
      <c r="B228" s="55" t="s">
        <v>673</v>
      </c>
      <c r="C228" s="55" t="s">
        <v>674</v>
      </c>
      <c r="D228" s="55" t="s">
        <v>1507</v>
      </c>
      <c r="E228" s="55" t="s">
        <v>1507</v>
      </c>
      <c r="F228" s="55" t="s">
        <v>1194</v>
      </c>
      <c r="G228" s="55" t="s">
        <v>1195</v>
      </c>
      <c r="H228" s="55" t="s">
        <v>1248</v>
      </c>
      <c r="I228" s="55" t="s">
        <v>654</v>
      </c>
      <c r="J228" s="55" t="s">
        <v>1508</v>
      </c>
      <c r="K228" s="55" t="s">
        <v>675</v>
      </c>
      <c r="L228" s="55" t="n">
        <v>0.25</v>
      </c>
      <c r="M228" s="55" t="n">
        <v>3.75</v>
      </c>
      <c r="N228" s="55" t="s">
        <v>141</v>
      </c>
      <c r="O228" s="57"/>
      <c r="P228" s="55"/>
      <c r="Q228" s="55"/>
      <c r="R228" s="55" t="n">
        <v>35</v>
      </c>
      <c r="S228" s="55" t="n">
        <v>81</v>
      </c>
      <c r="T228" s="55"/>
      <c r="U228" s="55" t="s">
        <v>674</v>
      </c>
      <c r="V228" s="55" t="s">
        <v>1509</v>
      </c>
      <c r="W228" s="55" t="s">
        <v>1500</v>
      </c>
      <c r="X228" s="4"/>
      <c r="Y228" s="4"/>
      <c r="Z228" s="4"/>
    </row>
    <row r="229" customFormat="false" ht="15.75" hidden="false" customHeight="true" outlineLevel="0" collapsed="false">
      <c r="A229" s="55" t="n">
        <v>1756</v>
      </c>
      <c r="B229" s="55" t="s">
        <v>676</v>
      </c>
      <c r="C229" s="55" t="s">
        <v>677</v>
      </c>
      <c r="D229" s="55" t="s">
        <v>2519</v>
      </c>
      <c r="E229" s="55"/>
      <c r="F229" s="55" t="s">
        <v>1194</v>
      </c>
      <c r="G229" s="55" t="s">
        <v>1194</v>
      </c>
      <c r="H229" s="55" t="s">
        <v>1248</v>
      </c>
      <c r="I229" s="55" t="s">
        <v>654</v>
      </c>
      <c r="J229" s="55" t="s">
        <v>2520</v>
      </c>
      <c r="K229" s="55" t="s">
        <v>678</v>
      </c>
      <c r="L229" s="55" t="n">
        <v>1.375</v>
      </c>
      <c r="M229" s="55" t="n">
        <v>5</v>
      </c>
      <c r="N229" s="55" t="s">
        <v>141</v>
      </c>
      <c r="O229" s="57"/>
      <c r="P229" s="55"/>
      <c r="Q229" s="55"/>
      <c r="R229" s="55" t="n">
        <v>29</v>
      </c>
      <c r="S229" s="55" t="n">
        <v>58</v>
      </c>
      <c r="T229" s="55"/>
      <c r="U229" s="55"/>
      <c r="V229" s="55"/>
      <c r="W229" s="58" t="s">
        <v>2454</v>
      </c>
      <c r="X229" s="4"/>
      <c r="Y229" s="4"/>
      <c r="Z229" s="4"/>
    </row>
    <row r="230" customFormat="false" ht="15.75" hidden="false" customHeight="true" outlineLevel="0" collapsed="false">
      <c r="A230" s="55" t="n">
        <v>1757</v>
      </c>
      <c r="B230" s="55" t="s">
        <v>699</v>
      </c>
      <c r="C230" s="55" t="s">
        <v>700</v>
      </c>
      <c r="D230" s="55" t="s">
        <v>1501</v>
      </c>
      <c r="E230" s="55" t="s">
        <v>1501</v>
      </c>
      <c r="F230" s="55" t="s">
        <v>1194</v>
      </c>
      <c r="G230" s="55" t="s">
        <v>1195</v>
      </c>
      <c r="H230" s="55" t="s">
        <v>1248</v>
      </c>
      <c r="I230" s="55" t="s">
        <v>681</v>
      </c>
      <c r="J230" s="55" t="s">
        <v>1502</v>
      </c>
      <c r="K230" s="55" t="s">
        <v>701</v>
      </c>
      <c r="L230" s="55" t="n">
        <v>0.75</v>
      </c>
      <c r="M230" s="55" t="n">
        <v>5.5</v>
      </c>
      <c r="N230" s="55" t="s">
        <v>141</v>
      </c>
      <c r="O230" s="57"/>
      <c r="P230" s="55"/>
      <c r="Q230" s="55"/>
      <c r="R230" s="55" t="n">
        <v>19</v>
      </c>
      <c r="S230" s="55" t="n">
        <v>55</v>
      </c>
      <c r="T230" s="55"/>
      <c r="U230" s="55" t="s">
        <v>700</v>
      </c>
      <c r="V230" s="55" t="s">
        <v>1503</v>
      </c>
      <c r="W230" s="55" t="s">
        <v>1500</v>
      </c>
      <c r="X230" s="4"/>
      <c r="Y230" s="4"/>
      <c r="Z230" s="4"/>
    </row>
    <row r="231" customFormat="false" ht="15.75" hidden="false" customHeight="true" outlineLevel="0" collapsed="false">
      <c r="A231" s="55" t="n">
        <v>1758</v>
      </c>
      <c r="B231" s="55" t="s">
        <v>493</v>
      </c>
      <c r="C231" s="55" t="s">
        <v>494</v>
      </c>
      <c r="D231" s="55" t="s">
        <v>2531</v>
      </c>
      <c r="E231" s="55"/>
      <c r="F231" s="55" t="s">
        <v>1194</v>
      </c>
      <c r="G231" s="55" t="s">
        <v>1194</v>
      </c>
      <c r="H231" s="55" t="s">
        <v>1248</v>
      </c>
      <c r="I231" s="55" t="s">
        <v>420</v>
      </c>
      <c r="J231" s="55" t="s">
        <v>2532</v>
      </c>
      <c r="K231" s="55" t="s">
        <v>495</v>
      </c>
      <c r="L231" s="55" t="n">
        <v>0.75</v>
      </c>
      <c r="M231" s="55" t="n">
        <v>2.875</v>
      </c>
      <c r="N231" s="55" t="s">
        <v>141</v>
      </c>
      <c r="O231" s="57"/>
      <c r="P231" s="55"/>
      <c r="Q231" s="55"/>
      <c r="R231" s="55" t="n">
        <v>32</v>
      </c>
      <c r="S231" s="55" t="n">
        <v>64</v>
      </c>
      <c r="T231" s="55"/>
      <c r="U231" s="55"/>
      <c r="V231" s="55"/>
      <c r="W231" s="58" t="s">
        <v>2454</v>
      </c>
      <c r="X231" s="4"/>
      <c r="Y231" s="4"/>
      <c r="Z231" s="4"/>
    </row>
    <row r="232" customFormat="false" ht="15.75" hidden="false" customHeight="true" outlineLevel="0" collapsed="false">
      <c r="A232" s="55" t="n">
        <v>1760</v>
      </c>
      <c r="B232" s="55" t="s">
        <v>2964</v>
      </c>
      <c r="C232" s="55" t="s">
        <v>2965</v>
      </c>
      <c r="D232" s="55" t="s">
        <v>2966</v>
      </c>
      <c r="E232" s="55" t="s">
        <v>2966</v>
      </c>
      <c r="F232" s="55" t="s">
        <v>1194</v>
      </c>
      <c r="G232" s="55" t="s">
        <v>1195</v>
      </c>
      <c r="H232" s="55" t="s">
        <v>1196</v>
      </c>
      <c r="I232" s="55" t="s">
        <v>883</v>
      </c>
      <c r="J232" s="55" t="s">
        <v>2967</v>
      </c>
      <c r="K232" s="55" t="s">
        <v>1198</v>
      </c>
      <c r="L232" s="55"/>
      <c r="M232" s="55"/>
      <c r="N232" s="55" t="s">
        <v>2968</v>
      </c>
      <c r="O232" s="55" t="s">
        <v>1200</v>
      </c>
      <c r="P232" s="55"/>
      <c r="Q232" s="55"/>
      <c r="R232" s="55" t="n">
        <v>80</v>
      </c>
      <c r="S232" s="55" t="n">
        <v>696</v>
      </c>
      <c r="T232" s="55"/>
      <c r="U232" s="55" t="s">
        <v>2969</v>
      </c>
      <c r="V232" s="55" t="s">
        <v>2970</v>
      </c>
      <c r="W232" s="55"/>
      <c r="X232" s="4"/>
      <c r="Y232" s="4"/>
      <c r="Z232" s="4"/>
    </row>
    <row r="233" customFormat="false" ht="15.75" hidden="false" customHeight="true" outlineLevel="0" collapsed="false">
      <c r="A233" s="55" t="n">
        <v>1761</v>
      </c>
      <c r="B233" s="55"/>
      <c r="C233" s="55" t="s">
        <v>1223</v>
      </c>
      <c r="D233" s="55" t="s">
        <v>1224</v>
      </c>
      <c r="E233" s="55" t="s">
        <v>1224</v>
      </c>
      <c r="F233" s="55" t="s">
        <v>1194</v>
      </c>
      <c r="G233" s="55" t="s">
        <v>1195</v>
      </c>
      <c r="H233" s="55" t="s">
        <v>1196</v>
      </c>
      <c r="I233" s="55" t="s">
        <v>883</v>
      </c>
      <c r="J233" s="55" t="s">
        <v>1225</v>
      </c>
      <c r="K233" s="55" t="s">
        <v>1198</v>
      </c>
      <c r="L233" s="55"/>
      <c r="M233" s="55"/>
      <c r="N233" s="55" t="s">
        <v>1199</v>
      </c>
      <c r="O233" s="55" t="s">
        <v>1200</v>
      </c>
      <c r="P233" s="55"/>
      <c r="Q233" s="55"/>
      <c r="R233" s="55" t="n">
        <v>83</v>
      </c>
      <c r="S233" s="55" t="n">
        <v>341</v>
      </c>
      <c r="T233" s="55"/>
      <c r="U233" s="55" t="s">
        <v>1223</v>
      </c>
      <c r="V233" s="55" t="s">
        <v>1201</v>
      </c>
      <c r="W233" s="55" t="s">
        <v>1202</v>
      </c>
      <c r="X233" s="4"/>
      <c r="Y233" s="4"/>
      <c r="Z233" s="4"/>
    </row>
    <row r="234" customFormat="false" ht="15.75" hidden="false" customHeight="true" outlineLevel="0" collapsed="false">
      <c r="A234" s="55" t="n">
        <v>1762</v>
      </c>
      <c r="B234" s="55"/>
      <c r="C234" s="55" t="s">
        <v>1192</v>
      </c>
      <c r="D234" s="55" t="s">
        <v>1193</v>
      </c>
      <c r="E234" s="55" t="s">
        <v>1193</v>
      </c>
      <c r="F234" s="55" t="s">
        <v>1194</v>
      </c>
      <c r="G234" s="55" t="s">
        <v>1195</v>
      </c>
      <c r="H234" s="55" t="s">
        <v>1196</v>
      </c>
      <c r="I234" s="55" t="s">
        <v>883</v>
      </c>
      <c r="J234" s="55" t="s">
        <v>1197</v>
      </c>
      <c r="K234" s="55" t="s">
        <v>1198</v>
      </c>
      <c r="L234" s="55"/>
      <c r="M234" s="55"/>
      <c r="N234" s="55" t="s">
        <v>1199</v>
      </c>
      <c r="O234" s="55" t="s">
        <v>1200</v>
      </c>
      <c r="P234" s="55"/>
      <c r="Q234" s="55"/>
      <c r="R234" s="55" t="n">
        <v>83</v>
      </c>
      <c r="S234" s="55" t="n">
        <v>429</v>
      </c>
      <c r="T234" s="55"/>
      <c r="U234" s="55" t="s">
        <v>1192</v>
      </c>
      <c r="V234" s="55" t="s">
        <v>1201</v>
      </c>
      <c r="W234" s="55" t="s">
        <v>1202</v>
      </c>
      <c r="X234" s="4"/>
      <c r="Y234" s="4"/>
      <c r="Z234" s="4"/>
    </row>
    <row r="235" customFormat="false" ht="15.75" hidden="false" customHeight="true" outlineLevel="0" collapsed="false">
      <c r="A235" s="55" t="n">
        <v>1763</v>
      </c>
      <c r="B235" s="55"/>
      <c r="C235" s="55" t="s">
        <v>1203</v>
      </c>
      <c r="D235" s="55" t="s">
        <v>1204</v>
      </c>
      <c r="E235" s="55" t="s">
        <v>1204</v>
      </c>
      <c r="F235" s="55" t="s">
        <v>1194</v>
      </c>
      <c r="G235" s="55" t="s">
        <v>1195</v>
      </c>
      <c r="H235" s="55" t="s">
        <v>1196</v>
      </c>
      <c r="I235" s="55" t="s">
        <v>883</v>
      </c>
      <c r="J235" s="55" t="s">
        <v>1205</v>
      </c>
      <c r="K235" s="55" t="s">
        <v>1198</v>
      </c>
      <c r="L235" s="55"/>
      <c r="M235" s="55"/>
      <c r="N235" s="55" t="s">
        <v>1199</v>
      </c>
      <c r="O235" s="55" t="s">
        <v>1200</v>
      </c>
      <c r="P235" s="55"/>
      <c r="Q235" s="55"/>
      <c r="R235" s="55" t="n">
        <v>69</v>
      </c>
      <c r="S235" s="55" t="n">
        <v>370</v>
      </c>
      <c r="T235" s="55"/>
      <c r="U235" s="55" t="s">
        <v>1203</v>
      </c>
      <c r="V235" s="55" t="s">
        <v>1201</v>
      </c>
      <c r="W235" s="55" t="s">
        <v>1202</v>
      </c>
      <c r="X235" s="4"/>
      <c r="Y235" s="4"/>
      <c r="Z235" s="4"/>
    </row>
    <row r="236" customFormat="false" ht="15.75" hidden="false" customHeight="true" outlineLevel="0" collapsed="false">
      <c r="A236" s="55" t="n">
        <v>1764</v>
      </c>
      <c r="B236" s="55"/>
      <c r="C236" s="55" t="s">
        <v>1238</v>
      </c>
      <c r="D236" s="55" t="s">
        <v>1239</v>
      </c>
      <c r="E236" s="55"/>
      <c r="F236" s="55" t="s">
        <v>1194</v>
      </c>
      <c r="G236" s="55" t="s">
        <v>1194</v>
      </c>
      <c r="H236" s="55" t="s">
        <v>1196</v>
      </c>
      <c r="I236" s="55" t="s">
        <v>883</v>
      </c>
      <c r="J236" s="55" t="s">
        <v>1240</v>
      </c>
      <c r="K236" s="55" t="s">
        <v>1198</v>
      </c>
      <c r="L236" s="55"/>
      <c r="M236" s="55"/>
      <c r="N236" s="55" t="s">
        <v>1199</v>
      </c>
      <c r="O236" s="55" t="s">
        <v>1200</v>
      </c>
      <c r="P236" s="55"/>
      <c r="Q236" s="55"/>
      <c r="R236" s="55" t="n">
        <v>70</v>
      </c>
      <c r="S236" s="55" t="n">
        <v>208</v>
      </c>
      <c r="T236" s="55"/>
      <c r="U236" s="55"/>
      <c r="V236" s="55"/>
      <c r="W236" s="58" t="s">
        <v>1232</v>
      </c>
      <c r="X236" s="4"/>
      <c r="Y236" s="4"/>
      <c r="Z236" s="4"/>
    </row>
    <row r="237" customFormat="false" ht="15.75" hidden="false" customHeight="true" outlineLevel="0" collapsed="false">
      <c r="A237" s="55" t="n">
        <v>1766</v>
      </c>
      <c r="B237" s="55"/>
      <c r="C237" s="55" t="s">
        <v>1215</v>
      </c>
      <c r="D237" s="55" t="s">
        <v>1216</v>
      </c>
      <c r="E237" s="55" t="s">
        <v>1216</v>
      </c>
      <c r="F237" s="55" t="s">
        <v>1194</v>
      </c>
      <c r="G237" s="55" t="s">
        <v>1195</v>
      </c>
      <c r="H237" s="55" t="s">
        <v>1196</v>
      </c>
      <c r="I237" s="55" t="s">
        <v>883</v>
      </c>
      <c r="J237" s="55" t="s">
        <v>1217</v>
      </c>
      <c r="K237" s="55" t="s">
        <v>1198</v>
      </c>
      <c r="L237" s="55"/>
      <c r="M237" s="55"/>
      <c r="N237" s="55" t="s">
        <v>1199</v>
      </c>
      <c r="O237" s="55" t="s">
        <v>1200</v>
      </c>
      <c r="P237" s="55"/>
      <c r="Q237" s="55"/>
      <c r="R237" s="55" t="n">
        <v>72</v>
      </c>
      <c r="S237" s="55" t="n">
        <v>212</v>
      </c>
      <c r="T237" s="55"/>
      <c r="U237" s="55" t="s">
        <v>1218</v>
      </c>
      <c r="V237" s="55" t="s">
        <v>1219</v>
      </c>
      <c r="W237" s="55" t="s">
        <v>1202</v>
      </c>
      <c r="X237" s="4"/>
      <c r="Y237" s="4"/>
      <c r="Z237" s="4"/>
    </row>
    <row r="238" customFormat="false" ht="15.75" hidden="false" customHeight="true" outlineLevel="0" collapsed="false">
      <c r="A238" s="55" t="n">
        <v>1767</v>
      </c>
      <c r="B238" s="55"/>
      <c r="C238" s="55" t="s">
        <v>1220</v>
      </c>
      <c r="D238" s="55" t="s">
        <v>1221</v>
      </c>
      <c r="E238" s="55" t="s">
        <v>1221</v>
      </c>
      <c r="F238" s="55" t="s">
        <v>1194</v>
      </c>
      <c r="G238" s="55" t="s">
        <v>1195</v>
      </c>
      <c r="H238" s="55" t="s">
        <v>1196</v>
      </c>
      <c r="I238" s="55" t="s">
        <v>883</v>
      </c>
      <c r="J238" s="55" t="s">
        <v>1222</v>
      </c>
      <c r="K238" s="55" t="s">
        <v>1198</v>
      </c>
      <c r="L238" s="55"/>
      <c r="M238" s="55"/>
      <c r="N238" s="55" t="s">
        <v>1199</v>
      </c>
      <c r="O238" s="55" t="s">
        <v>1200</v>
      </c>
      <c r="P238" s="55"/>
      <c r="Q238" s="55"/>
      <c r="R238" s="55" t="n">
        <v>69</v>
      </c>
      <c r="S238" s="55" t="n">
        <v>464</v>
      </c>
      <c r="T238" s="55"/>
      <c r="U238" s="55" t="s">
        <v>1220</v>
      </c>
      <c r="V238" s="55" t="s">
        <v>1201</v>
      </c>
      <c r="W238" s="55" t="s">
        <v>1202</v>
      </c>
      <c r="X238" s="4"/>
      <c r="Y238" s="4"/>
      <c r="Z238" s="4"/>
    </row>
    <row r="239" customFormat="false" ht="15.75" hidden="false" customHeight="true" outlineLevel="0" collapsed="false">
      <c r="A239" s="55" t="n">
        <v>1768</v>
      </c>
      <c r="B239" s="55"/>
      <c r="C239" s="55" t="s">
        <v>1226</v>
      </c>
      <c r="D239" s="55" t="s">
        <v>1227</v>
      </c>
      <c r="E239" s="55" t="s">
        <v>1227</v>
      </c>
      <c r="F239" s="55" t="s">
        <v>1194</v>
      </c>
      <c r="G239" s="55" t="s">
        <v>1195</v>
      </c>
      <c r="H239" s="55" t="s">
        <v>1196</v>
      </c>
      <c r="I239" s="55" t="s">
        <v>883</v>
      </c>
      <c r="J239" s="55" t="s">
        <v>1228</v>
      </c>
      <c r="K239" s="55" t="s">
        <v>1198</v>
      </c>
      <c r="L239" s="55"/>
      <c r="M239" s="55"/>
      <c r="N239" s="55" t="s">
        <v>1199</v>
      </c>
      <c r="O239" s="55" t="s">
        <v>1200</v>
      </c>
      <c r="P239" s="55"/>
      <c r="Q239" s="55"/>
      <c r="R239" s="55" t="n">
        <v>69</v>
      </c>
      <c r="S239" s="55" t="n">
        <v>390</v>
      </c>
      <c r="T239" s="55"/>
      <c r="U239" s="55" t="s">
        <v>1226</v>
      </c>
      <c r="V239" s="55" t="s">
        <v>1201</v>
      </c>
      <c r="W239" s="55" t="s">
        <v>1202</v>
      </c>
      <c r="X239" s="4"/>
      <c r="Y239" s="4"/>
      <c r="Z239" s="4"/>
    </row>
    <row r="240" customFormat="false" ht="15.75" hidden="false" customHeight="true" outlineLevel="0" collapsed="false">
      <c r="A240" s="55" t="n">
        <v>1769</v>
      </c>
      <c r="B240" s="55"/>
      <c r="C240" s="55" t="s">
        <v>1229</v>
      </c>
      <c r="D240" s="55" t="s">
        <v>1230</v>
      </c>
      <c r="E240" s="55"/>
      <c r="F240" s="55" t="s">
        <v>1194</v>
      </c>
      <c r="G240" s="55" t="s">
        <v>1194</v>
      </c>
      <c r="H240" s="55" t="s">
        <v>1196</v>
      </c>
      <c r="I240" s="55" t="s">
        <v>883</v>
      </c>
      <c r="J240" s="55" t="s">
        <v>1231</v>
      </c>
      <c r="K240" s="55" t="s">
        <v>1198</v>
      </c>
      <c r="L240" s="55"/>
      <c r="M240" s="55"/>
      <c r="N240" s="55" t="s">
        <v>1199</v>
      </c>
      <c r="O240" s="55" t="s">
        <v>1200</v>
      </c>
      <c r="P240" s="55"/>
      <c r="Q240" s="55"/>
      <c r="R240" s="55" t="n">
        <v>70</v>
      </c>
      <c r="S240" s="55" t="n">
        <v>143</v>
      </c>
      <c r="T240" s="55"/>
      <c r="U240" s="55"/>
      <c r="V240" s="55"/>
      <c r="W240" s="58" t="s">
        <v>1232</v>
      </c>
      <c r="X240" s="4"/>
      <c r="Y240" s="4"/>
      <c r="Z240" s="4"/>
    </row>
    <row r="241" customFormat="false" ht="15.75" hidden="false" customHeight="true" outlineLevel="0" collapsed="false">
      <c r="A241" s="55" t="n">
        <v>1771</v>
      </c>
      <c r="B241" s="55"/>
      <c r="C241" s="55" t="s">
        <v>1212</v>
      </c>
      <c r="D241" s="55" t="s">
        <v>1213</v>
      </c>
      <c r="E241" s="55" t="s">
        <v>1213</v>
      </c>
      <c r="F241" s="55" t="s">
        <v>1194</v>
      </c>
      <c r="G241" s="55" t="s">
        <v>1195</v>
      </c>
      <c r="H241" s="55" t="s">
        <v>1196</v>
      </c>
      <c r="I241" s="55" t="s">
        <v>883</v>
      </c>
      <c r="J241" s="55" t="s">
        <v>1214</v>
      </c>
      <c r="K241" s="55" t="s">
        <v>1198</v>
      </c>
      <c r="L241" s="55"/>
      <c r="M241" s="55"/>
      <c r="N241" s="55" t="s">
        <v>1199</v>
      </c>
      <c r="O241" s="55" t="s">
        <v>1200</v>
      </c>
      <c r="P241" s="55"/>
      <c r="Q241" s="55"/>
      <c r="R241" s="55" t="n">
        <v>70</v>
      </c>
      <c r="S241" s="55" t="n">
        <v>108</v>
      </c>
      <c r="T241" s="55"/>
      <c r="U241" s="55" t="s">
        <v>1212</v>
      </c>
      <c r="V241" s="55" t="s">
        <v>1201</v>
      </c>
      <c r="W241" s="55" t="s">
        <v>1202</v>
      </c>
      <c r="X241" s="4"/>
      <c r="Y241" s="4"/>
      <c r="Z241" s="4"/>
    </row>
    <row r="242" customFormat="false" ht="15.75" hidden="false" customHeight="true" outlineLevel="0" collapsed="false">
      <c r="A242" s="55" t="n">
        <v>1772</v>
      </c>
      <c r="B242" s="55"/>
      <c r="C242" s="55" t="s">
        <v>1209</v>
      </c>
      <c r="D242" s="55" t="s">
        <v>1210</v>
      </c>
      <c r="E242" s="55" t="s">
        <v>1210</v>
      </c>
      <c r="F242" s="55" t="s">
        <v>1194</v>
      </c>
      <c r="G242" s="55" t="s">
        <v>1195</v>
      </c>
      <c r="H242" s="55" t="s">
        <v>1196</v>
      </c>
      <c r="I242" s="55" t="s">
        <v>883</v>
      </c>
      <c r="J242" s="55" t="s">
        <v>1211</v>
      </c>
      <c r="K242" s="55" t="s">
        <v>1198</v>
      </c>
      <c r="L242" s="55"/>
      <c r="M242" s="55"/>
      <c r="N242" s="55" t="s">
        <v>1199</v>
      </c>
      <c r="O242" s="55" t="s">
        <v>1200</v>
      </c>
      <c r="P242" s="55"/>
      <c r="Q242" s="55"/>
      <c r="R242" s="55" t="n">
        <v>70</v>
      </c>
      <c r="S242" s="55" t="n">
        <v>154</v>
      </c>
      <c r="T242" s="55"/>
      <c r="U242" s="55" t="s">
        <v>1209</v>
      </c>
      <c r="V242" s="55" t="s">
        <v>1201</v>
      </c>
      <c r="W242" s="55" t="s">
        <v>1202</v>
      </c>
      <c r="X242" s="4"/>
      <c r="Y242" s="4"/>
      <c r="Z242" s="4"/>
    </row>
    <row r="243" customFormat="false" ht="15.75" hidden="false" customHeight="true" outlineLevel="0" collapsed="false">
      <c r="A243" s="55" t="n">
        <v>1777</v>
      </c>
      <c r="B243" s="55"/>
      <c r="C243" s="55" t="s">
        <v>1206</v>
      </c>
      <c r="D243" s="55" t="s">
        <v>1207</v>
      </c>
      <c r="E243" s="55" t="s">
        <v>1207</v>
      </c>
      <c r="F243" s="55" t="s">
        <v>1194</v>
      </c>
      <c r="G243" s="55" t="s">
        <v>1195</v>
      </c>
      <c r="H243" s="55" t="s">
        <v>1196</v>
      </c>
      <c r="I243" s="55" t="s">
        <v>883</v>
      </c>
      <c r="J243" s="55" t="s">
        <v>1208</v>
      </c>
      <c r="K243" s="55" t="s">
        <v>1198</v>
      </c>
      <c r="L243" s="55"/>
      <c r="M243" s="55"/>
      <c r="N243" s="55" t="s">
        <v>1199</v>
      </c>
      <c r="O243" s="55" t="s">
        <v>1200</v>
      </c>
      <c r="P243" s="55"/>
      <c r="Q243" s="55"/>
      <c r="R243" s="55" t="n">
        <v>8</v>
      </c>
      <c r="S243" s="55" t="n">
        <v>248</v>
      </c>
      <c r="T243" s="55"/>
      <c r="U243" s="55" t="s">
        <v>1206</v>
      </c>
      <c r="V243" s="55" t="s">
        <v>1201</v>
      </c>
      <c r="W243" s="55" t="s">
        <v>1202</v>
      </c>
      <c r="X243" s="4"/>
      <c r="Y243" s="4"/>
      <c r="Z243" s="4"/>
    </row>
    <row r="244" customFormat="false" ht="15.75" hidden="false" customHeight="true" outlineLevel="0" collapsed="false">
      <c r="A244" s="55" t="n">
        <v>1778</v>
      </c>
      <c r="B244" s="55" t="s">
        <v>887</v>
      </c>
      <c r="C244" s="55" t="s">
        <v>888</v>
      </c>
      <c r="D244" s="55" t="s">
        <v>1559</v>
      </c>
      <c r="E244" s="55" t="s">
        <v>1559</v>
      </c>
      <c r="F244" s="55" t="s">
        <v>1194</v>
      </c>
      <c r="G244" s="55" t="s">
        <v>1195</v>
      </c>
      <c r="H244" s="55" t="s">
        <v>1196</v>
      </c>
      <c r="I244" s="55" t="s">
        <v>886</v>
      </c>
      <c r="J244" s="55" t="s">
        <v>1560</v>
      </c>
      <c r="K244" s="55" t="s">
        <v>889</v>
      </c>
      <c r="L244" s="55"/>
      <c r="M244" s="55"/>
      <c r="N244" s="55" t="s">
        <v>732</v>
      </c>
      <c r="O244" s="57"/>
      <c r="P244" s="55" t="s">
        <v>1539</v>
      </c>
      <c r="Q244" s="55"/>
      <c r="R244" s="55" t="n">
        <v>134</v>
      </c>
      <c r="S244" s="55" t="n">
        <v>2350</v>
      </c>
      <c r="T244" s="55"/>
      <c r="U244" s="55" t="s">
        <v>1561</v>
      </c>
      <c r="V244" s="55" t="s">
        <v>1562</v>
      </c>
      <c r="W244" s="55" t="s">
        <v>1500</v>
      </c>
      <c r="X244" s="4"/>
      <c r="Y244" s="4"/>
      <c r="Z244" s="4"/>
    </row>
    <row r="245" customFormat="false" ht="15.75" hidden="false" customHeight="true" outlineLevel="0" collapsed="false">
      <c r="A245" s="55" t="n">
        <v>1779</v>
      </c>
      <c r="B245" s="55" t="s">
        <v>894</v>
      </c>
      <c r="C245" s="55" t="s">
        <v>895</v>
      </c>
      <c r="D245" s="55" t="s">
        <v>1577</v>
      </c>
      <c r="E245" s="55" t="s">
        <v>1577</v>
      </c>
      <c r="F245" s="55" t="s">
        <v>1194</v>
      </c>
      <c r="G245" s="55" t="s">
        <v>1195</v>
      </c>
      <c r="H245" s="55" t="s">
        <v>1196</v>
      </c>
      <c r="I245" s="55" t="s">
        <v>886</v>
      </c>
      <c r="J245" s="55" t="s">
        <v>1578</v>
      </c>
      <c r="K245" s="55" t="s">
        <v>889</v>
      </c>
      <c r="L245" s="55"/>
      <c r="M245" s="55"/>
      <c r="N245" s="55" t="s">
        <v>732</v>
      </c>
      <c r="O245" s="57"/>
      <c r="P245" s="55" t="s">
        <v>1539</v>
      </c>
      <c r="Q245" s="55"/>
      <c r="R245" s="55" t="n">
        <v>118</v>
      </c>
      <c r="S245" s="55" t="n">
        <v>1942</v>
      </c>
      <c r="T245" s="55"/>
      <c r="U245" s="55" t="s">
        <v>1579</v>
      </c>
      <c r="V245" s="55" t="s">
        <v>1580</v>
      </c>
      <c r="W245" s="55" t="s">
        <v>1500</v>
      </c>
      <c r="X245" s="4"/>
      <c r="Y245" s="4"/>
      <c r="Z245" s="4"/>
    </row>
    <row r="246" customFormat="false" ht="15.75" hidden="false" customHeight="true" outlineLevel="0" collapsed="false">
      <c r="A246" s="55" t="n">
        <v>1780</v>
      </c>
      <c r="B246" s="55" t="s">
        <v>900</v>
      </c>
      <c r="C246" s="55" t="s">
        <v>901</v>
      </c>
      <c r="D246" s="55" t="s">
        <v>2511</v>
      </c>
      <c r="E246" s="55"/>
      <c r="F246" s="55" t="s">
        <v>1194</v>
      </c>
      <c r="G246" s="55" t="s">
        <v>1194</v>
      </c>
      <c r="H246" s="55" t="s">
        <v>1196</v>
      </c>
      <c r="I246" s="55" t="s">
        <v>886</v>
      </c>
      <c r="J246" s="55" t="s">
        <v>2512</v>
      </c>
      <c r="K246" s="55" t="s">
        <v>889</v>
      </c>
      <c r="L246" s="55"/>
      <c r="M246" s="55"/>
      <c r="N246" s="55" t="s">
        <v>732</v>
      </c>
      <c r="O246" s="57"/>
      <c r="P246" s="55" t="s">
        <v>1539</v>
      </c>
      <c r="Q246" s="55"/>
      <c r="R246" s="55" t="n">
        <v>31</v>
      </c>
      <c r="S246" s="55" t="n">
        <v>158</v>
      </c>
      <c r="T246" s="55"/>
      <c r="U246" s="55"/>
      <c r="V246" s="55"/>
      <c r="W246" s="58" t="s">
        <v>2454</v>
      </c>
      <c r="X246" s="4"/>
      <c r="Y246" s="4"/>
      <c r="Z246" s="4"/>
    </row>
    <row r="247" customFormat="false" ht="15.75" hidden="false" customHeight="true" outlineLevel="0" collapsed="false">
      <c r="A247" s="55" t="n">
        <v>1781</v>
      </c>
      <c r="B247" s="55" t="s">
        <v>914</v>
      </c>
      <c r="C247" s="55" t="s">
        <v>915</v>
      </c>
      <c r="D247" s="55" t="s">
        <v>1550</v>
      </c>
      <c r="E247" s="55" t="s">
        <v>1550</v>
      </c>
      <c r="F247" s="55" t="s">
        <v>1194</v>
      </c>
      <c r="G247" s="55" t="s">
        <v>1195</v>
      </c>
      <c r="H247" s="55" t="s">
        <v>1196</v>
      </c>
      <c r="I247" s="55" t="s">
        <v>886</v>
      </c>
      <c r="J247" s="55" t="s">
        <v>1551</v>
      </c>
      <c r="K247" s="55" t="s">
        <v>889</v>
      </c>
      <c r="L247" s="55"/>
      <c r="M247" s="55"/>
      <c r="N247" s="55" t="s">
        <v>732</v>
      </c>
      <c r="O247" s="57"/>
      <c r="P247" s="55" t="s">
        <v>1539</v>
      </c>
      <c r="Q247" s="55"/>
      <c r="R247" s="55" t="n">
        <v>264</v>
      </c>
      <c r="S247" s="55" t="n">
        <v>1718</v>
      </c>
      <c r="T247" s="55" t="s">
        <v>1552</v>
      </c>
      <c r="U247" s="55" t="s">
        <v>1553</v>
      </c>
      <c r="V247" s="55" t="s">
        <v>1554</v>
      </c>
      <c r="W247" s="55" t="s">
        <v>1500</v>
      </c>
      <c r="X247" s="4"/>
      <c r="Y247" s="4"/>
      <c r="Z247" s="4"/>
    </row>
    <row r="248" customFormat="false" ht="15.75" hidden="false" customHeight="true" outlineLevel="0" collapsed="false">
      <c r="A248" s="55" t="n">
        <v>1782</v>
      </c>
      <c r="B248" s="55" t="s">
        <v>922</v>
      </c>
      <c r="C248" s="55" t="s">
        <v>923</v>
      </c>
      <c r="D248" s="55" t="s">
        <v>1542</v>
      </c>
      <c r="E248" s="55" t="s">
        <v>1542</v>
      </c>
      <c r="F248" s="55" t="s">
        <v>1194</v>
      </c>
      <c r="G248" s="55" t="s">
        <v>1195</v>
      </c>
      <c r="H248" s="55" t="s">
        <v>1196</v>
      </c>
      <c r="I248" s="55" t="s">
        <v>886</v>
      </c>
      <c r="J248" s="55" t="s">
        <v>1543</v>
      </c>
      <c r="K248" s="55" t="s">
        <v>889</v>
      </c>
      <c r="L248" s="55"/>
      <c r="M248" s="55"/>
      <c r="N248" s="55" t="s">
        <v>732</v>
      </c>
      <c r="O248" s="57"/>
      <c r="P248" s="55" t="s">
        <v>1539</v>
      </c>
      <c r="Q248" s="55"/>
      <c r="R248" s="55" t="n">
        <v>184</v>
      </c>
      <c r="S248" s="55" t="n">
        <v>383</v>
      </c>
      <c r="T248" s="55"/>
      <c r="U248" s="55" t="s">
        <v>1544</v>
      </c>
      <c r="V248" s="55" t="s">
        <v>1545</v>
      </c>
      <c r="W248" s="55" t="s">
        <v>1500</v>
      </c>
      <c r="X248" s="4"/>
      <c r="Y248" s="4"/>
      <c r="Z248" s="4"/>
    </row>
    <row r="249" customFormat="false" ht="15.75" hidden="false" customHeight="true" outlineLevel="0" collapsed="false">
      <c r="A249" s="55" t="n">
        <v>1783</v>
      </c>
      <c r="B249" s="55" t="s">
        <v>906</v>
      </c>
      <c r="C249" s="55" t="s">
        <v>907</v>
      </c>
      <c r="D249" s="55" t="s">
        <v>1537</v>
      </c>
      <c r="E249" s="55" t="s">
        <v>1537</v>
      </c>
      <c r="F249" s="55" t="s">
        <v>1194</v>
      </c>
      <c r="G249" s="55" t="s">
        <v>1195</v>
      </c>
      <c r="H249" s="55" t="s">
        <v>1196</v>
      </c>
      <c r="I249" s="55" t="s">
        <v>886</v>
      </c>
      <c r="J249" s="55" t="s">
        <v>1538</v>
      </c>
      <c r="K249" s="55" t="s">
        <v>889</v>
      </c>
      <c r="L249" s="55"/>
      <c r="M249" s="55"/>
      <c r="N249" s="55" t="s">
        <v>732</v>
      </c>
      <c r="O249" s="57"/>
      <c r="P249" s="55" t="s">
        <v>1539</v>
      </c>
      <c r="Q249" s="55"/>
      <c r="R249" s="55" t="n">
        <v>98</v>
      </c>
      <c r="S249" s="55" t="n">
        <v>231</v>
      </c>
      <c r="T249" s="55"/>
      <c r="U249" s="55" t="s">
        <v>1540</v>
      </c>
      <c r="V249" s="55" t="s">
        <v>1541</v>
      </c>
      <c r="W249" s="55" t="s">
        <v>1500</v>
      </c>
      <c r="X249" s="4"/>
      <c r="Y249" s="4"/>
      <c r="Z249" s="4"/>
    </row>
    <row r="250" customFormat="false" ht="15.75" hidden="false" customHeight="true" outlineLevel="0" collapsed="false">
      <c r="A250" s="55" t="n">
        <v>1784</v>
      </c>
      <c r="B250" s="55" t="s">
        <v>892</v>
      </c>
      <c r="C250" s="55" t="s">
        <v>893</v>
      </c>
      <c r="D250" s="55" t="s">
        <v>1996</v>
      </c>
      <c r="E250" s="55" t="s">
        <v>1996</v>
      </c>
      <c r="F250" s="55" t="s">
        <v>1194</v>
      </c>
      <c r="G250" s="55" t="s">
        <v>1195</v>
      </c>
      <c r="H250" s="55" t="s">
        <v>1196</v>
      </c>
      <c r="I250" s="55" t="s">
        <v>886</v>
      </c>
      <c r="J250" s="55" t="s">
        <v>1997</v>
      </c>
      <c r="K250" s="55" t="s">
        <v>889</v>
      </c>
      <c r="L250" s="55"/>
      <c r="M250" s="55"/>
      <c r="N250" s="55" t="s">
        <v>732</v>
      </c>
      <c r="O250" s="57"/>
      <c r="P250" s="55" t="s">
        <v>1539</v>
      </c>
      <c r="Q250" s="55"/>
      <c r="R250" s="55" t="n">
        <v>0</v>
      </c>
      <c r="S250" s="55" t="n">
        <v>83</v>
      </c>
      <c r="T250" s="55"/>
      <c r="U250" s="55" t="s">
        <v>893</v>
      </c>
      <c r="V250" s="55" t="s">
        <v>1998</v>
      </c>
      <c r="W250" s="55" t="s">
        <v>1992</v>
      </c>
      <c r="X250" s="4"/>
      <c r="Y250" s="4"/>
      <c r="Z250" s="4"/>
    </row>
    <row r="251" customFormat="false" ht="15.75" hidden="false" customHeight="true" outlineLevel="0" collapsed="false">
      <c r="A251" s="55" t="n">
        <v>1785</v>
      </c>
      <c r="B251" s="55" t="s">
        <v>896</v>
      </c>
      <c r="C251" s="55" t="s">
        <v>897</v>
      </c>
      <c r="D251" s="55" t="s">
        <v>1993</v>
      </c>
      <c r="E251" s="55" t="s">
        <v>1993</v>
      </c>
      <c r="F251" s="55" t="s">
        <v>1194</v>
      </c>
      <c r="G251" s="55" t="s">
        <v>1195</v>
      </c>
      <c r="H251" s="55" t="s">
        <v>1196</v>
      </c>
      <c r="I251" s="55" t="s">
        <v>886</v>
      </c>
      <c r="J251" s="55" t="s">
        <v>1994</v>
      </c>
      <c r="K251" s="55" t="s">
        <v>889</v>
      </c>
      <c r="L251" s="55"/>
      <c r="M251" s="55"/>
      <c r="N251" s="55" t="s">
        <v>732</v>
      </c>
      <c r="O251" s="57"/>
      <c r="P251" s="55" t="s">
        <v>1539</v>
      </c>
      <c r="Q251" s="55"/>
      <c r="R251" s="55" t="n">
        <v>0</v>
      </c>
      <c r="S251" s="55" t="n">
        <v>75</v>
      </c>
      <c r="T251" s="55"/>
      <c r="U251" s="55" t="s">
        <v>897</v>
      </c>
      <c r="V251" s="55" t="s">
        <v>1995</v>
      </c>
      <c r="W251" s="55" t="s">
        <v>1992</v>
      </c>
      <c r="X251" s="4"/>
      <c r="Y251" s="4"/>
      <c r="Z251" s="4"/>
    </row>
    <row r="252" customFormat="false" ht="15.75" hidden="false" customHeight="true" outlineLevel="0" collapsed="false">
      <c r="A252" s="55" t="n">
        <v>1786</v>
      </c>
      <c r="B252" s="55" t="s">
        <v>902</v>
      </c>
      <c r="C252" s="55" t="s">
        <v>903</v>
      </c>
      <c r="D252" s="55" t="s">
        <v>2135</v>
      </c>
      <c r="E252" s="55"/>
      <c r="F252" s="55" t="s">
        <v>1194</v>
      </c>
      <c r="G252" s="55" t="s">
        <v>1194</v>
      </c>
      <c r="H252" s="55" t="s">
        <v>1196</v>
      </c>
      <c r="I252" s="55" t="s">
        <v>886</v>
      </c>
      <c r="J252" s="55" t="s">
        <v>2136</v>
      </c>
      <c r="K252" s="55" t="s">
        <v>889</v>
      </c>
      <c r="L252" s="55"/>
      <c r="M252" s="55"/>
      <c r="N252" s="55" t="s">
        <v>732</v>
      </c>
      <c r="O252" s="57"/>
      <c r="P252" s="55" t="s">
        <v>1539</v>
      </c>
      <c r="Q252" s="55"/>
      <c r="R252" s="55" t="n">
        <v>0</v>
      </c>
      <c r="S252" s="55" t="n">
        <v>68</v>
      </c>
      <c r="T252" s="55"/>
      <c r="U252" s="55"/>
      <c r="V252" s="55"/>
      <c r="W252" s="58" t="s">
        <v>2132</v>
      </c>
      <c r="X252" s="4"/>
      <c r="Y252" s="4"/>
      <c r="Z252" s="4"/>
    </row>
    <row r="253" customFormat="false" ht="15.75" hidden="false" customHeight="true" outlineLevel="0" collapsed="false">
      <c r="A253" s="55" t="n">
        <v>1787</v>
      </c>
      <c r="B253" s="55" t="s">
        <v>916</v>
      </c>
      <c r="C253" s="55" t="s">
        <v>917</v>
      </c>
      <c r="D253" s="55" t="s">
        <v>2019</v>
      </c>
      <c r="E253" s="55" t="s">
        <v>2019</v>
      </c>
      <c r="F253" s="55" t="s">
        <v>1194</v>
      </c>
      <c r="G253" s="55" t="s">
        <v>1195</v>
      </c>
      <c r="H253" s="55" t="s">
        <v>1196</v>
      </c>
      <c r="I253" s="55" t="s">
        <v>886</v>
      </c>
      <c r="J253" s="55" t="s">
        <v>2020</v>
      </c>
      <c r="K253" s="55" t="s">
        <v>889</v>
      </c>
      <c r="L253" s="55"/>
      <c r="M253" s="55"/>
      <c r="N253" s="55" t="s">
        <v>732</v>
      </c>
      <c r="O253" s="57"/>
      <c r="P253" s="55" t="s">
        <v>1539</v>
      </c>
      <c r="Q253" s="55"/>
      <c r="R253" s="55" t="n">
        <v>0</v>
      </c>
      <c r="S253" s="55" t="n">
        <v>64</v>
      </c>
      <c r="T253" s="55"/>
      <c r="U253" s="55" t="s">
        <v>917</v>
      </c>
      <c r="V253" s="55" t="s">
        <v>2021</v>
      </c>
      <c r="W253" s="55" t="s">
        <v>1992</v>
      </c>
      <c r="X253" s="4"/>
      <c r="Y253" s="4"/>
      <c r="Z253" s="4"/>
    </row>
    <row r="254" customFormat="false" ht="15.75" hidden="false" customHeight="true" outlineLevel="0" collapsed="false">
      <c r="A254" s="55" t="n">
        <v>1788</v>
      </c>
      <c r="B254" s="55" t="s">
        <v>908</v>
      </c>
      <c r="C254" s="55" t="s">
        <v>909</v>
      </c>
      <c r="D254" s="55" t="s">
        <v>2014</v>
      </c>
      <c r="E254" s="55" t="s">
        <v>2014</v>
      </c>
      <c r="F254" s="55" t="s">
        <v>1194</v>
      </c>
      <c r="G254" s="55" t="s">
        <v>1195</v>
      </c>
      <c r="H254" s="55" t="s">
        <v>1196</v>
      </c>
      <c r="I254" s="55" t="s">
        <v>886</v>
      </c>
      <c r="J254" s="55" t="s">
        <v>2015</v>
      </c>
      <c r="K254" s="55" t="s">
        <v>889</v>
      </c>
      <c r="L254" s="55"/>
      <c r="M254" s="55"/>
      <c r="N254" s="55" t="s">
        <v>732</v>
      </c>
      <c r="O254" s="57"/>
      <c r="P254" s="55" t="s">
        <v>1539</v>
      </c>
      <c r="Q254" s="55"/>
      <c r="R254" s="55" t="n">
        <v>0</v>
      </c>
      <c r="S254" s="55" t="n">
        <v>104</v>
      </c>
      <c r="T254" s="55"/>
      <c r="U254" s="55" t="s">
        <v>909</v>
      </c>
      <c r="V254" s="55" t="s">
        <v>2016</v>
      </c>
      <c r="W254" s="55" t="s">
        <v>1992</v>
      </c>
      <c r="X254" s="4"/>
      <c r="Y254" s="4"/>
      <c r="Z254" s="4"/>
    </row>
    <row r="255" customFormat="false" ht="15.75" hidden="false" customHeight="true" outlineLevel="0" collapsed="false">
      <c r="A255" s="55" t="n">
        <v>1790</v>
      </c>
      <c r="B255" s="55" t="s">
        <v>898</v>
      </c>
      <c r="C255" s="55" t="s">
        <v>899</v>
      </c>
      <c r="D255" s="55" t="s">
        <v>1990</v>
      </c>
      <c r="E255" s="55" t="s">
        <v>1990</v>
      </c>
      <c r="F255" s="55" t="s">
        <v>1194</v>
      </c>
      <c r="G255" s="55" t="s">
        <v>1195</v>
      </c>
      <c r="H255" s="55" t="s">
        <v>1196</v>
      </c>
      <c r="I255" s="55" t="s">
        <v>886</v>
      </c>
      <c r="J255" s="55" t="s">
        <v>1991</v>
      </c>
      <c r="K255" s="55" t="s">
        <v>889</v>
      </c>
      <c r="L255" s="55"/>
      <c r="M255" s="55"/>
      <c r="N255" s="55" t="s">
        <v>732</v>
      </c>
      <c r="O255" s="57"/>
      <c r="P255" s="55" t="s">
        <v>1539</v>
      </c>
      <c r="Q255" s="55"/>
      <c r="R255" s="55" t="n">
        <v>0</v>
      </c>
      <c r="S255" s="55" t="n">
        <v>119</v>
      </c>
      <c r="T255" s="55"/>
      <c r="U255" s="55" t="s">
        <v>899</v>
      </c>
      <c r="V255" s="55" t="s">
        <v>1201</v>
      </c>
      <c r="W255" s="55" t="s">
        <v>1992</v>
      </c>
      <c r="X255" s="4"/>
      <c r="Y255" s="4"/>
      <c r="Z255" s="4"/>
    </row>
    <row r="256" customFormat="false" ht="15.75" hidden="false" customHeight="true" outlineLevel="0" collapsed="false">
      <c r="A256" s="55" t="n">
        <v>1791</v>
      </c>
      <c r="B256" s="55" t="s">
        <v>904</v>
      </c>
      <c r="C256" s="55" t="s">
        <v>905</v>
      </c>
      <c r="D256" s="55" t="s">
        <v>2130</v>
      </c>
      <c r="E256" s="55"/>
      <c r="F256" s="55" t="s">
        <v>1194</v>
      </c>
      <c r="G256" s="55" t="s">
        <v>1194</v>
      </c>
      <c r="H256" s="55" t="s">
        <v>1196</v>
      </c>
      <c r="I256" s="55" t="s">
        <v>886</v>
      </c>
      <c r="J256" s="55" t="s">
        <v>2131</v>
      </c>
      <c r="K256" s="55" t="s">
        <v>889</v>
      </c>
      <c r="L256" s="55"/>
      <c r="M256" s="55"/>
      <c r="N256" s="55" t="s">
        <v>732</v>
      </c>
      <c r="O256" s="57"/>
      <c r="P256" s="55" t="s">
        <v>1539</v>
      </c>
      <c r="Q256" s="55"/>
      <c r="R256" s="55" t="n">
        <v>0</v>
      </c>
      <c r="S256" s="55" t="n">
        <v>76</v>
      </c>
      <c r="T256" s="55"/>
      <c r="U256" s="55"/>
      <c r="V256" s="55"/>
      <c r="W256" s="58" t="s">
        <v>2132</v>
      </c>
      <c r="X256" s="4"/>
      <c r="Y256" s="4"/>
      <c r="Z256" s="4"/>
    </row>
    <row r="257" customFormat="false" ht="15.75" hidden="false" customHeight="true" outlineLevel="0" collapsed="false">
      <c r="A257" s="55" t="n">
        <v>1792</v>
      </c>
      <c r="B257" s="55" t="s">
        <v>910</v>
      </c>
      <c r="C257" s="55" t="s">
        <v>911</v>
      </c>
      <c r="D257" s="55" t="s">
        <v>2017</v>
      </c>
      <c r="E257" s="55" t="s">
        <v>2017</v>
      </c>
      <c r="F257" s="55" t="s">
        <v>1194</v>
      </c>
      <c r="G257" s="55" t="s">
        <v>1195</v>
      </c>
      <c r="H257" s="55" t="s">
        <v>1196</v>
      </c>
      <c r="I257" s="55" t="s">
        <v>886</v>
      </c>
      <c r="J257" s="55" t="s">
        <v>2018</v>
      </c>
      <c r="K257" s="55" t="s">
        <v>889</v>
      </c>
      <c r="L257" s="55"/>
      <c r="M257" s="55"/>
      <c r="N257" s="55" t="s">
        <v>732</v>
      </c>
      <c r="O257" s="57"/>
      <c r="P257" s="55" t="s">
        <v>1539</v>
      </c>
      <c r="Q257" s="55"/>
      <c r="R257" s="55" t="n">
        <v>0</v>
      </c>
      <c r="S257" s="55" t="n">
        <v>357</v>
      </c>
      <c r="T257" s="55"/>
      <c r="U257" s="55" t="s">
        <v>911</v>
      </c>
      <c r="V257" s="55" t="s">
        <v>1201</v>
      </c>
      <c r="W257" s="55" t="s">
        <v>1992</v>
      </c>
      <c r="X257" s="4"/>
      <c r="Y257" s="4"/>
      <c r="Z257" s="4"/>
    </row>
    <row r="258" customFormat="false" ht="15.75" hidden="false" customHeight="true" outlineLevel="0" collapsed="false">
      <c r="A258" s="55" t="n">
        <v>1793</v>
      </c>
      <c r="B258" s="55" t="s">
        <v>912</v>
      </c>
      <c r="C258" s="55" t="s">
        <v>913</v>
      </c>
      <c r="D258" s="55" t="s">
        <v>2001</v>
      </c>
      <c r="E258" s="55" t="s">
        <v>2001</v>
      </c>
      <c r="F258" s="55" t="s">
        <v>1194</v>
      </c>
      <c r="G258" s="55" t="s">
        <v>1195</v>
      </c>
      <c r="H258" s="55" t="s">
        <v>1196</v>
      </c>
      <c r="I258" s="55" t="s">
        <v>886</v>
      </c>
      <c r="J258" s="55" t="s">
        <v>2002</v>
      </c>
      <c r="K258" s="55" t="s">
        <v>889</v>
      </c>
      <c r="L258" s="55"/>
      <c r="M258" s="55"/>
      <c r="N258" s="55" t="s">
        <v>732</v>
      </c>
      <c r="O258" s="57"/>
      <c r="P258" s="55" t="s">
        <v>1539</v>
      </c>
      <c r="Q258" s="55"/>
      <c r="R258" s="55" t="n">
        <v>0</v>
      </c>
      <c r="S258" s="55" t="n">
        <v>308</v>
      </c>
      <c r="T258" s="55"/>
      <c r="U258" s="55" t="s">
        <v>2003</v>
      </c>
      <c r="V258" s="55" t="s">
        <v>2004</v>
      </c>
      <c r="W258" s="55" t="s">
        <v>1992</v>
      </c>
      <c r="X258" s="4"/>
      <c r="Y258" s="4"/>
      <c r="Z258" s="4"/>
    </row>
    <row r="259" customFormat="false" ht="15.75" hidden="false" customHeight="true" outlineLevel="0" collapsed="false">
      <c r="A259" s="55" t="n">
        <v>1794</v>
      </c>
      <c r="B259" s="55" t="s">
        <v>918</v>
      </c>
      <c r="C259" s="55" t="s">
        <v>919</v>
      </c>
      <c r="D259" s="55" t="s">
        <v>2005</v>
      </c>
      <c r="E259" s="55" t="s">
        <v>2005</v>
      </c>
      <c r="F259" s="55" t="s">
        <v>1194</v>
      </c>
      <c r="G259" s="55" t="s">
        <v>1195</v>
      </c>
      <c r="H259" s="55" t="s">
        <v>1196</v>
      </c>
      <c r="I259" s="55" t="s">
        <v>886</v>
      </c>
      <c r="J259" s="55" t="s">
        <v>2006</v>
      </c>
      <c r="K259" s="55" t="s">
        <v>889</v>
      </c>
      <c r="L259" s="55"/>
      <c r="M259" s="55"/>
      <c r="N259" s="55" t="s">
        <v>732</v>
      </c>
      <c r="O259" s="57"/>
      <c r="P259" s="55" t="s">
        <v>1539</v>
      </c>
      <c r="Q259" s="55"/>
      <c r="R259" s="55" t="n">
        <v>0</v>
      </c>
      <c r="S259" s="55" t="n">
        <v>248</v>
      </c>
      <c r="T259" s="55"/>
      <c r="U259" s="55" t="s">
        <v>2007</v>
      </c>
      <c r="V259" s="55" t="s">
        <v>2008</v>
      </c>
      <c r="W259" s="55" t="s">
        <v>1992</v>
      </c>
      <c r="X259" s="4"/>
      <c r="Y259" s="4"/>
      <c r="Z259" s="4"/>
    </row>
    <row r="260" customFormat="false" ht="15.75" hidden="false" customHeight="true" outlineLevel="0" collapsed="false">
      <c r="A260" s="55" t="n">
        <v>1795</v>
      </c>
      <c r="B260" s="55" t="s">
        <v>920</v>
      </c>
      <c r="C260" s="55" t="s">
        <v>921</v>
      </c>
      <c r="D260" s="55" t="s">
        <v>1999</v>
      </c>
      <c r="E260" s="55" t="s">
        <v>1999</v>
      </c>
      <c r="F260" s="55" t="s">
        <v>1194</v>
      </c>
      <c r="G260" s="55" t="s">
        <v>1195</v>
      </c>
      <c r="H260" s="55" t="s">
        <v>1196</v>
      </c>
      <c r="I260" s="55" t="s">
        <v>886</v>
      </c>
      <c r="J260" s="55" t="s">
        <v>2000</v>
      </c>
      <c r="K260" s="55" t="s">
        <v>889</v>
      </c>
      <c r="L260" s="55"/>
      <c r="M260" s="55"/>
      <c r="N260" s="55" t="s">
        <v>732</v>
      </c>
      <c r="O260" s="57"/>
      <c r="P260" s="55" t="s">
        <v>1539</v>
      </c>
      <c r="Q260" s="55"/>
      <c r="R260" s="55" t="n">
        <v>0</v>
      </c>
      <c r="S260" s="55" t="n">
        <v>325</v>
      </c>
      <c r="T260" s="55"/>
      <c r="U260" s="55" t="s">
        <v>921</v>
      </c>
      <c r="V260" s="55" t="s">
        <v>1201</v>
      </c>
      <c r="W260" s="55" t="s">
        <v>1992</v>
      </c>
      <c r="X260" s="4"/>
      <c r="Y260" s="4"/>
      <c r="Z260" s="4"/>
    </row>
    <row r="261" customFormat="false" ht="15.75" hidden="false" customHeight="true" outlineLevel="0" collapsed="false">
      <c r="A261" s="55" t="n">
        <v>1796</v>
      </c>
      <c r="B261" s="55" t="s">
        <v>924</v>
      </c>
      <c r="C261" s="55" t="s">
        <v>925</v>
      </c>
      <c r="D261" s="55" t="s">
        <v>2009</v>
      </c>
      <c r="E261" s="55" t="s">
        <v>2009</v>
      </c>
      <c r="F261" s="55" t="s">
        <v>1194</v>
      </c>
      <c r="G261" s="55" t="s">
        <v>1195</v>
      </c>
      <c r="H261" s="55" t="s">
        <v>1196</v>
      </c>
      <c r="I261" s="55" t="s">
        <v>886</v>
      </c>
      <c r="J261" s="55" t="s">
        <v>2010</v>
      </c>
      <c r="K261" s="55" t="s">
        <v>889</v>
      </c>
      <c r="L261" s="55"/>
      <c r="M261" s="55"/>
      <c r="N261" s="55" t="s">
        <v>732</v>
      </c>
      <c r="O261" s="57"/>
      <c r="P261" s="55" t="s">
        <v>1539</v>
      </c>
      <c r="Q261" s="55"/>
      <c r="R261" s="55" t="n">
        <v>0</v>
      </c>
      <c r="S261" s="55" t="n">
        <v>98</v>
      </c>
      <c r="T261" s="55"/>
      <c r="U261" s="55" t="s">
        <v>2007</v>
      </c>
      <c r="V261" s="55" t="s">
        <v>2011</v>
      </c>
      <c r="W261" s="55" t="s">
        <v>1992</v>
      </c>
      <c r="X261" s="4"/>
      <c r="Y261" s="4"/>
      <c r="Z261" s="4"/>
    </row>
    <row r="262" customFormat="false" ht="15.75" hidden="false" customHeight="true" outlineLevel="0" collapsed="false">
      <c r="A262" s="55" t="n">
        <v>1797</v>
      </c>
      <c r="B262" s="55" t="s">
        <v>926</v>
      </c>
      <c r="C262" s="55" t="s">
        <v>927</v>
      </c>
      <c r="D262" s="55" t="s">
        <v>1698</v>
      </c>
      <c r="E262" s="55" t="s">
        <v>1698</v>
      </c>
      <c r="F262" s="55" t="s">
        <v>1194</v>
      </c>
      <c r="G262" s="55" t="s">
        <v>1195</v>
      </c>
      <c r="H262" s="55" t="s">
        <v>1196</v>
      </c>
      <c r="I262" s="55" t="s">
        <v>886</v>
      </c>
      <c r="J262" s="55" t="s">
        <v>1699</v>
      </c>
      <c r="K262" s="55" t="s">
        <v>889</v>
      </c>
      <c r="L262" s="55"/>
      <c r="M262" s="55"/>
      <c r="N262" s="55" t="s">
        <v>732</v>
      </c>
      <c r="O262" s="57"/>
      <c r="P262" s="55" t="s">
        <v>1539</v>
      </c>
      <c r="Q262" s="55"/>
      <c r="R262" s="55" t="n">
        <v>19</v>
      </c>
      <c r="S262" s="55" t="n">
        <v>167</v>
      </c>
      <c r="T262" s="55"/>
      <c r="U262" s="55" t="s">
        <v>1700</v>
      </c>
      <c r="V262" s="55" t="s">
        <v>1701</v>
      </c>
      <c r="W262" s="55" t="s">
        <v>1500</v>
      </c>
      <c r="X262" s="4"/>
      <c r="Y262" s="4"/>
      <c r="Z262" s="4"/>
    </row>
    <row r="263" customFormat="false" ht="15.75" hidden="false" customHeight="true" outlineLevel="0" collapsed="false">
      <c r="A263" s="55" t="n">
        <v>1798</v>
      </c>
      <c r="B263" s="55" t="s">
        <v>765</v>
      </c>
      <c r="C263" s="55" t="s">
        <v>766</v>
      </c>
      <c r="D263" s="55" t="s">
        <v>2787</v>
      </c>
      <c r="E263" s="55" t="s">
        <v>2788</v>
      </c>
      <c r="F263" s="55" t="s">
        <v>1195</v>
      </c>
      <c r="G263" s="55" t="s">
        <v>1195</v>
      </c>
      <c r="H263" s="55" t="s">
        <v>1196</v>
      </c>
      <c r="I263" s="55" t="s">
        <v>738</v>
      </c>
      <c r="J263" s="55" t="s">
        <v>2789</v>
      </c>
      <c r="K263" s="55" t="s">
        <v>739</v>
      </c>
      <c r="L263" s="55"/>
      <c r="M263" s="55"/>
      <c r="N263" s="55" t="s">
        <v>732</v>
      </c>
      <c r="O263" s="57"/>
      <c r="P263" s="55" t="s">
        <v>1539</v>
      </c>
      <c r="Q263" s="55"/>
      <c r="R263" s="55" t="n">
        <v>9</v>
      </c>
      <c r="S263" s="55" t="n">
        <v>102</v>
      </c>
      <c r="T263" s="55"/>
      <c r="U263" s="55" t="s">
        <v>2790</v>
      </c>
      <c r="V263" s="55" t="s">
        <v>2791</v>
      </c>
      <c r="W263" s="55" t="s">
        <v>2786</v>
      </c>
      <c r="X263" s="4"/>
      <c r="Y263" s="4"/>
      <c r="Z263" s="4"/>
    </row>
    <row r="264" customFormat="false" ht="15.75" hidden="false" customHeight="true" outlineLevel="0" collapsed="false">
      <c r="A264" s="55" t="n">
        <v>1799</v>
      </c>
      <c r="B264" s="55" t="s">
        <v>763</v>
      </c>
      <c r="C264" s="55" t="s">
        <v>764</v>
      </c>
      <c r="D264" s="55" t="s">
        <v>2797</v>
      </c>
      <c r="E264" s="55" t="s">
        <v>2798</v>
      </c>
      <c r="F264" s="55" t="s">
        <v>1195</v>
      </c>
      <c r="G264" s="55" t="s">
        <v>1195</v>
      </c>
      <c r="H264" s="55" t="s">
        <v>1196</v>
      </c>
      <c r="I264" s="55" t="s">
        <v>738</v>
      </c>
      <c r="J264" s="55" t="s">
        <v>2799</v>
      </c>
      <c r="K264" s="55" t="s">
        <v>739</v>
      </c>
      <c r="L264" s="55"/>
      <c r="M264" s="55"/>
      <c r="N264" s="55" t="s">
        <v>732</v>
      </c>
      <c r="O264" s="57"/>
      <c r="P264" s="55" t="s">
        <v>1539</v>
      </c>
      <c r="Q264" s="55"/>
      <c r="R264" s="55" t="n">
        <v>26</v>
      </c>
      <c r="S264" s="55" t="n">
        <v>147</v>
      </c>
      <c r="T264" s="55"/>
      <c r="U264" s="55" t="s">
        <v>2800</v>
      </c>
      <c r="V264" s="55" t="s">
        <v>2801</v>
      </c>
      <c r="W264" s="55" t="s">
        <v>2786</v>
      </c>
      <c r="X264" s="4"/>
      <c r="Y264" s="4"/>
      <c r="Z264" s="4"/>
    </row>
    <row r="265" customFormat="false" ht="15.75" hidden="false" customHeight="true" outlineLevel="0" collapsed="false">
      <c r="A265" s="55" t="n">
        <v>1800</v>
      </c>
      <c r="B265" s="55" t="s">
        <v>769</v>
      </c>
      <c r="C265" s="55" t="s">
        <v>770</v>
      </c>
      <c r="D265" s="55" t="s">
        <v>2792</v>
      </c>
      <c r="E265" s="55" t="s">
        <v>2793</v>
      </c>
      <c r="F265" s="55" t="s">
        <v>1195</v>
      </c>
      <c r="G265" s="55" t="s">
        <v>1195</v>
      </c>
      <c r="H265" s="55" t="s">
        <v>1196</v>
      </c>
      <c r="I265" s="55" t="s">
        <v>738</v>
      </c>
      <c r="J265" s="55" t="s">
        <v>2794</v>
      </c>
      <c r="K265" s="55" t="s">
        <v>739</v>
      </c>
      <c r="L265" s="55"/>
      <c r="M265" s="55"/>
      <c r="N265" s="55" t="s">
        <v>732</v>
      </c>
      <c r="O265" s="57"/>
      <c r="P265" s="55" t="s">
        <v>1539</v>
      </c>
      <c r="Q265" s="55"/>
      <c r="R265" s="55" t="n">
        <v>10</v>
      </c>
      <c r="S265" s="55" t="n">
        <v>67</v>
      </c>
      <c r="T265" s="55"/>
      <c r="U265" s="55" t="s">
        <v>2795</v>
      </c>
      <c r="V265" s="55" t="s">
        <v>2796</v>
      </c>
      <c r="W265" s="55" t="s">
        <v>2786</v>
      </c>
      <c r="X265" s="4"/>
      <c r="Y265" s="4"/>
      <c r="Z265" s="4"/>
    </row>
    <row r="266" customFormat="false" ht="15.75" hidden="false" customHeight="true" outlineLevel="0" collapsed="false">
      <c r="A266" s="55" t="n">
        <v>1801</v>
      </c>
      <c r="B266" s="55" t="s">
        <v>767</v>
      </c>
      <c r="C266" s="55" t="s">
        <v>768</v>
      </c>
      <c r="D266" s="55" t="s">
        <v>2360</v>
      </c>
      <c r="E266" s="55" t="s">
        <v>2361</v>
      </c>
      <c r="F266" s="55" t="s">
        <v>1195</v>
      </c>
      <c r="G266" s="55" t="s">
        <v>1195</v>
      </c>
      <c r="H266" s="55" t="s">
        <v>1196</v>
      </c>
      <c r="I266" s="55" t="s">
        <v>738</v>
      </c>
      <c r="J266" s="55" t="s">
        <v>2362</v>
      </c>
      <c r="K266" s="55" t="s">
        <v>739</v>
      </c>
      <c r="L266" s="55"/>
      <c r="M266" s="55"/>
      <c r="N266" s="55" t="s">
        <v>732</v>
      </c>
      <c r="O266" s="57"/>
      <c r="P266" s="55" t="s">
        <v>1539</v>
      </c>
      <c r="Q266" s="55"/>
      <c r="R266" s="55" t="n">
        <v>0</v>
      </c>
      <c r="S266" s="55" t="n">
        <v>150</v>
      </c>
      <c r="T266" s="55"/>
      <c r="U266" s="55" t="s">
        <v>2363</v>
      </c>
      <c r="V266" s="55" t="s">
        <v>2364</v>
      </c>
      <c r="W266" s="55" t="s">
        <v>2140</v>
      </c>
      <c r="X266" s="4"/>
      <c r="Y266" s="4"/>
      <c r="Z266" s="4"/>
    </row>
    <row r="267" customFormat="false" ht="15.75" hidden="false" customHeight="true" outlineLevel="0" collapsed="false">
      <c r="A267" s="55" t="n">
        <v>1802</v>
      </c>
      <c r="B267" s="55"/>
      <c r="C267" s="55" t="s">
        <v>740</v>
      </c>
      <c r="D267" s="55" t="s">
        <v>2107</v>
      </c>
      <c r="E267" s="55" t="s">
        <v>2108</v>
      </c>
      <c r="F267" s="55" t="s">
        <v>1195</v>
      </c>
      <c r="G267" s="55" t="s">
        <v>1195</v>
      </c>
      <c r="H267" s="55" t="s">
        <v>1196</v>
      </c>
      <c r="I267" s="55" t="s">
        <v>738</v>
      </c>
      <c r="J267" s="55" t="s">
        <v>2109</v>
      </c>
      <c r="K267" s="55" t="s">
        <v>739</v>
      </c>
      <c r="L267" s="55"/>
      <c r="M267" s="55"/>
      <c r="N267" s="55" t="s">
        <v>732</v>
      </c>
      <c r="O267" s="57"/>
      <c r="P267" s="55" t="s">
        <v>1539</v>
      </c>
      <c r="Q267" s="55"/>
      <c r="R267" s="55" t="n">
        <v>0</v>
      </c>
      <c r="S267" s="55" t="n">
        <v>396</v>
      </c>
      <c r="T267" s="55"/>
      <c r="U267" s="55" t="s">
        <v>2110</v>
      </c>
      <c r="V267" s="55" t="s">
        <v>2111</v>
      </c>
      <c r="W267" s="55" t="s">
        <v>2039</v>
      </c>
      <c r="X267" s="4"/>
      <c r="Y267" s="4"/>
      <c r="Z267" s="4"/>
    </row>
    <row r="268" customFormat="false" ht="15.75" hidden="false" customHeight="true" outlineLevel="0" collapsed="false">
      <c r="A268" s="55" t="n">
        <v>1804</v>
      </c>
      <c r="B268" s="55" t="s">
        <v>771</v>
      </c>
      <c r="C268" s="55" t="s">
        <v>772</v>
      </c>
      <c r="D268" s="55" t="s">
        <v>2355</v>
      </c>
      <c r="E268" s="55" t="s">
        <v>2356</v>
      </c>
      <c r="F268" s="55" t="s">
        <v>1195</v>
      </c>
      <c r="G268" s="55" t="s">
        <v>1195</v>
      </c>
      <c r="H268" s="55" t="s">
        <v>1196</v>
      </c>
      <c r="I268" s="55" t="s">
        <v>738</v>
      </c>
      <c r="J268" s="55" t="s">
        <v>2357</v>
      </c>
      <c r="K268" s="55" t="s">
        <v>739</v>
      </c>
      <c r="L268" s="55"/>
      <c r="M268" s="55"/>
      <c r="N268" s="55" t="s">
        <v>732</v>
      </c>
      <c r="O268" s="57"/>
      <c r="P268" s="55" t="s">
        <v>1539</v>
      </c>
      <c r="Q268" s="55"/>
      <c r="R268" s="55" t="n">
        <v>0</v>
      </c>
      <c r="S268" s="55" t="n">
        <v>105</v>
      </c>
      <c r="T268" s="55"/>
      <c r="U268" s="55" t="s">
        <v>2358</v>
      </c>
      <c r="V268" s="55" t="s">
        <v>2359</v>
      </c>
      <c r="W268" s="55" t="s">
        <v>2140</v>
      </c>
      <c r="X268" s="4"/>
      <c r="Y268" s="4"/>
      <c r="Z268" s="4"/>
    </row>
    <row r="269" customFormat="false" ht="15.75" hidden="false" customHeight="true" outlineLevel="0" collapsed="false">
      <c r="A269" s="55" t="n">
        <v>1805</v>
      </c>
      <c r="B269" s="55" t="s">
        <v>773</v>
      </c>
      <c r="C269" s="55" t="s">
        <v>774</v>
      </c>
      <c r="D269" s="55" t="s">
        <v>2350</v>
      </c>
      <c r="E269" s="55" t="s">
        <v>2351</v>
      </c>
      <c r="F269" s="55" t="s">
        <v>1195</v>
      </c>
      <c r="G269" s="55" t="s">
        <v>1195</v>
      </c>
      <c r="H269" s="55" t="s">
        <v>1196</v>
      </c>
      <c r="I269" s="55" t="s">
        <v>738</v>
      </c>
      <c r="J269" s="55" t="s">
        <v>2352</v>
      </c>
      <c r="K269" s="55" t="s">
        <v>739</v>
      </c>
      <c r="L269" s="55"/>
      <c r="M269" s="55"/>
      <c r="N269" s="55" t="s">
        <v>732</v>
      </c>
      <c r="O269" s="57"/>
      <c r="P269" s="55" t="s">
        <v>1539</v>
      </c>
      <c r="Q269" s="55"/>
      <c r="R269" s="55" t="n">
        <v>0</v>
      </c>
      <c r="S269" s="55" t="n">
        <v>40</v>
      </c>
      <c r="T269" s="55"/>
      <c r="U269" s="55" t="s">
        <v>2353</v>
      </c>
      <c r="V269" s="55" t="s">
        <v>2354</v>
      </c>
      <c r="W269" s="55" t="s">
        <v>2140</v>
      </c>
      <c r="X269" s="4"/>
      <c r="Y269" s="4"/>
      <c r="Z269" s="4"/>
    </row>
    <row r="270" customFormat="false" ht="15.75" hidden="false" customHeight="true" outlineLevel="0" collapsed="false">
      <c r="A270" s="55" t="n">
        <v>1806</v>
      </c>
      <c r="B270" s="55" t="s">
        <v>775</v>
      </c>
      <c r="C270" s="55" t="s">
        <v>776</v>
      </c>
      <c r="D270" s="55" t="s">
        <v>2807</v>
      </c>
      <c r="E270" s="55" t="s">
        <v>2808</v>
      </c>
      <c r="F270" s="55" t="s">
        <v>1195</v>
      </c>
      <c r="G270" s="55" t="s">
        <v>1195</v>
      </c>
      <c r="H270" s="55" t="s">
        <v>1196</v>
      </c>
      <c r="I270" s="55" t="s">
        <v>738</v>
      </c>
      <c r="J270" s="55" t="s">
        <v>2809</v>
      </c>
      <c r="K270" s="55" t="s">
        <v>739</v>
      </c>
      <c r="L270" s="55"/>
      <c r="M270" s="55"/>
      <c r="N270" s="55" t="s">
        <v>732</v>
      </c>
      <c r="O270" s="57"/>
      <c r="P270" s="55" t="s">
        <v>1539</v>
      </c>
      <c r="Q270" s="55"/>
      <c r="R270" s="55" t="n">
        <v>9</v>
      </c>
      <c r="S270" s="55" t="n">
        <v>159</v>
      </c>
      <c r="T270" s="55"/>
      <c r="U270" s="55" t="s">
        <v>2810</v>
      </c>
      <c r="V270" s="55" t="s">
        <v>2811</v>
      </c>
      <c r="W270" s="55" t="s">
        <v>2786</v>
      </c>
      <c r="X270" s="4"/>
      <c r="Y270" s="4"/>
      <c r="Z270" s="4"/>
    </row>
    <row r="271" customFormat="false" ht="15.75" hidden="false" customHeight="true" outlineLevel="0" collapsed="false">
      <c r="A271" s="55" t="n">
        <v>1807</v>
      </c>
      <c r="B271" s="55" t="s">
        <v>777</v>
      </c>
      <c r="C271" s="55" t="s">
        <v>778</v>
      </c>
      <c r="D271" s="55" t="s">
        <v>2347</v>
      </c>
      <c r="E271" s="55" t="s">
        <v>2348</v>
      </c>
      <c r="F271" s="55" t="s">
        <v>1195</v>
      </c>
      <c r="G271" s="55" t="s">
        <v>1195</v>
      </c>
      <c r="H271" s="55" t="s">
        <v>1196</v>
      </c>
      <c r="I271" s="55" t="s">
        <v>738</v>
      </c>
      <c r="J271" s="55" t="s">
        <v>2349</v>
      </c>
      <c r="K271" s="55" t="s">
        <v>739</v>
      </c>
      <c r="L271" s="55"/>
      <c r="M271" s="55"/>
      <c r="N271" s="55" t="s">
        <v>732</v>
      </c>
      <c r="O271" s="57"/>
      <c r="P271" s="55" t="s">
        <v>1539</v>
      </c>
      <c r="Q271" s="55"/>
      <c r="R271" s="55" t="n">
        <v>0</v>
      </c>
      <c r="S271" s="55" t="n">
        <v>47</v>
      </c>
      <c r="T271" s="55"/>
      <c r="U271" s="55" t="s">
        <v>778</v>
      </c>
      <c r="V271" s="55" t="s">
        <v>1201</v>
      </c>
      <c r="W271" s="55" t="s">
        <v>2140</v>
      </c>
      <c r="X271" s="4"/>
      <c r="Y271" s="4"/>
      <c r="Z271" s="4"/>
    </row>
    <row r="272" customFormat="false" ht="15.75" hidden="false" customHeight="true" outlineLevel="0" collapsed="false">
      <c r="A272" s="55" t="n">
        <v>1808</v>
      </c>
      <c r="B272" s="55" t="s">
        <v>779</v>
      </c>
      <c r="C272" s="55" t="s">
        <v>780</v>
      </c>
      <c r="D272" s="55" t="s">
        <v>2344</v>
      </c>
      <c r="E272" s="55" t="s">
        <v>2345</v>
      </c>
      <c r="F272" s="55" t="s">
        <v>1195</v>
      </c>
      <c r="G272" s="55" t="s">
        <v>1195</v>
      </c>
      <c r="H272" s="55" t="s">
        <v>1196</v>
      </c>
      <c r="I272" s="55" t="s">
        <v>738</v>
      </c>
      <c r="J272" s="55" t="s">
        <v>2346</v>
      </c>
      <c r="K272" s="55" t="s">
        <v>739</v>
      </c>
      <c r="L272" s="55"/>
      <c r="M272" s="55"/>
      <c r="N272" s="55" t="s">
        <v>732</v>
      </c>
      <c r="O272" s="57"/>
      <c r="P272" s="55" t="s">
        <v>1539</v>
      </c>
      <c r="Q272" s="55"/>
      <c r="R272" s="55" t="n">
        <v>0</v>
      </c>
      <c r="S272" s="55" t="n">
        <v>26</v>
      </c>
      <c r="T272" s="55"/>
      <c r="U272" s="55" t="s">
        <v>780</v>
      </c>
      <c r="V272" s="55" t="s">
        <v>1201</v>
      </c>
      <c r="W272" s="55" t="s">
        <v>2140</v>
      </c>
      <c r="X272" s="4"/>
      <c r="Y272" s="4"/>
      <c r="Z272" s="4"/>
    </row>
    <row r="273" customFormat="false" ht="15.75" hidden="false" customHeight="true" outlineLevel="0" collapsed="false">
      <c r="A273" s="55" t="n">
        <v>1809</v>
      </c>
      <c r="B273" s="55" t="s">
        <v>781</v>
      </c>
      <c r="C273" s="55" t="s">
        <v>782</v>
      </c>
      <c r="D273" s="55" t="s">
        <v>2339</v>
      </c>
      <c r="E273" s="55" t="s">
        <v>2340</v>
      </c>
      <c r="F273" s="55" t="s">
        <v>1195</v>
      </c>
      <c r="G273" s="55" t="s">
        <v>1195</v>
      </c>
      <c r="H273" s="55" t="s">
        <v>1196</v>
      </c>
      <c r="I273" s="55" t="s">
        <v>738</v>
      </c>
      <c r="J273" s="55" t="s">
        <v>2341</v>
      </c>
      <c r="K273" s="55" t="s">
        <v>739</v>
      </c>
      <c r="L273" s="55"/>
      <c r="M273" s="55"/>
      <c r="N273" s="55" t="s">
        <v>732</v>
      </c>
      <c r="O273" s="57"/>
      <c r="P273" s="55" t="s">
        <v>1539</v>
      </c>
      <c r="Q273" s="55"/>
      <c r="R273" s="55" t="n">
        <v>0</v>
      </c>
      <c r="S273" s="55" t="n">
        <v>98</v>
      </c>
      <c r="T273" s="55"/>
      <c r="U273" s="55" t="s">
        <v>2342</v>
      </c>
      <c r="V273" s="55" t="s">
        <v>2343</v>
      </c>
      <c r="W273" s="55" t="s">
        <v>2140</v>
      </c>
      <c r="X273" s="4"/>
      <c r="Y273" s="4"/>
      <c r="Z273" s="4"/>
    </row>
    <row r="274" customFormat="false" ht="15.75" hidden="false" customHeight="true" outlineLevel="0" collapsed="false">
      <c r="A274" s="55" t="n">
        <v>1810</v>
      </c>
      <c r="B274" s="55" t="s">
        <v>783</v>
      </c>
      <c r="C274" s="55" t="s">
        <v>784</v>
      </c>
      <c r="D274" s="55" t="s">
        <v>2336</v>
      </c>
      <c r="E274" s="55" t="s">
        <v>2337</v>
      </c>
      <c r="F274" s="55" t="s">
        <v>1195</v>
      </c>
      <c r="G274" s="55" t="s">
        <v>1195</v>
      </c>
      <c r="H274" s="55" t="s">
        <v>1196</v>
      </c>
      <c r="I274" s="55" t="s">
        <v>738</v>
      </c>
      <c r="J274" s="55" t="s">
        <v>2338</v>
      </c>
      <c r="K274" s="55" t="s">
        <v>739</v>
      </c>
      <c r="L274" s="55"/>
      <c r="M274" s="55"/>
      <c r="N274" s="55" t="s">
        <v>732</v>
      </c>
      <c r="O274" s="57"/>
      <c r="P274" s="55" t="s">
        <v>1539</v>
      </c>
      <c r="Q274" s="55"/>
      <c r="R274" s="55" t="n">
        <v>0</v>
      </c>
      <c r="S274" s="55" t="n">
        <v>34</v>
      </c>
      <c r="T274" s="55"/>
      <c r="U274" s="55" t="s">
        <v>784</v>
      </c>
      <c r="V274" s="55" t="s">
        <v>1201</v>
      </c>
      <c r="W274" s="55" t="s">
        <v>2140</v>
      </c>
      <c r="X274" s="4"/>
      <c r="Y274" s="4"/>
      <c r="Z274" s="4"/>
    </row>
    <row r="275" customFormat="false" ht="15.75" hidden="false" customHeight="true" outlineLevel="0" collapsed="false">
      <c r="A275" s="55" t="n">
        <v>1811</v>
      </c>
      <c r="B275" s="55" t="s">
        <v>785</v>
      </c>
      <c r="C275" s="55" t="s">
        <v>786</v>
      </c>
      <c r="D275" s="55" t="s">
        <v>2333</v>
      </c>
      <c r="E275" s="55" t="s">
        <v>2334</v>
      </c>
      <c r="F275" s="55" t="s">
        <v>1195</v>
      </c>
      <c r="G275" s="55" t="s">
        <v>1195</v>
      </c>
      <c r="H275" s="55" t="s">
        <v>1196</v>
      </c>
      <c r="I275" s="55" t="s">
        <v>738</v>
      </c>
      <c r="J275" s="55" t="s">
        <v>2335</v>
      </c>
      <c r="K275" s="55" t="s">
        <v>739</v>
      </c>
      <c r="L275" s="55"/>
      <c r="M275" s="55"/>
      <c r="N275" s="55" t="s">
        <v>732</v>
      </c>
      <c r="O275" s="57"/>
      <c r="P275" s="55" t="s">
        <v>1539</v>
      </c>
      <c r="Q275" s="55"/>
      <c r="R275" s="55" t="n">
        <v>0</v>
      </c>
      <c r="S275" s="55" t="n">
        <v>30</v>
      </c>
      <c r="T275" s="55"/>
      <c r="U275" s="55" t="s">
        <v>786</v>
      </c>
      <c r="V275" s="55" t="s">
        <v>1201</v>
      </c>
      <c r="W275" s="55" t="s">
        <v>2140</v>
      </c>
      <c r="X275" s="4"/>
      <c r="Y275" s="4"/>
      <c r="Z275" s="4"/>
    </row>
    <row r="276" customFormat="false" ht="15.75" hidden="false" customHeight="true" outlineLevel="0" collapsed="false">
      <c r="A276" s="55" t="n">
        <v>1812</v>
      </c>
      <c r="B276" s="55" t="s">
        <v>787</v>
      </c>
      <c r="C276" s="55" t="s">
        <v>788</v>
      </c>
      <c r="D276" s="55" t="s">
        <v>2330</v>
      </c>
      <c r="E276" s="55" t="s">
        <v>2331</v>
      </c>
      <c r="F276" s="55" t="s">
        <v>1195</v>
      </c>
      <c r="G276" s="55" t="s">
        <v>1195</v>
      </c>
      <c r="H276" s="55" t="s">
        <v>1196</v>
      </c>
      <c r="I276" s="55" t="s">
        <v>738</v>
      </c>
      <c r="J276" s="55" t="s">
        <v>2332</v>
      </c>
      <c r="K276" s="55" t="s">
        <v>739</v>
      </c>
      <c r="L276" s="55"/>
      <c r="M276" s="55"/>
      <c r="N276" s="55" t="s">
        <v>732</v>
      </c>
      <c r="O276" s="57"/>
      <c r="P276" s="55" t="s">
        <v>1539</v>
      </c>
      <c r="Q276" s="55"/>
      <c r="R276" s="55" t="n">
        <v>0</v>
      </c>
      <c r="S276" s="55" t="n">
        <v>46</v>
      </c>
      <c r="T276" s="55"/>
      <c r="U276" s="55" t="s">
        <v>788</v>
      </c>
      <c r="V276" s="55" t="s">
        <v>1201</v>
      </c>
      <c r="W276" s="55" t="s">
        <v>2140</v>
      </c>
      <c r="X276" s="4"/>
      <c r="Y276" s="4"/>
      <c r="Z276" s="4"/>
    </row>
    <row r="277" customFormat="false" ht="15.75" hidden="false" customHeight="true" outlineLevel="0" collapsed="false">
      <c r="A277" s="55" t="n">
        <v>1813</v>
      </c>
      <c r="B277" s="55" t="s">
        <v>789</v>
      </c>
      <c r="C277" s="55" t="s">
        <v>790</v>
      </c>
      <c r="D277" s="55" t="s">
        <v>2327</v>
      </c>
      <c r="E277" s="55" t="s">
        <v>2328</v>
      </c>
      <c r="F277" s="55" t="s">
        <v>1195</v>
      </c>
      <c r="G277" s="55" t="s">
        <v>1195</v>
      </c>
      <c r="H277" s="55" t="s">
        <v>1196</v>
      </c>
      <c r="I277" s="55" t="s">
        <v>738</v>
      </c>
      <c r="J277" s="55" t="s">
        <v>2329</v>
      </c>
      <c r="K277" s="55" t="s">
        <v>739</v>
      </c>
      <c r="L277" s="55"/>
      <c r="M277" s="55"/>
      <c r="N277" s="55" t="s">
        <v>732</v>
      </c>
      <c r="O277" s="57"/>
      <c r="P277" s="55" t="s">
        <v>1539</v>
      </c>
      <c r="Q277" s="55"/>
      <c r="R277" s="55" t="n">
        <v>0</v>
      </c>
      <c r="S277" s="55" t="n">
        <v>20</v>
      </c>
      <c r="T277" s="55"/>
      <c r="U277" s="55" t="s">
        <v>790</v>
      </c>
      <c r="V277" s="55" t="s">
        <v>1201</v>
      </c>
      <c r="W277" s="55" t="s">
        <v>2140</v>
      </c>
      <c r="X277" s="4"/>
      <c r="Y277" s="4"/>
      <c r="Z277" s="4"/>
    </row>
    <row r="278" customFormat="false" ht="15.75" hidden="false" customHeight="true" outlineLevel="0" collapsed="false">
      <c r="A278" s="55" t="n">
        <v>1814</v>
      </c>
      <c r="B278" s="55" t="s">
        <v>791</v>
      </c>
      <c r="C278" s="55" t="s">
        <v>792</v>
      </c>
      <c r="D278" s="55" t="s">
        <v>2285</v>
      </c>
      <c r="E278" s="55" t="s">
        <v>2286</v>
      </c>
      <c r="F278" s="55" t="s">
        <v>1195</v>
      </c>
      <c r="G278" s="55" t="s">
        <v>1195</v>
      </c>
      <c r="H278" s="55" t="s">
        <v>1196</v>
      </c>
      <c r="I278" s="55" t="s">
        <v>738</v>
      </c>
      <c r="J278" s="55" t="s">
        <v>2287</v>
      </c>
      <c r="K278" s="55" t="s">
        <v>739</v>
      </c>
      <c r="L278" s="55"/>
      <c r="M278" s="55"/>
      <c r="N278" s="55" t="s">
        <v>732</v>
      </c>
      <c r="O278" s="57"/>
      <c r="P278" s="55" t="s">
        <v>1539</v>
      </c>
      <c r="Q278" s="55"/>
      <c r="R278" s="55" t="n">
        <v>0</v>
      </c>
      <c r="S278" s="55" t="n">
        <v>18</v>
      </c>
      <c r="T278" s="55"/>
      <c r="U278" s="55" t="s">
        <v>792</v>
      </c>
      <c r="V278" s="55" t="s">
        <v>1201</v>
      </c>
      <c r="W278" s="55" t="s">
        <v>2140</v>
      </c>
      <c r="X278" s="4"/>
      <c r="Y278" s="4"/>
      <c r="Z278" s="4"/>
    </row>
    <row r="279" customFormat="false" ht="15.75" hidden="false" customHeight="true" outlineLevel="0" collapsed="false">
      <c r="A279" s="55" t="n">
        <v>1815</v>
      </c>
      <c r="B279" s="55" t="s">
        <v>793</v>
      </c>
      <c r="C279" s="55" t="s">
        <v>794</v>
      </c>
      <c r="D279" s="55" t="s">
        <v>2324</v>
      </c>
      <c r="E279" s="55" t="s">
        <v>2325</v>
      </c>
      <c r="F279" s="55" t="s">
        <v>1195</v>
      </c>
      <c r="G279" s="55" t="s">
        <v>1195</v>
      </c>
      <c r="H279" s="55" t="s">
        <v>1196</v>
      </c>
      <c r="I279" s="55" t="s">
        <v>738</v>
      </c>
      <c r="J279" s="55" t="s">
        <v>2326</v>
      </c>
      <c r="K279" s="55" t="s">
        <v>739</v>
      </c>
      <c r="L279" s="55"/>
      <c r="M279" s="55"/>
      <c r="N279" s="55" t="s">
        <v>732</v>
      </c>
      <c r="O279" s="57"/>
      <c r="P279" s="55" t="s">
        <v>1539</v>
      </c>
      <c r="Q279" s="55"/>
      <c r="R279" s="55" t="n">
        <v>0</v>
      </c>
      <c r="S279" s="55" t="n">
        <v>116</v>
      </c>
      <c r="T279" s="55"/>
      <c r="U279" s="55" t="s">
        <v>794</v>
      </c>
      <c r="V279" s="55" t="s">
        <v>1201</v>
      </c>
      <c r="W279" s="55" t="s">
        <v>2140</v>
      </c>
      <c r="X279" s="4"/>
      <c r="Y279" s="4"/>
      <c r="Z279" s="4"/>
    </row>
    <row r="280" customFormat="false" ht="15.75" hidden="false" customHeight="true" outlineLevel="0" collapsed="false">
      <c r="A280" s="55" t="n">
        <v>1816</v>
      </c>
      <c r="B280" s="55" t="s">
        <v>795</v>
      </c>
      <c r="C280" s="55" t="s">
        <v>796</v>
      </c>
      <c r="D280" s="55" t="s">
        <v>2321</v>
      </c>
      <c r="E280" s="55" t="s">
        <v>2322</v>
      </c>
      <c r="F280" s="55" t="s">
        <v>1195</v>
      </c>
      <c r="G280" s="55" t="s">
        <v>1195</v>
      </c>
      <c r="H280" s="55" t="s">
        <v>1196</v>
      </c>
      <c r="I280" s="55" t="s">
        <v>738</v>
      </c>
      <c r="J280" s="55" t="s">
        <v>2323</v>
      </c>
      <c r="K280" s="55" t="s">
        <v>739</v>
      </c>
      <c r="L280" s="55"/>
      <c r="M280" s="55"/>
      <c r="N280" s="55" t="s">
        <v>732</v>
      </c>
      <c r="O280" s="57"/>
      <c r="P280" s="55" t="s">
        <v>1539</v>
      </c>
      <c r="Q280" s="55"/>
      <c r="R280" s="55" t="n">
        <v>0</v>
      </c>
      <c r="S280" s="55" t="n">
        <v>45</v>
      </c>
      <c r="T280" s="55"/>
      <c r="U280" s="55" t="s">
        <v>796</v>
      </c>
      <c r="V280" s="55" t="s">
        <v>1201</v>
      </c>
      <c r="W280" s="55" t="s">
        <v>2140</v>
      </c>
      <c r="X280" s="4"/>
      <c r="Y280" s="4"/>
      <c r="Z280" s="4"/>
    </row>
    <row r="281" customFormat="false" ht="15.75" hidden="false" customHeight="true" outlineLevel="0" collapsed="false">
      <c r="A281" s="55" t="n">
        <v>1817</v>
      </c>
      <c r="B281" s="55" t="s">
        <v>797</v>
      </c>
      <c r="C281" s="55" t="s">
        <v>798</v>
      </c>
      <c r="D281" s="55" t="s">
        <v>2374</v>
      </c>
      <c r="E281" s="55" t="s">
        <v>2375</v>
      </c>
      <c r="F281" s="55" t="s">
        <v>1195</v>
      </c>
      <c r="G281" s="55" t="s">
        <v>1195</v>
      </c>
      <c r="H281" s="55" t="s">
        <v>1196</v>
      </c>
      <c r="I281" s="55" t="s">
        <v>738</v>
      </c>
      <c r="J281" s="55" t="s">
        <v>2376</v>
      </c>
      <c r="K281" s="55" t="s">
        <v>739</v>
      </c>
      <c r="L281" s="55"/>
      <c r="M281" s="55"/>
      <c r="N281" s="55" t="s">
        <v>732</v>
      </c>
      <c r="O281" s="57"/>
      <c r="P281" s="55" t="s">
        <v>1539</v>
      </c>
      <c r="Q281" s="55"/>
      <c r="R281" s="55" t="n">
        <v>0</v>
      </c>
      <c r="S281" s="55" t="n">
        <v>24</v>
      </c>
      <c r="T281" s="55"/>
      <c r="U281" s="55" t="s">
        <v>798</v>
      </c>
      <c r="V281" s="55" t="s">
        <v>1201</v>
      </c>
      <c r="W281" s="55" t="s">
        <v>2140</v>
      </c>
      <c r="X281" s="4"/>
      <c r="Y281" s="4"/>
      <c r="Z281" s="4"/>
    </row>
    <row r="282" customFormat="false" ht="15.75" hidden="false" customHeight="true" outlineLevel="0" collapsed="false">
      <c r="A282" s="55" t="n">
        <v>1818</v>
      </c>
      <c r="B282" s="55" t="s">
        <v>799</v>
      </c>
      <c r="C282" s="55" t="s">
        <v>800</v>
      </c>
      <c r="D282" s="55" t="s">
        <v>2318</v>
      </c>
      <c r="E282" s="55" t="s">
        <v>2319</v>
      </c>
      <c r="F282" s="55" t="s">
        <v>1195</v>
      </c>
      <c r="G282" s="55" t="s">
        <v>1195</v>
      </c>
      <c r="H282" s="55" t="s">
        <v>1196</v>
      </c>
      <c r="I282" s="55" t="s">
        <v>738</v>
      </c>
      <c r="J282" s="55" t="s">
        <v>2320</v>
      </c>
      <c r="K282" s="55" t="s">
        <v>739</v>
      </c>
      <c r="L282" s="55"/>
      <c r="M282" s="55"/>
      <c r="N282" s="55" t="s">
        <v>732</v>
      </c>
      <c r="O282" s="57"/>
      <c r="P282" s="55" t="s">
        <v>1539</v>
      </c>
      <c r="Q282" s="55"/>
      <c r="R282" s="55" t="n">
        <v>0</v>
      </c>
      <c r="S282" s="55" t="n">
        <v>14</v>
      </c>
      <c r="T282" s="55"/>
      <c r="U282" s="55" t="s">
        <v>800</v>
      </c>
      <c r="V282" s="55" t="s">
        <v>1201</v>
      </c>
      <c r="W282" s="55" t="s">
        <v>2140</v>
      </c>
      <c r="X282" s="4"/>
      <c r="Y282" s="4"/>
      <c r="Z282" s="4"/>
    </row>
    <row r="283" customFormat="false" ht="15.75" hidden="false" customHeight="true" outlineLevel="0" collapsed="false">
      <c r="A283" s="55" t="n">
        <v>1819</v>
      </c>
      <c r="B283" s="55" t="s">
        <v>801</v>
      </c>
      <c r="C283" s="55" t="s">
        <v>802</v>
      </c>
      <c r="D283" s="55" t="s">
        <v>2315</v>
      </c>
      <c r="E283" s="55" t="s">
        <v>2316</v>
      </c>
      <c r="F283" s="55" t="s">
        <v>1195</v>
      </c>
      <c r="G283" s="55" t="s">
        <v>1195</v>
      </c>
      <c r="H283" s="55" t="s">
        <v>1196</v>
      </c>
      <c r="I283" s="55" t="s">
        <v>738</v>
      </c>
      <c r="J283" s="55" t="s">
        <v>2317</v>
      </c>
      <c r="K283" s="55" t="s">
        <v>739</v>
      </c>
      <c r="L283" s="55"/>
      <c r="M283" s="55"/>
      <c r="N283" s="55" t="s">
        <v>732</v>
      </c>
      <c r="O283" s="57"/>
      <c r="P283" s="55" t="s">
        <v>1539</v>
      </c>
      <c r="Q283" s="55"/>
      <c r="R283" s="55" t="n">
        <v>0</v>
      </c>
      <c r="S283" s="55" t="n">
        <v>27</v>
      </c>
      <c r="T283" s="55"/>
      <c r="U283" s="55" t="s">
        <v>802</v>
      </c>
      <c r="V283" s="55" t="s">
        <v>1201</v>
      </c>
      <c r="W283" s="55" t="s">
        <v>2140</v>
      </c>
      <c r="X283" s="4"/>
      <c r="Y283" s="4"/>
      <c r="Z283" s="4"/>
    </row>
    <row r="284" customFormat="false" ht="15.75" hidden="false" customHeight="true" outlineLevel="0" collapsed="false">
      <c r="A284" s="55" t="n">
        <v>1820</v>
      </c>
      <c r="B284" s="55" t="s">
        <v>803</v>
      </c>
      <c r="C284" s="55" t="s">
        <v>804</v>
      </c>
      <c r="D284" s="55" t="s">
        <v>2312</v>
      </c>
      <c r="E284" s="55" t="s">
        <v>2313</v>
      </c>
      <c r="F284" s="55" t="s">
        <v>1195</v>
      </c>
      <c r="G284" s="55" t="s">
        <v>1195</v>
      </c>
      <c r="H284" s="55" t="s">
        <v>1196</v>
      </c>
      <c r="I284" s="55" t="s">
        <v>738</v>
      </c>
      <c r="J284" s="55" t="s">
        <v>2314</v>
      </c>
      <c r="K284" s="55" t="s">
        <v>739</v>
      </c>
      <c r="L284" s="55"/>
      <c r="M284" s="55"/>
      <c r="N284" s="55" t="s">
        <v>732</v>
      </c>
      <c r="O284" s="57"/>
      <c r="P284" s="55" t="s">
        <v>1539</v>
      </c>
      <c r="Q284" s="55"/>
      <c r="R284" s="55" t="n">
        <v>0</v>
      </c>
      <c r="S284" s="55" t="n">
        <v>14</v>
      </c>
      <c r="T284" s="55"/>
      <c r="U284" s="55" t="s">
        <v>804</v>
      </c>
      <c r="V284" s="55" t="s">
        <v>1201</v>
      </c>
      <c r="W284" s="55" t="s">
        <v>2140</v>
      </c>
      <c r="X284" s="4"/>
      <c r="Y284" s="4"/>
      <c r="Z284" s="4"/>
    </row>
    <row r="285" customFormat="false" ht="15.75" hidden="false" customHeight="true" outlineLevel="0" collapsed="false">
      <c r="A285" s="55" t="n">
        <v>1821</v>
      </c>
      <c r="B285" s="55" t="s">
        <v>805</v>
      </c>
      <c r="C285" s="55" t="s">
        <v>806</v>
      </c>
      <c r="D285" s="55" t="s">
        <v>2309</v>
      </c>
      <c r="E285" s="55" t="s">
        <v>2310</v>
      </c>
      <c r="F285" s="55" t="s">
        <v>1195</v>
      </c>
      <c r="G285" s="55" t="s">
        <v>1195</v>
      </c>
      <c r="H285" s="55" t="s">
        <v>1196</v>
      </c>
      <c r="I285" s="55" t="s">
        <v>738</v>
      </c>
      <c r="J285" s="55" t="s">
        <v>2311</v>
      </c>
      <c r="K285" s="55" t="s">
        <v>739</v>
      </c>
      <c r="L285" s="55"/>
      <c r="M285" s="55"/>
      <c r="N285" s="55" t="s">
        <v>732</v>
      </c>
      <c r="O285" s="57"/>
      <c r="P285" s="55" t="s">
        <v>1539</v>
      </c>
      <c r="Q285" s="55"/>
      <c r="R285" s="55" t="n">
        <v>0</v>
      </c>
      <c r="S285" s="55" t="n">
        <v>10</v>
      </c>
      <c r="T285" s="55"/>
      <c r="U285" s="55" t="s">
        <v>806</v>
      </c>
      <c r="V285" s="55" t="s">
        <v>1201</v>
      </c>
      <c r="W285" s="55" t="s">
        <v>2140</v>
      </c>
      <c r="X285" s="4"/>
      <c r="Y285" s="4"/>
      <c r="Z285" s="4"/>
    </row>
    <row r="286" customFormat="false" ht="15.75" hidden="false" customHeight="true" outlineLevel="0" collapsed="false">
      <c r="A286" s="55" t="n">
        <v>1822</v>
      </c>
      <c r="B286" s="55" t="s">
        <v>807</v>
      </c>
      <c r="C286" s="55" t="s">
        <v>808</v>
      </c>
      <c r="D286" s="55" t="s">
        <v>2306</v>
      </c>
      <c r="E286" s="55" t="s">
        <v>2307</v>
      </c>
      <c r="F286" s="55" t="s">
        <v>1195</v>
      </c>
      <c r="G286" s="55" t="s">
        <v>1195</v>
      </c>
      <c r="H286" s="55" t="s">
        <v>1196</v>
      </c>
      <c r="I286" s="55" t="s">
        <v>738</v>
      </c>
      <c r="J286" s="55" t="s">
        <v>2308</v>
      </c>
      <c r="K286" s="55" t="s">
        <v>739</v>
      </c>
      <c r="L286" s="55"/>
      <c r="M286" s="55"/>
      <c r="N286" s="55" t="s">
        <v>732</v>
      </c>
      <c r="O286" s="57"/>
      <c r="P286" s="55" t="s">
        <v>1539</v>
      </c>
      <c r="Q286" s="55"/>
      <c r="R286" s="55" t="n">
        <v>0</v>
      </c>
      <c r="S286" s="55" t="n">
        <v>103</v>
      </c>
      <c r="T286" s="55"/>
      <c r="U286" s="55" t="s">
        <v>808</v>
      </c>
      <c r="V286" s="55" t="s">
        <v>1201</v>
      </c>
      <c r="W286" s="55" t="s">
        <v>2140</v>
      </c>
      <c r="X286" s="4"/>
      <c r="Y286" s="4"/>
      <c r="Z286" s="4"/>
    </row>
    <row r="287" customFormat="false" ht="15.75" hidden="false" customHeight="true" outlineLevel="0" collapsed="false">
      <c r="A287" s="55" t="n">
        <v>1823</v>
      </c>
      <c r="B287" s="55" t="s">
        <v>809</v>
      </c>
      <c r="C287" s="55" t="s">
        <v>810</v>
      </c>
      <c r="D287" s="55" t="s">
        <v>2303</v>
      </c>
      <c r="E287" s="55" t="s">
        <v>2304</v>
      </c>
      <c r="F287" s="55" t="s">
        <v>1195</v>
      </c>
      <c r="G287" s="55" t="s">
        <v>1195</v>
      </c>
      <c r="H287" s="55" t="s">
        <v>1196</v>
      </c>
      <c r="I287" s="55" t="s">
        <v>738</v>
      </c>
      <c r="J287" s="55" t="s">
        <v>2305</v>
      </c>
      <c r="K287" s="55" t="s">
        <v>739</v>
      </c>
      <c r="L287" s="55"/>
      <c r="M287" s="55"/>
      <c r="N287" s="55" t="s">
        <v>732</v>
      </c>
      <c r="O287" s="57"/>
      <c r="P287" s="55" t="s">
        <v>1539</v>
      </c>
      <c r="Q287" s="55"/>
      <c r="R287" s="55" t="n">
        <v>0</v>
      </c>
      <c r="S287" s="55" t="n">
        <v>94</v>
      </c>
      <c r="T287" s="55"/>
      <c r="U287" s="55" t="s">
        <v>810</v>
      </c>
      <c r="V287" s="55" t="s">
        <v>1201</v>
      </c>
      <c r="W287" s="55" t="s">
        <v>2140</v>
      </c>
      <c r="X287" s="4"/>
      <c r="Y287" s="4"/>
      <c r="Z287" s="4"/>
    </row>
    <row r="288" customFormat="false" ht="15.75" hidden="false" customHeight="true" outlineLevel="0" collapsed="false">
      <c r="A288" s="55" t="n">
        <v>1824</v>
      </c>
      <c r="B288" s="55" t="s">
        <v>811</v>
      </c>
      <c r="C288" s="55" t="s">
        <v>812</v>
      </c>
      <c r="D288" s="55" t="s">
        <v>2300</v>
      </c>
      <c r="E288" s="55" t="s">
        <v>2301</v>
      </c>
      <c r="F288" s="55" t="s">
        <v>1195</v>
      </c>
      <c r="G288" s="55" t="s">
        <v>1195</v>
      </c>
      <c r="H288" s="55" t="s">
        <v>1196</v>
      </c>
      <c r="I288" s="55" t="s">
        <v>738</v>
      </c>
      <c r="J288" s="55" t="s">
        <v>2302</v>
      </c>
      <c r="K288" s="55" t="s">
        <v>739</v>
      </c>
      <c r="L288" s="55"/>
      <c r="M288" s="55"/>
      <c r="N288" s="55" t="s">
        <v>732</v>
      </c>
      <c r="O288" s="57"/>
      <c r="P288" s="55" t="s">
        <v>1539</v>
      </c>
      <c r="Q288" s="55"/>
      <c r="R288" s="55" t="n">
        <v>0</v>
      </c>
      <c r="S288" s="55" t="n">
        <v>37</v>
      </c>
      <c r="T288" s="55"/>
      <c r="U288" s="55" t="s">
        <v>812</v>
      </c>
      <c r="V288" s="55" t="s">
        <v>1201</v>
      </c>
      <c r="W288" s="55" t="s">
        <v>2140</v>
      </c>
      <c r="X288" s="4"/>
      <c r="Y288" s="4"/>
      <c r="Z288" s="4"/>
    </row>
    <row r="289" customFormat="false" ht="15.75" hidden="false" customHeight="true" outlineLevel="0" collapsed="false">
      <c r="A289" s="55" t="n">
        <v>1825</v>
      </c>
      <c r="B289" s="55" t="s">
        <v>813</v>
      </c>
      <c r="C289" s="55" t="s">
        <v>814</v>
      </c>
      <c r="D289" s="55" t="s">
        <v>2297</v>
      </c>
      <c r="E289" s="55" t="s">
        <v>2298</v>
      </c>
      <c r="F289" s="55" t="s">
        <v>1195</v>
      </c>
      <c r="G289" s="55" t="s">
        <v>1195</v>
      </c>
      <c r="H289" s="55" t="s">
        <v>1196</v>
      </c>
      <c r="I289" s="55" t="s">
        <v>738</v>
      </c>
      <c r="J289" s="55" t="s">
        <v>2299</v>
      </c>
      <c r="K289" s="55" t="s">
        <v>739</v>
      </c>
      <c r="L289" s="55"/>
      <c r="M289" s="55"/>
      <c r="N289" s="55" t="s">
        <v>732</v>
      </c>
      <c r="O289" s="57"/>
      <c r="P289" s="55" t="s">
        <v>1539</v>
      </c>
      <c r="Q289" s="55"/>
      <c r="R289" s="55" t="n">
        <v>0</v>
      </c>
      <c r="S289" s="55" t="n">
        <v>9</v>
      </c>
      <c r="T289" s="55"/>
      <c r="U289" s="55" t="s">
        <v>814</v>
      </c>
      <c r="V289" s="55" t="s">
        <v>1201</v>
      </c>
      <c r="W289" s="55" t="s">
        <v>2140</v>
      </c>
      <c r="X289" s="4"/>
      <c r="Y289" s="4"/>
      <c r="Z289" s="4"/>
    </row>
    <row r="290" customFormat="false" ht="15.75" hidden="false" customHeight="true" outlineLevel="0" collapsed="false">
      <c r="A290" s="55" t="n">
        <v>1826</v>
      </c>
      <c r="B290" s="55" t="s">
        <v>815</v>
      </c>
      <c r="C290" s="55" t="s">
        <v>816</v>
      </c>
      <c r="D290" s="55" t="s">
        <v>2294</v>
      </c>
      <c r="E290" s="55" t="s">
        <v>2295</v>
      </c>
      <c r="F290" s="55" t="s">
        <v>1195</v>
      </c>
      <c r="G290" s="55" t="s">
        <v>1195</v>
      </c>
      <c r="H290" s="55" t="s">
        <v>1196</v>
      </c>
      <c r="I290" s="55" t="s">
        <v>738</v>
      </c>
      <c r="J290" s="55" t="s">
        <v>2296</v>
      </c>
      <c r="K290" s="55" t="s">
        <v>739</v>
      </c>
      <c r="L290" s="55"/>
      <c r="M290" s="55"/>
      <c r="N290" s="55" t="s">
        <v>732</v>
      </c>
      <c r="O290" s="57"/>
      <c r="P290" s="55" t="s">
        <v>1539</v>
      </c>
      <c r="Q290" s="55"/>
      <c r="R290" s="55" t="n">
        <v>0</v>
      </c>
      <c r="S290" s="55" t="n">
        <v>32</v>
      </c>
      <c r="T290" s="55"/>
      <c r="U290" s="55" t="s">
        <v>816</v>
      </c>
      <c r="V290" s="55" t="s">
        <v>1201</v>
      </c>
      <c r="W290" s="55" t="s">
        <v>2140</v>
      </c>
      <c r="X290" s="4"/>
      <c r="Y290" s="4"/>
      <c r="Z290" s="4"/>
    </row>
    <row r="291" customFormat="false" ht="15.75" hidden="false" customHeight="true" outlineLevel="0" collapsed="false">
      <c r="A291" s="55" t="n">
        <v>1827</v>
      </c>
      <c r="B291" s="55" t="s">
        <v>817</v>
      </c>
      <c r="C291" s="55" t="s">
        <v>818</v>
      </c>
      <c r="D291" s="55" t="s">
        <v>2291</v>
      </c>
      <c r="E291" s="55" t="s">
        <v>2292</v>
      </c>
      <c r="F291" s="55" t="s">
        <v>1195</v>
      </c>
      <c r="G291" s="55" t="s">
        <v>1195</v>
      </c>
      <c r="H291" s="55" t="s">
        <v>1196</v>
      </c>
      <c r="I291" s="55" t="s">
        <v>738</v>
      </c>
      <c r="J291" s="55" t="s">
        <v>2293</v>
      </c>
      <c r="K291" s="55" t="s">
        <v>739</v>
      </c>
      <c r="L291" s="55"/>
      <c r="M291" s="55"/>
      <c r="N291" s="55" t="s">
        <v>732</v>
      </c>
      <c r="O291" s="57"/>
      <c r="P291" s="55" t="s">
        <v>1539</v>
      </c>
      <c r="Q291" s="55"/>
      <c r="R291" s="55" t="n">
        <v>0</v>
      </c>
      <c r="S291" s="55" t="n">
        <v>26</v>
      </c>
      <c r="T291" s="55"/>
      <c r="U291" s="55" t="s">
        <v>818</v>
      </c>
      <c r="V291" s="55" t="s">
        <v>1201</v>
      </c>
      <c r="W291" s="55" t="s">
        <v>2140</v>
      </c>
      <c r="X291" s="4"/>
      <c r="Y291" s="4"/>
      <c r="Z291" s="4"/>
    </row>
    <row r="292" customFormat="false" ht="15.75" hidden="false" customHeight="true" outlineLevel="0" collapsed="false">
      <c r="A292" s="55" t="n">
        <v>1828</v>
      </c>
      <c r="B292" s="55" t="s">
        <v>819</v>
      </c>
      <c r="C292" s="55" t="s">
        <v>820</v>
      </c>
      <c r="D292" s="55" t="s">
        <v>2368</v>
      </c>
      <c r="E292" s="55" t="s">
        <v>2369</v>
      </c>
      <c r="F292" s="55" t="s">
        <v>1195</v>
      </c>
      <c r="G292" s="55" t="s">
        <v>1195</v>
      </c>
      <c r="H292" s="55" t="s">
        <v>1196</v>
      </c>
      <c r="I292" s="55" t="s">
        <v>738</v>
      </c>
      <c r="J292" s="55" t="s">
        <v>2370</v>
      </c>
      <c r="K292" s="55" t="s">
        <v>739</v>
      </c>
      <c r="L292" s="55"/>
      <c r="M292" s="55"/>
      <c r="N292" s="55" t="s">
        <v>732</v>
      </c>
      <c r="O292" s="57"/>
      <c r="P292" s="55" t="s">
        <v>1539</v>
      </c>
      <c r="Q292" s="55"/>
      <c r="R292" s="55" t="n">
        <v>0</v>
      </c>
      <c r="S292" s="55" t="n">
        <v>12</v>
      </c>
      <c r="T292" s="55"/>
      <c r="U292" s="55" t="s">
        <v>820</v>
      </c>
      <c r="V292" s="55" t="s">
        <v>1201</v>
      </c>
      <c r="W292" s="55" t="s">
        <v>2140</v>
      </c>
      <c r="X292" s="4"/>
      <c r="Y292" s="4"/>
      <c r="Z292" s="4"/>
    </row>
    <row r="293" customFormat="false" ht="15.75" hidden="false" customHeight="true" outlineLevel="0" collapsed="false">
      <c r="A293" s="55" t="n">
        <v>1829</v>
      </c>
      <c r="B293" s="55" t="s">
        <v>821</v>
      </c>
      <c r="C293" s="55" t="s">
        <v>822</v>
      </c>
      <c r="D293" s="55" t="s">
        <v>2371</v>
      </c>
      <c r="E293" s="55" t="s">
        <v>2372</v>
      </c>
      <c r="F293" s="55" t="s">
        <v>1195</v>
      </c>
      <c r="G293" s="55" t="s">
        <v>1195</v>
      </c>
      <c r="H293" s="55" t="s">
        <v>1196</v>
      </c>
      <c r="I293" s="55" t="s">
        <v>738</v>
      </c>
      <c r="J293" s="55" t="s">
        <v>2373</v>
      </c>
      <c r="K293" s="55" t="s">
        <v>739</v>
      </c>
      <c r="L293" s="55"/>
      <c r="M293" s="55"/>
      <c r="N293" s="55" t="s">
        <v>732</v>
      </c>
      <c r="O293" s="57"/>
      <c r="P293" s="55" t="s">
        <v>1539</v>
      </c>
      <c r="Q293" s="55"/>
      <c r="R293" s="55" t="n">
        <v>0</v>
      </c>
      <c r="S293" s="55" t="n">
        <v>11</v>
      </c>
      <c r="T293" s="55"/>
      <c r="U293" s="55" t="s">
        <v>822</v>
      </c>
      <c r="V293" s="55" t="s">
        <v>1201</v>
      </c>
      <c r="W293" s="55" t="s">
        <v>2140</v>
      </c>
      <c r="X293" s="4"/>
      <c r="Y293" s="4"/>
      <c r="Z293" s="4"/>
    </row>
    <row r="294" customFormat="false" ht="15.75" hidden="false" customHeight="true" outlineLevel="0" collapsed="false">
      <c r="A294" s="55" t="n">
        <v>1830</v>
      </c>
      <c r="B294" s="55" t="s">
        <v>823</v>
      </c>
      <c r="C294" s="55" t="s">
        <v>824</v>
      </c>
      <c r="D294" s="55" t="s">
        <v>2383</v>
      </c>
      <c r="E294" s="55" t="s">
        <v>2384</v>
      </c>
      <c r="F294" s="55" t="s">
        <v>1195</v>
      </c>
      <c r="G294" s="55" t="s">
        <v>1195</v>
      </c>
      <c r="H294" s="55" t="s">
        <v>1196</v>
      </c>
      <c r="I294" s="55" t="s">
        <v>738</v>
      </c>
      <c r="J294" s="55" t="s">
        <v>2385</v>
      </c>
      <c r="K294" s="55" t="s">
        <v>739</v>
      </c>
      <c r="L294" s="55"/>
      <c r="M294" s="55"/>
      <c r="N294" s="55" t="s">
        <v>732</v>
      </c>
      <c r="O294" s="57"/>
      <c r="P294" s="55" t="s">
        <v>1539</v>
      </c>
      <c r="Q294" s="55"/>
      <c r="R294" s="55" t="n">
        <v>0</v>
      </c>
      <c r="S294" s="55" t="n">
        <v>49</v>
      </c>
      <c r="T294" s="55"/>
      <c r="U294" s="55" t="s">
        <v>824</v>
      </c>
      <c r="V294" s="55" t="s">
        <v>1201</v>
      </c>
      <c r="W294" s="55" t="s">
        <v>2140</v>
      </c>
      <c r="X294" s="4"/>
      <c r="Y294" s="4"/>
      <c r="Z294" s="4"/>
    </row>
    <row r="295" customFormat="false" ht="15.75" hidden="false" customHeight="true" outlineLevel="0" collapsed="false">
      <c r="A295" s="55" t="n">
        <v>1831</v>
      </c>
      <c r="B295" s="55" t="s">
        <v>825</v>
      </c>
      <c r="C295" s="55" t="s">
        <v>826</v>
      </c>
      <c r="D295" s="55" t="s">
        <v>2377</v>
      </c>
      <c r="E295" s="55" t="s">
        <v>2378</v>
      </c>
      <c r="F295" s="55" t="s">
        <v>1195</v>
      </c>
      <c r="G295" s="55" t="s">
        <v>1195</v>
      </c>
      <c r="H295" s="55" t="s">
        <v>1196</v>
      </c>
      <c r="I295" s="55" t="s">
        <v>738</v>
      </c>
      <c r="J295" s="55" t="s">
        <v>2379</v>
      </c>
      <c r="K295" s="55" t="s">
        <v>739</v>
      </c>
      <c r="L295" s="55"/>
      <c r="M295" s="55"/>
      <c r="N295" s="55" t="s">
        <v>732</v>
      </c>
      <c r="O295" s="57"/>
      <c r="P295" s="55" t="s">
        <v>1539</v>
      </c>
      <c r="Q295" s="55"/>
      <c r="R295" s="55" t="n">
        <v>0</v>
      </c>
      <c r="S295" s="55" t="n">
        <v>51</v>
      </c>
      <c r="T295" s="55"/>
      <c r="U295" s="55" t="s">
        <v>826</v>
      </c>
      <c r="V295" s="55" t="s">
        <v>1201</v>
      </c>
      <c r="W295" s="55" t="s">
        <v>2140</v>
      </c>
      <c r="X295" s="4"/>
      <c r="Y295" s="4"/>
      <c r="Z295" s="4"/>
    </row>
    <row r="296" customFormat="false" ht="15.75" hidden="false" customHeight="true" outlineLevel="0" collapsed="false">
      <c r="A296" s="55" t="n">
        <v>1832</v>
      </c>
      <c r="B296" s="55" t="s">
        <v>827</v>
      </c>
      <c r="C296" s="55" t="s">
        <v>828</v>
      </c>
      <c r="D296" s="55" t="s">
        <v>2422</v>
      </c>
      <c r="E296" s="55" t="s">
        <v>2423</v>
      </c>
      <c r="F296" s="55" t="s">
        <v>1195</v>
      </c>
      <c r="G296" s="55" t="s">
        <v>1195</v>
      </c>
      <c r="H296" s="55" t="s">
        <v>1196</v>
      </c>
      <c r="I296" s="55" t="s">
        <v>738</v>
      </c>
      <c r="J296" s="55" t="s">
        <v>2424</v>
      </c>
      <c r="K296" s="55" t="s">
        <v>739</v>
      </c>
      <c r="L296" s="55"/>
      <c r="M296" s="55"/>
      <c r="N296" s="55" t="s">
        <v>732</v>
      </c>
      <c r="O296" s="57"/>
      <c r="P296" s="55" t="s">
        <v>1539</v>
      </c>
      <c r="Q296" s="55"/>
      <c r="R296" s="55" t="n">
        <v>0</v>
      </c>
      <c r="S296" s="55" t="n">
        <v>17</v>
      </c>
      <c r="T296" s="55"/>
      <c r="U296" s="55" t="s">
        <v>828</v>
      </c>
      <c r="V296" s="55" t="s">
        <v>1201</v>
      </c>
      <c r="W296" s="55" t="s">
        <v>2140</v>
      </c>
      <c r="X296" s="4"/>
      <c r="Y296" s="4"/>
      <c r="Z296" s="4"/>
    </row>
    <row r="297" customFormat="false" ht="15.75" hidden="false" customHeight="true" outlineLevel="0" collapsed="false">
      <c r="A297" s="55" t="n">
        <v>1833</v>
      </c>
      <c r="B297" s="55" t="s">
        <v>829</v>
      </c>
      <c r="C297" s="55" t="s">
        <v>830</v>
      </c>
      <c r="D297" s="55" t="s">
        <v>2449</v>
      </c>
      <c r="E297" s="55" t="s">
        <v>2450</v>
      </c>
      <c r="F297" s="55" t="s">
        <v>1195</v>
      </c>
      <c r="G297" s="55" t="s">
        <v>1195</v>
      </c>
      <c r="H297" s="55" t="s">
        <v>1196</v>
      </c>
      <c r="I297" s="55" t="s">
        <v>738</v>
      </c>
      <c r="J297" s="55" t="s">
        <v>2451</v>
      </c>
      <c r="K297" s="55" t="s">
        <v>739</v>
      </c>
      <c r="L297" s="55"/>
      <c r="M297" s="55"/>
      <c r="N297" s="55" t="s">
        <v>732</v>
      </c>
      <c r="O297" s="57"/>
      <c r="P297" s="55" t="s">
        <v>1539</v>
      </c>
      <c r="Q297" s="55"/>
      <c r="R297" s="55" t="n">
        <v>0</v>
      </c>
      <c r="S297" s="55" t="n">
        <v>10</v>
      </c>
      <c r="T297" s="55"/>
      <c r="U297" s="55" t="s">
        <v>830</v>
      </c>
      <c r="V297" s="55" t="s">
        <v>1201</v>
      </c>
      <c r="W297" s="55" t="s">
        <v>2140</v>
      </c>
      <c r="X297" s="4"/>
      <c r="Y297" s="4"/>
      <c r="Z297" s="4"/>
    </row>
    <row r="298" customFormat="false" ht="15.75" hidden="false" customHeight="true" outlineLevel="0" collapsed="false">
      <c r="A298" s="55" t="n">
        <v>1834</v>
      </c>
      <c r="B298" s="55" t="s">
        <v>831</v>
      </c>
      <c r="C298" s="55" t="s">
        <v>832</v>
      </c>
      <c r="D298" s="55" t="s">
        <v>2419</v>
      </c>
      <c r="E298" s="55" t="s">
        <v>2420</v>
      </c>
      <c r="F298" s="55" t="s">
        <v>1195</v>
      </c>
      <c r="G298" s="55" t="s">
        <v>1195</v>
      </c>
      <c r="H298" s="55" t="s">
        <v>1196</v>
      </c>
      <c r="I298" s="55" t="s">
        <v>738</v>
      </c>
      <c r="J298" s="55" t="s">
        <v>2421</v>
      </c>
      <c r="K298" s="55" t="s">
        <v>739</v>
      </c>
      <c r="L298" s="55"/>
      <c r="M298" s="55"/>
      <c r="N298" s="55" t="s">
        <v>732</v>
      </c>
      <c r="O298" s="57"/>
      <c r="P298" s="55" t="s">
        <v>1539</v>
      </c>
      <c r="Q298" s="55"/>
      <c r="R298" s="55" t="n">
        <v>0</v>
      </c>
      <c r="S298" s="55" t="n">
        <v>30</v>
      </c>
      <c r="T298" s="55"/>
      <c r="U298" s="55" t="s">
        <v>832</v>
      </c>
      <c r="V298" s="55" t="s">
        <v>1201</v>
      </c>
      <c r="W298" s="55" t="s">
        <v>2140</v>
      </c>
      <c r="X298" s="4"/>
      <c r="Y298" s="4"/>
      <c r="Z298" s="4"/>
    </row>
    <row r="299" customFormat="false" ht="15.75" hidden="false" customHeight="true" outlineLevel="0" collapsed="false">
      <c r="A299" s="55" t="n">
        <v>1835</v>
      </c>
      <c r="B299" s="55" t="s">
        <v>833</v>
      </c>
      <c r="C299" s="55" t="s">
        <v>834</v>
      </c>
      <c r="D299" s="55" t="s">
        <v>2446</v>
      </c>
      <c r="E299" s="55" t="s">
        <v>2447</v>
      </c>
      <c r="F299" s="55" t="s">
        <v>1195</v>
      </c>
      <c r="G299" s="55" t="s">
        <v>1195</v>
      </c>
      <c r="H299" s="55" t="s">
        <v>1196</v>
      </c>
      <c r="I299" s="55" t="s">
        <v>738</v>
      </c>
      <c r="J299" s="55" t="s">
        <v>2448</v>
      </c>
      <c r="K299" s="55" t="s">
        <v>739</v>
      </c>
      <c r="L299" s="55"/>
      <c r="M299" s="55"/>
      <c r="N299" s="55" t="s">
        <v>732</v>
      </c>
      <c r="O299" s="57"/>
      <c r="P299" s="55" t="s">
        <v>1539</v>
      </c>
      <c r="Q299" s="55"/>
      <c r="R299" s="55" t="n">
        <v>0</v>
      </c>
      <c r="S299" s="55" t="n">
        <v>9</v>
      </c>
      <c r="T299" s="55"/>
      <c r="U299" s="55" t="s">
        <v>834</v>
      </c>
      <c r="V299" s="55" t="s">
        <v>1201</v>
      </c>
      <c r="W299" s="55" t="s">
        <v>2140</v>
      </c>
      <c r="X299" s="4"/>
      <c r="Y299" s="4"/>
      <c r="Z299" s="4"/>
    </row>
    <row r="300" customFormat="false" ht="15.75" hidden="false" customHeight="true" outlineLevel="0" collapsed="false">
      <c r="A300" s="55" t="n">
        <v>1836</v>
      </c>
      <c r="B300" s="55" t="s">
        <v>835</v>
      </c>
      <c r="C300" s="55" t="s">
        <v>836</v>
      </c>
      <c r="D300" s="55" t="s">
        <v>2440</v>
      </c>
      <c r="E300" s="55" t="s">
        <v>2441</v>
      </c>
      <c r="F300" s="55" t="s">
        <v>1195</v>
      </c>
      <c r="G300" s="55" t="s">
        <v>1195</v>
      </c>
      <c r="H300" s="55" t="s">
        <v>1196</v>
      </c>
      <c r="I300" s="55" t="s">
        <v>738</v>
      </c>
      <c r="J300" s="55" t="s">
        <v>2442</v>
      </c>
      <c r="K300" s="55" t="s">
        <v>739</v>
      </c>
      <c r="L300" s="55"/>
      <c r="M300" s="55"/>
      <c r="N300" s="55" t="s">
        <v>732</v>
      </c>
      <c r="O300" s="57"/>
      <c r="P300" s="55" t="s">
        <v>1539</v>
      </c>
      <c r="Q300" s="55"/>
      <c r="R300" s="55" t="n">
        <v>0</v>
      </c>
      <c r="S300" s="55" t="n">
        <v>5</v>
      </c>
      <c r="T300" s="55"/>
      <c r="U300" s="55" t="s">
        <v>836</v>
      </c>
      <c r="V300" s="55" t="s">
        <v>1201</v>
      </c>
      <c r="W300" s="55" t="s">
        <v>2140</v>
      </c>
      <c r="X300" s="4"/>
      <c r="Y300" s="4"/>
      <c r="Z300" s="4"/>
    </row>
    <row r="301" customFormat="false" ht="15.75" hidden="false" customHeight="true" outlineLevel="0" collapsed="false">
      <c r="A301" s="55" t="n">
        <v>1837</v>
      </c>
      <c r="B301" s="55" t="s">
        <v>837</v>
      </c>
      <c r="C301" s="55" t="s">
        <v>838</v>
      </c>
      <c r="D301" s="55" t="s">
        <v>2437</v>
      </c>
      <c r="E301" s="55" t="s">
        <v>2438</v>
      </c>
      <c r="F301" s="55" t="s">
        <v>1195</v>
      </c>
      <c r="G301" s="55" t="s">
        <v>1195</v>
      </c>
      <c r="H301" s="55" t="s">
        <v>1196</v>
      </c>
      <c r="I301" s="55" t="s">
        <v>738</v>
      </c>
      <c r="J301" s="55" t="s">
        <v>2439</v>
      </c>
      <c r="K301" s="55" t="s">
        <v>739</v>
      </c>
      <c r="L301" s="55"/>
      <c r="M301" s="55"/>
      <c r="N301" s="55" t="s">
        <v>732</v>
      </c>
      <c r="O301" s="57"/>
      <c r="P301" s="55" t="s">
        <v>1539</v>
      </c>
      <c r="Q301" s="55"/>
      <c r="R301" s="55" t="n">
        <v>0</v>
      </c>
      <c r="S301" s="55" t="n">
        <v>11</v>
      </c>
      <c r="T301" s="55"/>
      <c r="U301" s="55" t="s">
        <v>838</v>
      </c>
      <c r="V301" s="55" t="s">
        <v>1201</v>
      </c>
      <c r="W301" s="55" t="s">
        <v>2140</v>
      </c>
      <c r="X301" s="4"/>
      <c r="Y301" s="4"/>
      <c r="Z301" s="4"/>
    </row>
    <row r="302" customFormat="false" ht="15.75" hidden="false" customHeight="true" outlineLevel="0" collapsed="false">
      <c r="A302" s="55" t="n">
        <v>1838</v>
      </c>
      <c r="B302" s="55" t="s">
        <v>839</v>
      </c>
      <c r="C302" s="55" t="s">
        <v>840</v>
      </c>
      <c r="D302" s="55" t="s">
        <v>2434</v>
      </c>
      <c r="E302" s="55" t="s">
        <v>2435</v>
      </c>
      <c r="F302" s="55" t="s">
        <v>1195</v>
      </c>
      <c r="G302" s="55" t="s">
        <v>1195</v>
      </c>
      <c r="H302" s="55" t="s">
        <v>1196</v>
      </c>
      <c r="I302" s="55" t="s">
        <v>738</v>
      </c>
      <c r="J302" s="55" t="s">
        <v>2436</v>
      </c>
      <c r="K302" s="55" t="s">
        <v>739</v>
      </c>
      <c r="L302" s="55"/>
      <c r="M302" s="55"/>
      <c r="N302" s="55" t="s">
        <v>732</v>
      </c>
      <c r="O302" s="57"/>
      <c r="P302" s="55" t="s">
        <v>1539</v>
      </c>
      <c r="Q302" s="55"/>
      <c r="R302" s="55" t="n">
        <v>0</v>
      </c>
      <c r="S302" s="55" t="n">
        <v>7</v>
      </c>
      <c r="T302" s="55"/>
      <c r="U302" s="55" t="s">
        <v>840</v>
      </c>
      <c r="V302" s="55" t="s">
        <v>1201</v>
      </c>
      <c r="W302" s="55" t="s">
        <v>2140</v>
      </c>
      <c r="X302" s="4"/>
      <c r="Y302" s="4"/>
      <c r="Z302" s="4"/>
    </row>
    <row r="303" customFormat="false" ht="15.75" hidden="false" customHeight="true" outlineLevel="0" collapsed="false">
      <c r="A303" s="55" t="n">
        <v>1839</v>
      </c>
      <c r="B303" s="55" t="s">
        <v>841</v>
      </c>
      <c r="C303" s="55" t="s">
        <v>842</v>
      </c>
      <c r="D303" s="55" t="s">
        <v>2431</v>
      </c>
      <c r="E303" s="55" t="s">
        <v>2432</v>
      </c>
      <c r="F303" s="55" t="s">
        <v>1195</v>
      </c>
      <c r="G303" s="55" t="s">
        <v>1195</v>
      </c>
      <c r="H303" s="55" t="s">
        <v>1196</v>
      </c>
      <c r="I303" s="55" t="s">
        <v>738</v>
      </c>
      <c r="J303" s="55" t="s">
        <v>2433</v>
      </c>
      <c r="K303" s="55" t="s">
        <v>739</v>
      </c>
      <c r="L303" s="55"/>
      <c r="M303" s="55"/>
      <c r="N303" s="55" t="s">
        <v>732</v>
      </c>
      <c r="O303" s="57"/>
      <c r="P303" s="55" t="s">
        <v>1539</v>
      </c>
      <c r="Q303" s="55"/>
      <c r="R303" s="55" t="n">
        <v>0</v>
      </c>
      <c r="S303" s="55" t="n">
        <v>9</v>
      </c>
      <c r="T303" s="55"/>
      <c r="U303" s="55" t="s">
        <v>842</v>
      </c>
      <c r="V303" s="55" t="s">
        <v>1201</v>
      </c>
      <c r="W303" s="55" t="s">
        <v>2140</v>
      </c>
      <c r="X303" s="4"/>
      <c r="Y303" s="4"/>
      <c r="Z303" s="4"/>
    </row>
    <row r="304" customFormat="false" ht="15.75" hidden="false" customHeight="true" outlineLevel="0" collapsed="false">
      <c r="A304" s="55" t="n">
        <v>1840</v>
      </c>
      <c r="B304" s="55" t="s">
        <v>843</v>
      </c>
      <c r="C304" s="55" t="s">
        <v>844</v>
      </c>
      <c r="D304" s="55" t="s">
        <v>2428</v>
      </c>
      <c r="E304" s="55" t="s">
        <v>2429</v>
      </c>
      <c r="F304" s="55" t="s">
        <v>1195</v>
      </c>
      <c r="G304" s="55" t="s">
        <v>1195</v>
      </c>
      <c r="H304" s="55" t="s">
        <v>1196</v>
      </c>
      <c r="I304" s="55" t="s">
        <v>738</v>
      </c>
      <c r="J304" s="55" t="s">
        <v>2430</v>
      </c>
      <c r="K304" s="55" t="s">
        <v>739</v>
      </c>
      <c r="L304" s="55"/>
      <c r="M304" s="55"/>
      <c r="N304" s="55" t="s">
        <v>732</v>
      </c>
      <c r="O304" s="57"/>
      <c r="P304" s="55" t="s">
        <v>1539</v>
      </c>
      <c r="Q304" s="55"/>
      <c r="R304" s="55" t="n">
        <v>0</v>
      </c>
      <c r="S304" s="55" t="n">
        <v>63</v>
      </c>
      <c r="T304" s="55"/>
      <c r="U304" s="55" t="s">
        <v>844</v>
      </c>
      <c r="V304" s="55" t="s">
        <v>1201</v>
      </c>
      <c r="W304" s="55" t="s">
        <v>2140</v>
      </c>
      <c r="X304" s="4"/>
      <c r="Y304" s="4"/>
      <c r="Z304" s="4"/>
    </row>
    <row r="305" customFormat="false" ht="15.75" hidden="false" customHeight="true" outlineLevel="0" collapsed="false">
      <c r="A305" s="55" t="n">
        <v>1841</v>
      </c>
      <c r="B305" s="55" t="s">
        <v>845</v>
      </c>
      <c r="C305" s="55" t="s">
        <v>846</v>
      </c>
      <c r="D305" s="55" t="s">
        <v>2425</v>
      </c>
      <c r="E305" s="55" t="s">
        <v>2426</v>
      </c>
      <c r="F305" s="55" t="s">
        <v>1195</v>
      </c>
      <c r="G305" s="55" t="s">
        <v>1195</v>
      </c>
      <c r="H305" s="55" t="s">
        <v>1196</v>
      </c>
      <c r="I305" s="55" t="s">
        <v>738</v>
      </c>
      <c r="J305" s="55" t="s">
        <v>2427</v>
      </c>
      <c r="K305" s="55" t="s">
        <v>739</v>
      </c>
      <c r="L305" s="55"/>
      <c r="M305" s="55"/>
      <c r="N305" s="55" t="s">
        <v>732</v>
      </c>
      <c r="O305" s="57"/>
      <c r="P305" s="55" t="s">
        <v>1539</v>
      </c>
      <c r="Q305" s="55"/>
      <c r="R305" s="55" t="n">
        <v>0</v>
      </c>
      <c r="S305" s="55" t="n">
        <v>44</v>
      </c>
      <c r="T305" s="55"/>
      <c r="U305" s="55" t="s">
        <v>846</v>
      </c>
      <c r="V305" s="55" t="s">
        <v>1201</v>
      </c>
      <c r="W305" s="55" t="s">
        <v>2140</v>
      </c>
      <c r="X305" s="4"/>
      <c r="Y305" s="4"/>
      <c r="Z305" s="4"/>
    </row>
    <row r="306" customFormat="false" ht="15.75" hidden="false" customHeight="true" outlineLevel="0" collapsed="false">
      <c r="A306" s="55" t="n">
        <v>1842</v>
      </c>
      <c r="B306" s="55" t="s">
        <v>847</v>
      </c>
      <c r="C306" s="55" t="s">
        <v>848</v>
      </c>
      <c r="D306" s="55" t="s">
        <v>2443</v>
      </c>
      <c r="E306" s="55" t="s">
        <v>2444</v>
      </c>
      <c r="F306" s="55" t="s">
        <v>1195</v>
      </c>
      <c r="G306" s="55" t="s">
        <v>1195</v>
      </c>
      <c r="H306" s="55" t="s">
        <v>1196</v>
      </c>
      <c r="I306" s="55" t="s">
        <v>738</v>
      </c>
      <c r="J306" s="55" t="s">
        <v>2445</v>
      </c>
      <c r="K306" s="55" t="s">
        <v>739</v>
      </c>
      <c r="L306" s="55"/>
      <c r="M306" s="55"/>
      <c r="N306" s="55" t="s">
        <v>732</v>
      </c>
      <c r="O306" s="57"/>
      <c r="P306" s="55" t="s">
        <v>1539</v>
      </c>
      <c r="Q306" s="55"/>
      <c r="R306" s="55" t="n">
        <v>0</v>
      </c>
      <c r="S306" s="55" t="n">
        <v>15</v>
      </c>
      <c r="T306" s="55"/>
      <c r="U306" s="55" t="s">
        <v>848</v>
      </c>
      <c r="V306" s="55" t="s">
        <v>1201</v>
      </c>
      <c r="W306" s="55" t="s">
        <v>2140</v>
      </c>
      <c r="X306" s="4"/>
      <c r="Y306" s="4"/>
      <c r="Z306" s="4"/>
    </row>
    <row r="307" customFormat="false" ht="15.75" hidden="false" customHeight="true" outlineLevel="0" collapsed="false">
      <c r="A307" s="55" t="n">
        <v>1843</v>
      </c>
      <c r="B307" s="55" t="s">
        <v>849</v>
      </c>
      <c r="C307" s="55" t="s">
        <v>850</v>
      </c>
      <c r="D307" s="55" t="s">
        <v>2413</v>
      </c>
      <c r="E307" s="55" t="s">
        <v>2414</v>
      </c>
      <c r="F307" s="55" t="s">
        <v>1195</v>
      </c>
      <c r="G307" s="55" t="s">
        <v>1195</v>
      </c>
      <c r="H307" s="55" t="s">
        <v>1196</v>
      </c>
      <c r="I307" s="55" t="s">
        <v>738</v>
      </c>
      <c r="J307" s="55" t="s">
        <v>2415</v>
      </c>
      <c r="K307" s="55" t="s">
        <v>739</v>
      </c>
      <c r="L307" s="55"/>
      <c r="M307" s="55"/>
      <c r="N307" s="55" t="s">
        <v>732</v>
      </c>
      <c r="O307" s="57"/>
      <c r="P307" s="55" t="s">
        <v>1539</v>
      </c>
      <c r="Q307" s="55"/>
      <c r="R307" s="55" t="n">
        <v>0</v>
      </c>
      <c r="S307" s="55" t="n">
        <v>7</v>
      </c>
      <c r="T307" s="55"/>
      <c r="U307" s="55" t="s">
        <v>850</v>
      </c>
      <c r="V307" s="55" t="s">
        <v>1201</v>
      </c>
      <c r="W307" s="55" t="s">
        <v>2140</v>
      </c>
      <c r="X307" s="4"/>
      <c r="Y307" s="4"/>
      <c r="Z307" s="4"/>
    </row>
    <row r="308" customFormat="false" ht="15.75" hidden="false" customHeight="true" outlineLevel="0" collapsed="false">
      <c r="A308" s="55" t="n">
        <v>1844</v>
      </c>
      <c r="B308" s="55" t="s">
        <v>851</v>
      </c>
      <c r="C308" s="55" t="s">
        <v>852</v>
      </c>
      <c r="D308" s="55" t="s">
        <v>2410</v>
      </c>
      <c r="E308" s="55" t="s">
        <v>2411</v>
      </c>
      <c r="F308" s="55" t="s">
        <v>1195</v>
      </c>
      <c r="G308" s="55" t="s">
        <v>1195</v>
      </c>
      <c r="H308" s="55" t="s">
        <v>1196</v>
      </c>
      <c r="I308" s="55" t="s">
        <v>738</v>
      </c>
      <c r="J308" s="55" t="s">
        <v>2412</v>
      </c>
      <c r="K308" s="55" t="s">
        <v>739</v>
      </c>
      <c r="L308" s="55"/>
      <c r="M308" s="55"/>
      <c r="N308" s="55" t="s">
        <v>732</v>
      </c>
      <c r="O308" s="57"/>
      <c r="P308" s="55" t="s">
        <v>1539</v>
      </c>
      <c r="Q308" s="55"/>
      <c r="R308" s="55" t="n">
        <v>0</v>
      </c>
      <c r="S308" s="55" t="n">
        <v>16</v>
      </c>
      <c r="T308" s="55"/>
      <c r="U308" s="55" t="s">
        <v>852</v>
      </c>
      <c r="V308" s="55" t="s">
        <v>1201</v>
      </c>
      <c r="W308" s="55" t="s">
        <v>2140</v>
      </c>
      <c r="X308" s="4"/>
      <c r="Y308" s="4"/>
      <c r="Z308" s="4"/>
    </row>
    <row r="309" customFormat="false" ht="15.75" hidden="false" customHeight="true" outlineLevel="0" collapsed="false">
      <c r="A309" s="55" t="n">
        <v>1845</v>
      </c>
      <c r="B309" s="55" t="s">
        <v>853</v>
      </c>
      <c r="C309" s="55" t="s">
        <v>854</v>
      </c>
      <c r="D309" s="55" t="s">
        <v>2407</v>
      </c>
      <c r="E309" s="55" t="s">
        <v>2408</v>
      </c>
      <c r="F309" s="55" t="s">
        <v>1195</v>
      </c>
      <c r="G309" s="55" t="s">
        <v>1195</v>
      </c>
      <c r="H309" s="55" t="s">
        <v>1196</v>
      </c>
      <c r="I309" s="55" t="s">
        <v>738</v>
      </c>
      <c r="J309" s="55" t="s">
        <v>2409</v>
      </c>
      <c r="K309" s="55" t="s">
        <v>739</v>
      </c>
      <c r="L309" s="55"/>
      <c r="M309" s="55"/>
      <c r="N309" s="55" t="s">
        <v>732</v>
      </c>
      <c r="O309" s="57"/>
      <c r="P309" s="55" t="s">
        <v>1539</v>
      </c>
      <c r="Q309" s="55"/>
      <c r="R309" s="55" t="n">
        <v>0</v>
      </c>
      <c r="S309" s="55" t="n">
        <v>7</v>
      </c>
      <c r="T309" s="55"/>
      <c r="U309" s="55" t="s">
        <v>854</v>
      </c>
      <c r="V309" s="55" t="s">
        <v>1201</v>
      </c>
      <c r="W309" s="55" t="s">
        <v>2140</v>
      </c>
      <c r="X309" s="4"/>
      <c r="Y309" s="4"/>
      <c r="Z309" s="4"/>
    </row>
    <row r="310" customFormat="false" ht="15.75" hidden="false" customHeight="true" outlineLevel="0" collapsed="false">
      <c r="A310" s="55" t="n">
        <v>1846</v>
      </c>
      <c r="B310" s="55" t="s">
        <v>855</v>
      </c>
      <c r="C310" s="55" t="s">
        <v>856</v>
      </c>
      <c r="D310" s="55" t="s">
        <v>2404</v>
      </c>
      <c r="E310" s="55" t="s">
        <v>2405</v>
      </c>
      <c r="F310" s="55" t="s">
        <v>1195</v>
      </c>
      <c r="G310" s="55" t="s">
        <v>1195</v>
      </c>
      <c r="H310" s="55" t="s">
        <v>1196</v>
      </c>
      <c r="I310" s="55" t="s">
        <v>738</v>
      </c>
      <c r="J310" s="55" t="s">
        <v>2406</v>
      </c>
      <c r="K310" s="55" t="s">
        <v>739</v>
      </c>
      <c r="L310" s="55"/>
      <c r="M310" s="55"/>
      <c r="N310" s="55" t="s">
        <v>732</v>
      </c>
      <c r="O310" s="57"/>
      <c r="P310" s="55" t="s">
        <v>1539</v>
      </c>
      <c r="Q310" s="55"/>
      <c r="R310" s="55" t="n">
        <v>0</v>
      </c>
      <c r="S310" s="55" t="n">
        <v>6</v>
      </c>
      <c r="T310" s="55"/>
      <c r="U310" s="55" t="s">
        <v>856</v>
      </c>
      <c r="V310" s="55" t="s">
        <v>1201</v>
      </c>
      <c r="W310" s="55" t="s">
        <v>2140</v>
      </c>
      <c r="X310" s="4"/>
      <c r="Y310" s="4"/>
      <c r="Z310" s="4"/>
    </row>
    <row r="311" customFormat="false" ht="15.75" hidden="false" customHeight="true" outlineLevel="0" collapsed="false">
      <c r="A311" s="55" t="n">
        <v>1847</v>
      </c>
      <c r="B311" s="55" t="s">
        <v>857</v>
      </c>
      <c r="C311" s="55" t="s">
        <v>858</v>
      </c>
      <c r="D311" s="55" t="s">
        <v>2401</v>
      </c>
      <c r="E311" s="55" t="s">
        <v>2402</v>
      </c>
      <c r="F311" s="55" t="s">
        <v>1195</v>
      </c>
      <c r="G311" s="55" t="s">
        <v>1195</v>
      </c>
      <c r="H311" s="55" t="s">
        <v>1196</v>
      </c>
      <c r="I311" s="55" t="s">
        <v>738</v>
      </c>
      <c r="J311" s="55" t="s">
        <v>2403</v>
      </c>
      <c r="K311" s="55" t="s">
        <v>739</v>
      </c>
      <c r="L311" s="55"/>
      <c r="M311" s="55"/>
      <c r="N311" s="55" t="s">
        <v>732</v>
      </c>
      <c r="O311" s="57"/>
      <c r="P311" s="55" t="s">
        <v>1539</v>
      </c>
      <c r="Q311" s="55"/>
      <c r="R311" s="55" t="n">
        <v>0</v>
      </c>
      <c r="S311" s="55" t="n">
        <v>9</v>
      </c>
      <c r="T311" s="55"/>
      <c r="U311" s="55" t="s">
        <v>858</v>
      </c>
      <c r="V311" s="55" t="s">
        <v>1201</v>
      </c>
      <c r="W311" s="55" t="s">
        <v>2140</v>
      </c>
      <c r="X311" s="4"/>
      <c r="Y311" s="4"/>
      <c r="Z311" s="4"/>
    </row>
    <row r="312" customFormat="false" ht="15.75" hidden="false" customHeight="true" outlineLevel="0" collapsed="false">
      <c r="A312" s="55" t="n">
        <v>1848</v>
      </c>
      <c r="B312" s="55" t="s">
        <v>859</v>
      </c>
      <c r="C312" s="55" t="s">
        <v>860</v>
      </c>
      <c r="D312" s="55" t="s">
        <v>2398</v>
      </c>
      <c r="E312" s="55" t="s">
        <v>2399</v>
      </c>
      <c r="F312" s="55" t="s">
        <v>1195</v>
      </c>
      <c r="G312" s="55" t="s">
        <v>1195</v>
      </c>
      <c r="H312" s="55" t="s">
        <v>1196</v>
      </c>
      <c r="I312" s="55" t="s">
        <v>738</v>
      </c>
      <c r="J312" s="55" t="s">
        <v>2400</v>
      </c>
      <c r="K312" s="55" t="s">
        <v>739</v>
      </c>
      <c r="L312" s="55"/>
      <c r="M312" s="55"/>
      <c r="N312" s="55" t="s">
        <v>732</v>
      </c>
      <c r="O312" s="57"/>
      <c r="P312" s="55" t="s">
        <v>1539</v>
      </c>
      <c r="Q312" s="55"/>
      <c r="R312" s="55" t="n">
        <v>0</v>
      </c>
      <c r="S312" s="55" t="n">
        <v>5</v>
      </c>
      <c r="T312" s="55"/>
      <c r="U312" s="55" t="s">
        <v>860</v>
      </c>
      <c r="V312" s="55" t="s">
        <v>1201</v>
      </c>
      <c r="W312" s="55" t="s">
        <v>2140</v>
      </c>
      <c r="X312" s="4"/>
      <c r="Y312" s="4"/>
      <c r="Z312" s="4"/>
    </row>
    <row r="313" customFormat="false" ht="15.75" hidden="false" customHeight="true" outlineLevel="0" collapsed="false">
      <c r="A313" s="55" t="n">
        <v>1849</v>
      </c>
      <c r="B313" s="55" t="s">
        <v>861</v>
      </c>
      <c r="C313" s="55" t="s">
        <v>862</v>
      </c>
      <c r="D313" s="55" t="s">
        <v>2395</v>
      </c>
      <c r="E313" s="55" t="s">
        <v>2396</v>
      </c>
      <c r="F313" s="55" t="s">
        <v>1195</v>
      </c>
      <c r="G313" s="55" t="s">
        <v>1195</v>
      </c>
      <c r="H313" s="55" t="s">
        <v>1196</v>
      </c>
      <c r="I313" s="55" t="s">
        <v>738</v>
      </c>
      <c r="J313" s="55" t="s">
        <v>2397</v>
      </c>
      <c r="K313" s="55" t="s">
        <v>739</v>
      </c>
      <c r="L313" s="55"/>
      <c r="M313" s="55"/>
      <c r="N313" s="55" t="s">
        <v>732</v>
      </c>
      <c r="O313" s="57"/>
      <c r="P313" s="55" t="s">
        <v>1539</v>
      </c>
      <c r="Q313" s="55"/>
      <c r="R313" s="55" t="n">
        <v>0</v>
      </c>
      <c r="S313" s="55" t="n">
        <v>8</v>
      </c>
      <c r="T313" s="55"/>
      <c r="U313" s="55" t="s">
        <v>862</v>
      </c>
      <c r="V313" s="55" t="s">
        <v>1201</v>
      </c>
      <c r="W313" s="55" t="s">
        <v>2140</v>
      </c>
      <c r="X313" s="4"/>
      <c r="Y313" s="4"/>
      <c r="Z313" s="4"/>
    </row>
    <row r="314" customFormat="false" ht="15.75" hidden="false" customHeight="true" outlineLevel="0" collapsed="false">
      <c r="A314" s="55" t="n">
        <v>1850</v>
      </c>
      <c r="B314" s="55" t="s">
        <v>863</v>
      </c>
      <c r="C314" s="55" t="s">
        <v>864</v>
      </c>
      <c r="D314" s="55" t="s">
        <v>2392</v>
      </c>
      <c r="E314" s="55" t="s">
        <v>2393</v>
      </c>
      <c r="F314" s="55" t="s">
        <v>1195</v>
      </c>
      <c r="G314" s="55" t="s">
        <v>1195</v>
      </c>
      <c r="H314" s="55" t="s">
        <v>1196</v>
      </c>
      <c r="I314" s="55" t="s">
        <v>738</v>
      </c>
      <c r="J314" s="55" t="s">
        <v>2394</v>
      </c>
      <c r="K314" s="55" t="s">
        <v>739</v>
      </c>
      <c r="L314" s="55"/>
      <c r="M314" s="55"/>
      <c r="N314" s="55" t="s">
        <v>732</v>
      </c>
      <c r="O314" s="57"/>
      <c r="P314" s="55" t="s">
        <v>1539</v>
      </c>
      <c r="Q314" s="55"/>
      <c r="R314" s="55" t="n">
        <v>0</v>
      </c>
      <c r="S314" s="55" t="n">
        <v>50</v>
      </c>
      <c r="T314" s="55"/>
      <c r="U314" s="55" t="s">
        <v>864</v>
      </c>
      <c r="V314" s="55" t="s">
        <v>1201</v>
      </c>
      <c r="W314" s="55" t="s">
        <v>2140</v>
      </c>
      <c r="X314" s="4"/>
      <c r="Y314" s="4"/>
      <c r="Z314" s="4"/>
    </row>
    <row r="315" customFormat="false" ht="15.75" hidden="false" customHeight="true" outlineLevel="0" collapsed="false">
      <c r="A315" s="55" t="n">
        <v>1851</v>
      </c>
      <c r="B315" s="55" t="s">
        <v>865</v>
      </c>
      <c r="C315" s="55" t="s">
        <v>866</v>
      </c>
      <c r="D315" s="55" t="s">
        <v>2389</v>
      </c>
      <c r="E315" s="55" t="s">
        <v>2390</v>
      </c>
      <c r="F315" s="55" t="s">
        <v>1195</v>
      </c>
      <c r="G315" s="55" t="s">
        <v>1195</v>
      </c>
      <c r="H315" s="55" t="s">
        <v>1196</v>
      </c>
      <c r="I315" s="55" t="s">
        <v>738</v>
      </c>
      <c r="J315" s="55" t="s">
        <v>2391</v>
      </c>
      <c r="K315" s="55" t="s">
        <v>739</v>
      </c>
      <c r="L315" s="55"/>
      <c r="M315" s="55"/>
      <c r="N315" s="55" t="s">
        <v>732</v>
      </c>
      <c r="O315" s="57"/>
      <c r="P315" s="55" t="s">
        <v>1539</v>
      </c>
      <c r="Q315" s="55"/>
      <c r="R315" s="55" t="n">
        <v>0</v>
      </c>
      <c r="S315" s="55" t="n">
        <v>12</v>
      </c>
      <c r="T315" s="55"/>
      <c r="U315" s="55" t="s">
        <v>866</v>
      </c>
      <c r="V315" s="55" t="s">
        <v>1201</v>
      </c>
      <c r="W315" s="55" t="s">
        <v>2140</v>
      </c>
      <c r="X315" s="4"/>
      <c r="Y315" s="4"/>
      <c r="Z315" s="4"/>
    </row>
    <row r="316" customFormat="false" ht="15.75" hidden="false" customHeight="true" outlineLevel="0" collapsed="false">
      <c r="A316" s="55" t="n">
        <v>1852</v>
      </c>
      <c r="B316" s="55" t="s">
        <v>867</v>
      </c>
      <c r="C316" s="55" t="s">
        <v>868</v>
      </c>
      <c r="D316" s="55" t="s">
        <v>2386</v>
      </c>
      <c r="E316" s="55" t="s">
        <v>2387</v>
      </c>
      <c r="F316" s="55" t="s">
        <v>1195</v>
      </c>
      <c r="G316" s="55" t="s">
        <v>1195</v>
      </c>
      <c r="H316" s="55" t="s">
        <v>1196</v>
      </c>
      <c r="I316" s="55" t="s">
        <v>738</v>
      </c>
      <c r="J316" s="55" t="s">
        <v>2388</v>
      </c>
      <c r="K316" s="55" t="s">
        <v>739</v>
      </c>
      <c r="L316" s="55"/>
      <c r="M316" s="55"/>
      <c r="N316" s="55" t="s">
        <v>732</v>
      </c>
      <c r="O316" s="57"/>
      <c r="P316" s="55" t="s">
        <v>1539</v>
      </c>
      <c r="Q316" s="55"/>
      <c r="R316" s="55" t="n">
        <v>0</v>
      </c>
      <c r="S316" s="55" t="n">
        <v>15</v>
      </c>
      <c r="T316" s="55"/>
      <c r="U316" s="55" t="s">
        <v>868</v>
      </c>
      <c r="V316" s="55" t="s">
        <v>1201</v>
      </c>
      <c r="W316" s="55" t="s">
        <v>2140</v>
      </c>
      <c r="X316" s="4"/>
      <c r="Y316" s="4"/>
      <c r="Z316" s="4"/>
    </row>
    <row r="317" customFormat="false" ht="15.75" hidden="false" customHeight="true" outlineLevel="0" collapsed="false">
      <c r="A317" s="55" t="n">
        <v>1853</v>
      </c>
      <c r="B317" s="55" t="s">
        <v>869</v>
      </c>
      <c r="C317" s="55" t="s">
        <v>870</v>
      </c>
      <c r="D317" s="55" t="s">
        <v>2416</v>
      </c>
      <c r="E317" s="55" t="s">
        <v>2417</v>
      </c>
      <c r="F317" s="55" t="s">
        <v>1195</v>
      </c>
      <c r="G317" s="55" t="s">
        <v>1195</v>
      </c>
      <c r="H317" s="55" t="s">
        <v>1196</v>
      </c>
      <c r="I317" s="55" t="s">
        <v>738</v>
      </c>
      <c r="J317" s="55" t="s">
        <v>2418</v>
      </c>
      <c r="K317" s="55" t="s">
        <v>739</v>
      </c>
      <c r="L317" s="55"/>
      <c r="M317" s="55"/>
      <c r="N317" s="55" t="s">
        <v>732</v>
      </c>
      <c r="O317" s="57"/>
      <c r="P317" s="55" t="s">
        <v>1539</v>
      </c>
      <c r="Q317" s="55"/>
      <c r="R317" s="55" t="n">
        <v>0</v>
      </c>
      <c r="S317" s="55" t="n">
        <v>74</v>
      </c>
      <c r="T317" s="55"/>
      <c r="U317" s="55" t="s">
        <v>870</v>
      </c>
      <c r="V317" s="55" t="s">
        <v>1201</v>
      </c>
      <c r="W317" s="55" t="s">
        <v>2140</v>
      </c>
      <c r="X317" s="4"/>
      <c r="Y317" s="4"/>
      <c r="Z317" s="4"/>
    </row>
    <row r="318" customFormat="false" ht="15.75" hidden="false" customHeight="true" outlineLevel="0" collapsed="false">
      <c r="A318" s="55" t="n">
        <v>1854</v>
      </c>
      <c r="B318" s="55" t="s">
        <v>871</v>
      </c>
      <c r="C318" s="55" t="s">
        <v>872</v>
      </c>
      <c r="D318" s="55" t="s">
        <v>2380</v>
      </c>
      <c r="E318" s="55" t="s">
        <v>2381</v>
      </c>
      <c r="F318" s="55" t="s">
        <v>1195</v>
      </c>
      <c r="G318" s="55" t="s">
        <v>1195</v>
      </c>
      <c r="H318" s="55" t="s">
        <v>1196</v>
      </c>
      <c r="I318" s="55" t="s">
        <v>738</v>
      </c>
      <c r="J318" s="55" t="s">
        <v>2382</v>
      </c>
      <c r="K318" s="55" t="s">
        <v>739</v>
      </c>
      <c r="L318" s="55"/>
      <c r="M318" s="55"/>
      <c r="N318" s="55" t="s">
        <v>732</v>
      </c>
      <c r="O318" s="57"/>
      <c r="P318" s="55" t="s">
        <v>1539</v>
      </c>
      <c r="Q318" s="55"/>
      <c r="R318" s="55" t="n">
        <v>0</v>
      </c>
      <c r="S318" s="55" t="n">
        <v>26</v>
      </c>
      <c r="T318" s="55"/>
      <c r="U318" s="55" t="s">
        <v>872</v>
      </c>
      <c r="V318" s="55" t="s">
        <v>1201</v>
      </c>
      <c r="W318" s="55" t="s">
        <v>2140</v>
      </c>
      <c r="X318" s="4"/>
      <c r="Y318" s="4"/>
      <c r="Z318" s="4"/>
    </row>
    <row r="319" customFormat="false" ht="15.75" hidden="false" customHeight="true" outlineLevel="0" collapsed="false">
      <c r="A319" s="55" t="n">
        <v>1855</v>
      </c>
      <c r="B319" s="55" t="s">
        <v>873</v>
      </c>
      <c r="C319" s="55" t="s">
        <v>874</v>
      </c>
      <c r="D319" s="55" t="s">
        <v>2288</v>
      </c>
      <c r="E319" s="55" t="s">
        <v>2289</v>
      </c>
      <c r="F319" s="55" t="s">
        <v>1195</v>
      </c>
      <c r="G319" s="55" t="s">
        <v>1195</v>
      </c>
      <c r="H319" s="55" t="s">
        <v>1196</v>
      </c>
      <c r="I319" s="55" t="s">
        <v>738</v>
      </c>
      <c r="J319" s="55" t="s">
        <v>2290</v>
      </c>
      <c r="K319" s="55" t="s">
        <v>739</v>
      </c>
      <c r="L319" s="55"/>
      <c r="M319" s="55"/>
      <c r="N319" s="55" t="s">
        <v>732</v>
      </c>
      <c r="O319" s="57"/>
      <c r="P319" s="55" t="s">
        <v>1539</v>
      </c>
      <c r="Q319" s="55"/>
      <c r="R319" s="55" t="n">
        <v>0</v>
      </c>
      <c r="S319" s="55" t="n">
        <v>11</v>
      </c>
      <c r="T319" s="55"/>
      <c r="U319" s="55" t="s">
        <v>874</v>
      </c>
      <c r="V319" s="55" t="s">
        <v>1201</v>
      </c>
      <c r="W319" s="55" t="s">
        <v>2140</v>
      </c>
      <c r="X319" s="4"/>
      <c r="Y319" s="4"/>
      <c r="Z319" s="4"/>
    </row>
    <row r="320" customFormat="false" ht="15.75" hidden="false" customHeight="true" outlineLevel="0" collapsed="false">
      <c r="A320" s="55" t="n">
        <v>1856</v>
      </c>
      <c r="B320" s="55" t="s">
        <v>875</v>
      </c>
      <c r="C320" s="55" t="s">
        <v>876</v>
      </c>
      <c r="D320" s="55" t="s">
        <v>2365</v>
      </c>
      <c r="E320" s="55" t="s">
        <v>2366</v>
      </c>
      <c r="F320" s="55" t="s">
        <v>1195</v>
      </c>
      <c r="G320" s="55" t="s">
        <v>1195</v>
      </c>
      <c r="H320" s="55" t="s">
        <v>1196</v>
      </c>
      <c r="I320" s="55" t="s">
        <v>738</v>
      </c>
      <c r="J320" s="55" t="s">
        <v>2367</v>
      </c>
      <c r="K320" s="55" t="s">
        <v>739</v>
      </c>
      <c r="L320" s="55"/>
      <c r="M320" s="55"/>
      <c r="N320" s="55" t="s">
        <v>732</v>
      </c>
      <c r="O320" s="57"/>
      <c r="P320" s="55" t="s">
        <v>1539</v>
      </c>
      <c r="Q320" s="55"/>
      <c r="R320" s="55" t="n">
        <v>0</v>
      </c>
      <c r="S320" s="55" t="n">
        <v>20</v>
      </c>
      <c r="T320" s="55"/>
      <c r="U320" s="55" t="s">
        <v>876</v>
      </c>
      <c r="V320" s="55" t="s">
        <v>1201</v>
      </c>
      <c r="W320" s="55" t="s">
        <v>2140</v>
      </c>
      <c r="X320" s="4"/>
      <c r="Y320" s="4"/>
      <c r="Z320" s="4"/>
    </row>
    <row r="321" customFormat="false" ht="15.75" hidden="false" customHeight="true" outlineLevel="0" collapsed="false">
      <c r="A321" s="55" t="n">
        <v>1857</v>
      </c>
      <c r="B321" s="55"/>
      <c r="C321" s="55" t="s">
        <v>742</v>
      </c>
      <c r="D321" s="55" t="s">
        <v>2046</v>
      </c>
      <c r="E321" s="55" t="s">
        <v>2047</v>
      </c>
      <c r="F321" s="55" t="s">
        <v>1195</v>
      </c>
      <c r="G321" s="55" t="s">
        <v>1195</v>
      </c>
      <c r="H321" s="55" t="s">
        <v>1196</v>
      </c>
      <c r="I321" s="55" t="s">
        <v>738</v>
      </c>
      <c r="J321" s="55" t="s">
        <v>2048</v>
      </c>
      <c r="K321" s="55" t="s">
        <v>739</v>
      </c>
      <c r="L321" s="55"/>
      <c r="M321" s="55"/>
      <c r="N321" s="55" t="s">
        <v>732</v>
      </c>
      <c r="O321" s="57"/>
      <c r="P321" s="55" t="s">
        <v>1539</v>
      </c>
      <c r="Q321" s="55"/>
      <c r="R321" s="55" t="n">
        <v>0</v>
      </c>
      <c r="S321" s="55" t="n">
        <v>61</v>
      </c>
      <c r="T321" s="55"/>
      <c r="U321" s="55" t="s">
        <v>742</v>
      </c>
      <c r="V321" s="55" t="s">
        <v>1201</v>
      </c>
      <c r="W321" s="55" t="s">
        <v>2039</v>
      </c>
      <c r="X321" s="4"/>
      <c r="Y321" s="4"/>
      <c r="Z321" s="4"/>
    </row>
    <row r="322" customFormat="false" ht="15.75" hidden="false" customHeight="true" outlineLevel="0" collapsed="false">
      <c r="A322" s="55" t="n">
        <v>1858</v>
      </c>
      <c r="B322" s="55"/>
      <c r="C322" s="55" t="s">
        <v>761</v>
      </c>
      <c r="D322" s="55" t="s">
        <v>2043</v>
      </c>
      <c r="E322" s="55" t="s">
        <v>2044</v>
      </c>
      <c r="F322" s="55" t="s">
        <v>1195</v>
      </c>
      <c r="G322" s="55" t="s">
        <v>1195</v>
      </c>
      <c r="H322" s="55" t="s">
        <v>1196</v>
      </c>
      <c r="I322" s="55" t="s">
        <v>738</v>
      </c>
      <c r="J322" s="55" t="s">
        <v>2045</v>
      </c>
      <c r="K322" s="55" t="s">
        <v>739</v>
      </c>
      <c r="L322" s="55"/>
      <c r="M322" s="55"/>
      <c r="N322" s="55" t="s">
        <v>732</v>
      </c>
      <c r="O322" s="57"/>
      <c r="P322" s="55" t="s">
        <v>1539</v>
      </c>
      <c r="Q322" s="55"/>
      <c r="R322" s="55" t="n">
        <v>0</v>
      </c>
      <c r="S322" s="55" t="n">
        <v>128</v>
      </c>
      <c r="T322" s="55"/>
      <c r="U322" s="55" t="s">
        <v>761</v>
      </c>
      <c r="V322" s="55" t="s">
        <v>1201</v>
      </c>
      <c r="W322" s="55" t="s">
        <v>2039</v>
      </c>
      <c r="X322" s="4"/>
      <c r="Y322" s="4"/>
      <c r="Z322" s="4"/>
    </row>
    <row r="323" customFormat="false" ht="15.75" hidden="false" customHeight="true" outlineLevel="0" collapsed="false">
      <c r="A323" s="55" t="n">
        <v>1859</v>
      </c>
      <c r="B323" s="55"/>
      <c r="C323" s="55" t="s">
        <v>737</v>
      </c>
      <c r="D323" s="55" t="s">
        <v>2087</v>
      </c>
      <c r="E323" s="55" t="s">
        <v>2088</v>
      </c>
      <c r="F323" s="55" t="s">
        <v>1195</v>
      </c>
      <c r="G323" s="55" t="s">
        <v>1195</v>
      </c>
      <c r="H323" s="55" t="s">
        <v>1196</v>
      </c>
      <c r="I323" s="55" t="s">
        <v>738</v>
      </c>
      <c r="J323" s="55" t="s">
        <v>2089</v>
      </c>
      <c r="K323" s="55" t="s">
        <v>739</v>
      </c>
      <c r="L323" s="55"/>
      <c r="M323" s="55"/>
      <c r="N323" s="55" t="s">
        <v>732</v>
      </c>
      <c r="O323" s="57"/>
      <c r="P323" s="55" t="s">
        <v>1539</v>
      </c>
      <c r="Q323" s="55"/>
      <c r="R323" s="55" t="n">
        <v>0</v>
      </c>
      <c r="S323" s="55" t="n">
        <v>53</v>
      </c>
      <c r="T323" s="55"/>
      <c r="U323" s="55" t="s">
        <v>2090</v>
      </c>
      <c r="V323" s="55" t="s">
        <v>2091</v>
      </c>
      <c r="W323" s="55" t="s">
        <v>2039</v>
      </c>
      <c r="X323" s="4"/>
      <c r="Y323" s="4"/>
      <c r="Z323" s="4"/>
    </row>
    <row r="324" customFormat="false" ht="15.75" hidden="false" customHeight="true" outlineLevel="0" collapsed="false">
      <c r="A324" s="55" t="n">
        <v>1860</v>
      </c>
      <c r="B324" s="55"/>
      <c r="C324" s="55" t="s">
        <v>743</v>
      </c>
      <c r="D324" s="55" t="s">
        <v>2040</v>
      </c>
      <c r="E324" s="55" t="s">
        <v>2041</v>
      </c>
      <c r="F324" s="55" t="s">
        <v>1195</v>
      </c>
      <c r="G324" s="55" t="s">
        <v>1195</v>
      </c>
      <c r="H324" s="55" t="s">
        <v>1196</v>
      </c>
      <c r="I324" s="55" t="s">
        <v>738</v>
      </c>
      <c r="J324" s="55" t="s">
        <v>2042</v>
      </c>
      <c r="K324" s="55" t="s">
        <v>739</v>
      </c>
      <c r="L324" s="55"/>
      <c r="M324" s="55"/>
      <c r="N324" s="55" t="s">
        <v>732</v>
      </c>
      <c r="O324" s="57"/>
      <c r="P324" s="55" t="s">
        <v>1539</v>
      </c>
      <c r="Q324" s="55"/>
      <c r="R324" s="55" t="n">
        <v>0</v>
      </c>
      <c r="S324" s="55" t="n">
        <v>13</v>
      </c>
      <c r="T324" s="55"/>
      <c r="U324" s="55" t="s">
        <v>743</v>
      </c>
      <c r="V324" s="55" t="s">
        <v>1201</v>
      </c>
      <c r="W324" s="55" t="s">
        <v>2039</v>
      </c>
      <c r="X324" s="4"/>
      <c r="Y324" s="4"/>
      <c r="Z324" s="4"/>
    </row>
    <row r="325" customFormat="false" ht="15.75" hidden="false" customHeight="true" outlineLevel="0" collapsed="false">
      <c r="A325" s="55" t="n">
        <v>1861</v>
      </c>
      <c r="B325" s="55"/>
      <c r="C325" s="55" t="s">
        <v>743</v>
      </c>
      <c r="D325" s="55" t="s">
        <v>2063</v>
      </c>
      <c r="E325" s="55" t="s">
        <v>2064</v>
      </c>
      <c r="F325" s="55" t="s">
        <v>1195</v>
      </c>
      <c r="G325" s="55" t="s">
        <v>1195</v>
      </c>
      <c r="H325" s="55" t="s">
        <v>1196</v>
      </c>
      <c r="I325" s="55" t="s">
        <v>738</v>
      </c>
      <c r="J325" s="55" t="s">
        <v>2065</v>
      </c>
      <c r="K325" s="55" t="s">
        <v>739</v>
      </c>
      <c r="L325" s="55"/>
      <c r="M325" s="55"/>
      <c r="N325" s="55" t="s">
        <v>732</v>
      </c>
      <c r="O325" s="57"/>
      <c r="P325" s="55" t="s">
        <v>1539</v>
      </c>
      <c r="Q325" s="55"/>
      <c r="R325" s="55" t="n">
        <v>0</v>
      </c>
      <c r="S325" s="55" t="n">
        <v>11</v>
      </c>
      <c r="T325" s="55"/>
      <c r="U325" s="55" t="s">
        <v>743</v>
      </c>
      <c r="V325" s="55" t="s">
        <v>1201</v>
      </c>
      <c r="W325" s="55" t="s">
        <v>2039</v>
      </c>
      <c r="X325" s="4"/>
      <c r="Y325" s="4"/>
      <c r="Z325" s="4"/>
    </row>
    <row r="326" customFormat="false" ht="15.75" hidden="false" customHeight="true" outlineLevel="0" collapsed="false">
      <c r="A326" s="55" t="n">
        <v>1862</v>
      </c>
      <c r="B326" s="55"/>
      <c r="C326" s="55" t="s">
        <v>744</v>
      </c>
      <c r="D326" s="55" t="s">
        <v>2084</v>
      </c>
      <c r="E326" s="55" t="s">
        <v>2085</v>
      </c>
      <c r="F326" s="55" t="s">
        <v>1195</v>
      </c>
      <c r="G326" s="55" t="s">
        <v>1195</v>
      </c>
      <c r="H326" s="55" t="s">
        <v>1196</v>
      </c>
      <c r="I326" s="55" t="s">
        <v>738</v>
      </c>
      <c r="J326" s="55" t="s">
        <v>2086</v>
      </c>
      <c r="K326" s="55" t="s">
        <v>739</v>
      </c>
      <c r="L326" s="55"/>
      <c r="M326" s="55"/>
      <c r="N326" s="55" t="s">
        <v>732</v>
      </c>
      <c r="O326" s="57"/>
      <c r="P326" s="55" t="s">
        <v>1539</v>
      </c>
      <c r="Q326" s="55"/>
      <c r="R326" s="55" t="n">
        <v>0</v>
      </c>
      <c r="S326" s="55" t="n">
        <v>17</v>
      </c>
      <c r="T326" s="55"/>
      <c r="U326" s="55" t="s">
        <v>744</v>
      </c>
      <c r="V326" s="55" t="s">
        <v>1201</v>
      </c>
      <c r="W326" s="55" t="s">
        <v>2039</v>
      </c>
      <c r="X326" s="4"/>
      <c r="Y326" s="4"/>
      <c r="Z326" s="4"/>
    </row>
    <row r="327" customFormat="false" ht="15.75" hidden="false" customHeight="true" outlineLevel="0" collapsed="false">
      <c r="A327" s="55" t="n">
        <v>1863</v>
      </c>
      <c r="B327" s="55"/>
      <c r="C327" s="55" t="s">
        <v>745</v>
      </c>
      <c r="D327" s="55" t="s">
        <v>2127</v>
      </c>
      <c r="E327" s="55" t="s">
        <v>2128</v>
      </c>
      <c r="F327" s="55" t="s">
        <v>1195</v>
      </c>
      <c r="G327" s="55" t="s">
        <v>1195</v>
      </c>
      <c r="H327" s="55" t="s">
        <v>1196</v>
      </c>
      <c r="I327" s="55" t="s">
        <v>738</v>
      </c>
      <c r="J327" s="55" t="s">
        <v>2129</v>
      </c>
      <c r="K327" s="55" t="s">
        <v>739</v>
      </c>
      <c r="L327" s="55"/>
      <c r="M327" s="55"/>
      <c r="N327" s="55" t="s">
        <v>732</v>
      </c>
      <c r="O327" s="57"/>
      <c r="P327" s="55" t="s">
        <v>1539</v>
      </c>
      <c r="Q327" s="55"/>
      <c r="R327" s="55" t="n">
        <v>0</v>
      </c>
      <c r="S327" s="55" t="n">
        <v>81</v>
      </c>
      <c r="T327" s="55"/>
      <c r="U327" s="55" t="s">
        <v>745</v>
      </c>
      <c r="V327" s="55" t="s">
        <v>1201</v>
      </c>
      <c r="W327" s="55" t="s">
        <v>2039</v>
      </c>
      <c r="X327" s="4"/>
      <c r="Y327" s="4"/>
      <c r="Z327" s="4"/>
    </row>
    <row r="328" customFormat="false" ht="15.75" hidden="false" customHeight="true" outlineLevel="0" collapsed="false">
      <c r="A328" s="55" t="n">
        <v>1864</v>
      </c>
      <c r="B328" s="55"/>
      <c r="C328" s="55" t="s">
        <v>746</v>
      </c>
      <c r="D328" s="55" t="s">
        <v>2092</v>
      </c>
      <c r="E328" s="55" t="s">
        <v>2093</v>
      </c>
      <c r="F328" s="55" t="s">
        <v>1195</v>
      </c>
      <c r="G328" s="55" t="s">
        <v>1195</v>
      </c>
      <c r="H328" s="55" t="s">
        <v>1196</v>
      </c>
      <c r="I328" s="55" t="s">
        <v>738</v>
      </c>
      <c r="J328" s="55" t="s">
        <v>2094</v>
      </c>
      <c r="K328" s="55" t="s">
        <v>739</v>
      </c>
      <c r="L328" s="55"/>
      <c r="M328" s="55"/>
      <c r="N328" s="55" t="s">
        <v>732</v>
      </c>
      <c r="O328" s="57"/>
      <c r="P328" s="55" t="s">
        <v>1539</v>
      </c>
      <c r="Q328" s="55"/>
      <c r="R328" s="55" t="n">
        <v>0</v>
      </c>
      <c r="S328" s="55" t="n">
        <v>32</v>
      </c>
      <c r="T328" s="55"/>
      <c r="U328" s="55" t="s">
        <v>746</v>
      </c>
      <c r="V328" s="55" t="s">
        <v>1201</v>
      </c>
      <c r="W328" s="55" t="s">
        <v>2039</v>
      </c>
      <c r="X328" s="4"/>
      <c r="Y328" s="4"/>
      <c r="Z328" s="4"/>
    </row>
    <row r="329" customFormat="false" ht="15.75" hidden="false" customHeight="true" outlineLevel="0" collapsed="false">
      <c r="A329" s="55" t="n">
        <v>1865</v>
      </c>
      <c r="B329" s="55"/>
      <c r="C329" s="55" t="s">
        <v>746</v>
      </c>
      <c r="D329" s="55" t="s">
        <v>2095</v>
      </c>
      <c r="E329" s="55" t="s">
        <v>2096</v>
      </c>
      <c r="F329" s="55" t="s">
        <v>1195</v>
      </c>
      <c r="G329" s="55" t="s">
        <v>1195</v>
      </c>
      <c r="H329" s="55" t="s">
        <v>1196</v>
      </c>
      <c r="I329" s="55" t="s">
        <v>738</v>
      </c>
      <c r="J329" s="55" t="s">
        <v>2097</v>
      </c>
      <c r="K329" s="55" t="s">
        <v>739</v>
      </c>
      <c r="L329" s="55"/>
      <c r="M329" s="55"/>
      <c r="N329" s="55" t="s">
        <v>732</v>
      </c>
      <c r="O329" s="57"/>
      <c r="P329" s="55" t="s">
        <v>1539</v>
      </c>
      <c r="Q329" s="55"/>
      <c r="R329" s="55" t="n">
        <v>0</v>
      </c>
      <c r="S329" s="55" t="n">
        <v>13</v>
      </c>
      <c r="T329" s="55"/>
      <c r="U329" s="55" t="s">
        <v>746</v>
      </c>
      <c r="V329" s="55" t="s">
        <v>1201</v>
      </c>
      <c r="W329" s="55" t="s">
        <v>2039</v>
      </c>
      <c r="X329" s="4"/>
      <c r="Y329" s="4"/>
      <c r="Z329" s="4"/>
    </row>
    <row r="330" customFormat="false" ht="15.75" hidden="false" customHeight="true" outlineLevel="0" collapsed="false">
      <c r="A330" s="55" t="n">
        <v>1866</v>
      </c>
      <c r="B330" s="55"/>
      <c r="C330" s="55" t="s">
        <v>747</v>
      </c>
      <c r="D330" s="55" t="s">
        <v>2098</v>
      </c>
      <c r="E330" s="55" t="s">
        <v>2099</v>
      </c>
      <c r="F330" s="55" t="s">
        <v>1195</v>
      </c>
      <c r="G330" s="55" t="s">
        <v>1195</v>
      </c>
      <c r="H330" s="55" t="s">
        <v>1196</v>
      </c>
      <c r="I330" s="55" t="s">
        <v>738</v>
      </c>
      <c r="J330" s="55" t="s">
        <v>2100</v>
      </c>
      <c r="K330" s="55" t="s">
        <v>739</v>
      </c>
      <c r="L330" s="55"/>
      <c r="M330" s="55"/>
      <c r="N330" s="55" t="s">
        <v>732</v>
      </c>
      <c r="O330" s="57"/>
      <c r="P330" s="55" t="s">
        <v>1539</v>
      </c>
      <c r="Q330" s="55"/>
      <c r="R330" s="55" t="n">
        <v>0</v>
      </c>
      <c r="S330" s="55" t="n">
        <v>23</v>
      </c>
      <c r="T330" s="55"/>
      <c r="U330" s="55" t="s">
        <v>747</v>
      </c>
      <c r="V330" s="55" t="s">
        <v>1201</v>
      </c>
      <c r="W330" s="55" t="s">
        <v>2039</v>
      </c>
      <c r="X330" s="4"/>
      <c r="Y330" s="4"/>
      <c r="Z330" s="4"/>
    </row>
    <row r="331" customFormat="false" ht="15.75" hidden="false" customHeight="true" outlineLevel="0" collapsed="false">
      <c r="A331" s="55" t="n">
        <v>1867</v>
      </c>
      <c r="B331" s="55"/>
      <c r="C331" s="55" t="s">
        <v>748</v>
      </c>
      <c r="D331" s="55" t="s">
        <v>2101</v>
      </c>
      <c r="E331" s="55" t="s">
        <v>2102</v>
      </c>
      <c r="F331" s="55" t="s">
        <v>1195</v>
      </c>
      <c r="G331" s="55" t="s">
        <v>1195</v>
      </c>
      <c r="H331" s="55" t="s">
        <v>1196</v>
      </c>
      <c r="I331" s="55" t="s">
        <v>738</v>
      </c>
      <c r="J331" s="55" t="s">
        <v>2103</v>
      </c>
      <c r="K331" s="55" t="s">
        <v>739</v>
      </c>
      <c r="L331" s="55"/>
      <c r="M331" s="55"/>
      <c r="N331" s="55" t="s">
        <v>732</v>
      </c>
      <c r="O331" s="57"/>
      <c r="P331" s="55" t="s">
        <v>1539</v>
      </c>
      <c r="Q331" s="55"/>
      <c r="R331" s="55" t="n">
        <v>0</v>
      </c>
      <c r="S331" s="55" t="n">
        <v>19</v>
      </c>
      <c r="T331" s="55"/>
      <c r="U331" s="55" t="s">
        <v>748</v>
      </c>
      <c r="V331" s="55" t="s">
        <v>1201</v>
      </c>
      <c r="W331" s="55" t="s">
        <v>2039</v>
      </c>
      <c r="X331" s="4"/>
      <c r="Y331" s="4"/>
      <c r="Z331" s="4"/>
    </row>
    <row r="332" customFormat="false" ht="15.75" hidden="false" customHeight="true" outlineLevel="0" collapsed="false">
      <c r="A332" s="55" t="n">
        <v>1868</v>
      </c>
      <c r="B332" s="55"/>
      <c r="C332" s="55" t="s">
        <v>748</v>
      </c>
      <c r="D332" s="55" t="s">
        <v>2112</v>
      </c>
      <c r="E332" s="55" t="s">
        <v>2113</v>
      </c>
      <c r="F332" s="55" t="s">
        <v>1195</v>
      </c>
      <c r="G332" s="55" t="s">
        <v>1195</v>
      </c>
      <c r="H332" s="55" t="s">
        <v>1196</v>
      </c>
      <c r="I332" s="55" t="s">
        <v>738</v>
      </c>
      <c r="J332" s="55" t="s">
        <v>2114</v>
      </c>
      <c r="K332" s="55" t="s">
        <v>739</v>
      </c>
      <c r="L332" s="55"/>
      <c r="M332" s="55"/>
      <c r="N332" s="55" t="s">
        <v>732</v>
      </c>
      <c r="O332" s="57"/>
      <c r="P332" s="55" t="s">
        <v>1539</v>
      </c>
      <c r="Q332" s="55"/>
      <c r="R332" s="55" t="n">
        <v>0</v>
      </c>
      <c r="S332" s="55" t="n">
        <v>18</v>
      </c>
      <c r="T332" s="55"/>
      <c r="U332" s="55" t="s">
        <v>748</v>
      </c>
      <c r="V332" s="55" t="s">
        <v>1201</v>
      </c>
      <c r="W332" s="55" t="s">
        <v>2039</v>
      </c>
      <c r="X332" s="4"/>
      <c r="Y332" s="4"/>
      <c r="Z332" s="4"/>
    </row>
    <row r="333" customFormat="false" ht="15.75" hidden="false" customHeight="true" outlineLevel="0" collapsed="false">
      <c r="A333" s="55" t="n">
        <v>1869</v>
      </c>
      <c r="B333" s="55"/>
      <c r="C333" s="55" t="s">
        <v>749</v>
      </c>
      <c r="D333" s="55" t="s">
        <v>2115</v>
      </c>
      <c r="E333" s="55" t="s">
        <v>2116</v>
      </c>
      <c r="F333" s="55" t="s">
        <v>1195</v>
      </c>
      <c r="G333" s="55" t="s">
        <v>1195</v>
      </c>
      <c r="H333" s="55" t="s">
        <v>1196</v>
      </c>
      <c r="I333" s="55" t="s">
        <v>738</v>
      </c>
      <c r="J333" s="55" t="s">
        <v>2117</v>
      </c>
      <c r="K333" s="55" t="s">
        <v>739</v>
      </c>
      <c r="L333" s="55"/>
      <c r="M333" s="55"/>
      <c r="N333" s="55" t="s">
        <v>732</v>
      </c>
      <c r="O333" s="57"/>
      <c r="P333" s="55" t="s">
        <v>1539</v>
      </c>
      <c r="Q333" s="55"/>
      <c r="R333" s="55" t="n">
        <v>0</v>
      </c>
      <c r="S333" s="55" t="n">
        <v>25</v>
      </c>
      <c r="T333" s="55"/>
      <c r="U333" s="55" t="s">
        <v>749</v>
      </c>
      <c r="V333" s="55" t="s">
        <v>1201</v>
      </c>
      <c r="W333" s="55" t="s">
        <v>2039</v>
      </c>
      <c r="X333" s="4"/>
      <c r="Y333" s="4"/>
      <c r="Z333" s="4"/>
    </row>
    <row r="334" customFormat="false" ht="15.75" hidden="false" customHeight="true" outlineLevel="0" collapsed="false">
      <c r="A334" s="55" t="n">
        <v>1870</v>
      </c>
      <c r="B334" s="55"/>
      <c r="C334" s="55" t="s">
        <v>750</v>
      </c>
      <c r="D334" s="55" t="s">
        <v>2118</v>
      </c>
      <c r="E334" s="55" t="s">
        <v>2119</v>
      </c>
      <c r="F334" s="55" t="s">
        <v>1195</v>
      </c>
      <c r="G334" s="55" t="s">
        <v>1195</v>
      </c>
      <c r="H334" s="55" t="s">
        <v>1196</v>
      </c>
      <c r="I334" s="55" t="s">
        <v>738</v>
      </c>
      <c r="J334" s="55" t="s">
        <v>2120</v>
      </c>
      <c r="K334" s="55" t="s">
        <v>739</v>
      </c>
      <c r="L334" s="55"/>
      <c r="M334" s="55"/>
      <c r="N334" s="55" t="s">
        <v>732</v>
      </c>
      <c r="O334" s="57"/>
      <c r="P334" s="55" t="s">
        <v>1539</v>
      </c>
      <c r="Q334" s="55"/>
      <c r="R334" s="55" t="n">
        <v>0</v>
      </c>
      <c r="S334" s="55" t="n">
        <v>34</v>
      </c>
      <c r="T334" s="55"/>
      <c r="U334" s="55" t="s">
        <v>750</v>
      </c>
      <c r="V334" s="55" t="s">
        <v>1201</v>
      </c>
      <c r="W334" s="55" t="s">
        <v>2039</v>
      </c>
      <c r="X334" s="4"/>
      <c r="Y334" s="4"/>
      <c r="Z334" s="4"/>
    </row>
    <row r="335" customFormat="false" ht="15.75" hidden="false" customHeight="true" outlineLevel="0" collapsed="false">
      <c r="A335" s="55" t="n">
        <v>1871</v>
      </c>
      <c r="B335" s="55"/>
      <c r="C335" s="55" t="s">
        <v>751</v>
      </c>
      <c r="D335" s="55" t="s">
        <v>2121</v>
      </c>
      <c r="E335" s="55" t="s">
        <v>2122</v>
      </c>
      <c r="F335" s="55" t="s">
        <v>1195</v>
      </c>
      <c r="G335" s="55" t="s">
        <v>1195</v>
      </c>
      <c r="H335" s="55" t="s">
        <v>1196</v>
      </c>
      <c r="I335" s="55" t="s">
        <v>738</v>
      </c>
      <c r="J335" s="55" t="s">
        <v>2123</v>
      </c>
      <c r="K335" s="55" t="s">
        <v>739</v>
      </c>
      <c r="L335" s="55"/>
      <c r="M335" s="55"/>
      <c r="N335" s="55" t="s">
        <v>732</v>
      </c>
      <c r="O335" s="57"/>
      <c r="P335" s="55" t="s">
        <v>1539</v>
      </c>
      <c r="Q335" s="55"/>
      <c r="R335" s="55" t="n">
        <v>0</v>
      </c>
      <c r="S335" s="55" t="n">
        <v>17</v>
      </c>
      <c r="T335" s="55"/>
      <c r="U335" s="55" t="s">
        <v>751</v>
      </c>
      <c r="V335" s="55" t="s">
        <v>1201</v>
      </c>
      <c r="W335" s="55" t="s">
        <v>2039</v>
      </c>
      <c r="X335" s="4"/>
      <c r="Y335" s="4"/>
      <c r="Z335" s="4"/>
    </row>
    <row r="336" customFormat="false" ht="15.75" hidden="false" customHeight="true" outlineLevel="0" collapsed="false">
      <c r="A336" s="55" t="n">
        <v>1872</v>
      </c>
      <c r="B336" s="55"/>
      <c r="C336" s="55" t="s">
        <v>752</v>
      </c>
      <c r="D336" s="55" t="s">
        <v>2124</v>
      </c>
      <c r="E336" s="55" t="s">
        <v>2125</v>
      </c>
      <c r="F336" s="55" t="s">
        <v>1195</v>
      </c>
      <c r="G336" s="55" t="s">
        <v>1195</v>
      </c>
      <c r="H336" s="55" t="s">
        <v>1196</v>
      </c>
      <c r="I336" s="55" t="s">
        <v>738</v>
      </c>
      <c r="J336" s="55" t="s">
        <v>2126</v>
      </c>
      <c r="K336" s="55" t="s">
        <v>739</v>
      </c>
      <c r="L336" s="55"/>
      <c r="M336" s="55"/>
      <c r="N336" s="55" t="s">
        <v>732</v>
      </c>
      <c r="O336" s="57"/>
      <c r="P336" s="55" t="s">
        <v>1539</v>
      </c>
      <c r="Q336" s="55"/>
      <c r="R336" s="55" t="n">
        <v>0</v>
      </c>
      <c r="S336" s="55" t="n">
        <v>13</v>
      </c>
      <c r="T336" s="55"/>
      <c r="U336" s="55" t="s">
        <v>752</v>
      </c>
      <c r="V336" s="55" t="s">
        <v>1201</v>
      </c>
      <c r="W336" s="55" t="s">
        <v>2039</v>
      </c>
      <c r="X336" s="4"/>
      <c r="Y336" s="4"/>
      <c r="Z336" s="4"/>
    </row>
    <row r="337" customFormat="false" ht="15.75" hidden="false" customHeight="true" outlineLevel="0" collapsed="false">
      <c r="A337" s="55" t="n">
        <v>1873</v>
      </c>
      <c r="B337" s="55"/>
      <c r="C337" s="55" t="s">
        <v>762</v>
      </c>
      <c r="D337" s="55" t="s">
        <v>2075</v>
      </c>
      <c r="E337" s="55" t="s">
        <v>2076</v>
      </c>
      <c r="F337" s="55" t="s">
        <v>1195</v>
      </c>
      <c r="G337" s="55" t="s">
        <v>1195</v>
      </c>
      <c r="H337" s="55" t="s">
        <v>1196</v>
      </c>
      <c r="I337" s="55" t="s">
        <v>738</v>
      </c>
      <c r="J337" s="55" t="s">
        <v>2077</v>
      </c>
      <c r="K337" s="55" t="s">
        <v>739</v>
      </c>
      <c r="L337" s="55"/>
      <c r="M337" s="55"/>
      <c r="N337" s="55" t="s">
        <v>732</v>
      </c>
      <c r="O337" s="57"/>
      <c r="P337" s="55" t="s">
        <v>1539</v>
      </c>
      <c r="Q337" s="55"/>
      <c r="R337" s="55" t="n">
        <v>0</v>
      </c>
      <c r="S337" s="55" t="n">
        <v>19</v>
      </c>
      <c r="T337" s="55"/>
      <c r="U337" s="55" t="s">
        <v>2078</v>
      </c>
      <c r="V337" s="55" t="s">
        <v>2079</v>
      </c>
      <c r="W337" s="55" t="s">
        <v>2039</v>
      </c>
      <c r="X337" s="4"/>
      <c r="Y337" s="4"/>
      <c r="Z337" s="4"/>
    </row>
    <row r="338" customFormat="false" ht="15.75" hidden="false" customHeight="true" outlineLevel="0" collapsed="false">
      <c r="A338" s="55" t="n">
        <v>1874</v>
      </c>
      <c r="B338" s="55"/>
      <c r="C338" s="55" t="s">
        <v>753</v>
      </c>
      <c r="D338" s="55" t="s">
        <v>2036</v>
      </c>
      <c r="E338" s="55" t="s">
        <v>2037</v>
      </c>
      <c r="F338" s="55" t="s">
        <v>1195</v>
      </c>
      <c r="G338" s="55" t="s">
        <v>1195</v>
      </c>
      <c r="H338" s="55" t="s">
        <v>1196</v>
      </c>
      <c r="I338" s="55" t="s">
        <v>738</v>
      </c>
      <c r="J338" s="55" t="s">
        <v>2038</v>
      </c>
      <c r="K338" s="55" t="s">
        <v>739</v>
      </c>
      <c r="L338" s="55"/>
      <c r="M338" s="55"/>
      <c r="N338" s="55" t="s">
        <v>732</v>
      </c>
      <c r="O338" s="57"/>
      <c r="P338" s="55" t="s">
        <v>1539</v>
      </c>
      <c r="Q338" s="55"/>
      <c r="R338" s="55" t="n">
        <v>0</v>
      </c>
      <c r="S338" s="55" t="n">
        <v>23</v>
      </c>
      <c r="T338" s="55"/>
      <c r="U338" s="55" t="s">
        <v>753</v>
      </c>
      <c r="V338" s="55" t="s">
        <v>1201</v>
      </c>
      <c r="W338" s="55" t="s">
        <v>2039</v>
      </c>
      <c r="X338" s="4"/>
      <c r="Y338" s="4"/>
      <c r="Z338" s="4"/>
    </row>
    <row r="339" customFormat="false" ht="15.75" hidden="false" customHeight="true" outlineLevel="0" collapsed="false">
      <c r="A339" s="55" t="n">
        <v>1875</v>
      </c>
      <c r="B339" s="55"/>
      <c r="C339" s="55" t="s">
        <v>753</v>
      </c>
      <c r="D339" s="55" t="s">
        <v>2049</v>
      </c>
      <c r="E339" s="55" t="s">
        <v>2050</v>
      </c>
      <c r="F339" s="55" t="s">
        <v>1195</v>
      </c>
      <c r="G339" s="55" t="s">
        <v>1195</v>
      </c>
      <c r="H339" s="55" t="s">
        <v>1196</v>
      </c>
      <c r="I339" s="55" t="s">
        <v>738</v>
      </c>
      <c r="J339" s="55" t="s">
        <v>2051</v>
      </c>
      <c r="K339" s="55" t="s">
        <v>739</v>
      </c>
      <c r="L339" s="55"/>
      <c r="M339" s="55"/>
      <c r="N339" s="55" t="s">
        <v>732</v>
      </c>
      <c r="O339" s="57"/>
      <c r="P339" s="55" t="s">
        <v>1539</v>
      </c>
      <c r="Q339" s="55"/>
      <c r="R339" s="55" t="n">
        <v>0</v>
      </c>
      <c r="S339" s="55" t="n">
        <v>32</v>
      </c>
      <c r="T339" s="55"/>
      <c r="U339" s="55" t="s">
        <v>753</v>
      </c>
      <c r="V339" s="55" t="s">
        <v>1201</v>
      </c>
      <c r="W339" s="55" t="s">
        <v>2039</v>
      </c>
      <c r="X339" s="4"/>
      <c r="Y339" s="4"/>
      <c r="Z339" s="4"/>
    </row>
    <row r="340" customFormat="false" ht="15.75" hidden="false" customHeight="true" outlineLevel="0" collapsed="false">
      <c r="A340" s="55" t="n">
        <v>1876</v>
      </c>
      <c r="B340" s="55"/>
      <c r="C340" s="55" t="s">
        <v>741</v>
      </c>
      <c r="D340" s="55" t="s">
        <v>2052</v>
      </c>
      <c r="E340" s="55" t="s">
        <v>2053</v>
      </c>
      <c r="F340" s="55" t="s">
        <v>1195</v>
      </c>
      <c r="G340" s="55" t="s">
        <v>1195</v>
      </c>
      <c r="H340" s="55" t="s">
        <v>1196</v>
      </c>
      <c r="I340" s="55" t="s">
        <v>738</v>
      </c>
      <c r="J340" s="55" t="s">
        <v>2054</v>
      </c>
      <c r="K340" s="55" t="s">
        <v>739</v>
      </c>
      <c r="L340" s="55"/>
      <c r="M340" s="55"/>
      <c r="N340" s="55" t="s">
        <v>732</v>
      </c>
      <c r="O340" s="57"/>
      <c r="P340" s="55" t="s">
        <v>1539</v>
      </c>
      <c r="Q340" s="55"/>
      <c r="R340" s="55" t="n">
        <v>0</v>
      </c>
      <c r="S340" s="55" t="n">
        <v>16</v>
      </c>
      <c r="T340" s="55"/>
      <c r="U340" s="55" t="s">
        <v>2055</v>
      </c>
      <c r="V340" s="55" t="s">
        <v>2056</v>
      </c>
      <c r="W340" s="55" t="s">
        <v>2039</v>
      </c>
      <c r="X340" s="4"/>
      <c r="Y340" s="4"/>
      <c r="Z340" s="4"/>
    </row>
    <row r="341" customFormat="false" ht="15.75" hidden="false" customHeight="true" outlineLevel="0" collapsed="false">
      <c r="A341" s="55" t="n">
        <v>1877</v>
      </c>
      <c r="B341" s="55"/>
      <c r="C341" s="55" t="s">
        <v>754</v>
      </c>
      <c r="D341" s="55" t="s">
        <v>2057</v>
      </c>
      <c r="E341" s="55" t="s">
        <v>2058</v>
      </c>
      <c r="F341" s="55" t="s">
        <v>1195</v>
      </c>
      <c r="G341" s="55" t="s">
        <v>1195</v>
      </c>
      <c r="H341" s="55" t="s">
        <v>1196</v>
      </c>
      <c r="I341" s="55" t="s">
        <v>738</v>
      </c>
      <c r="J341" s="55" t="s">
        <v>2059</v>
      </c>
      <c r="K341" s="55" t="s">
        <v>739</v>
      </c>
      <c r="L341" s="55"/>
      <c r="M341" s="55"/>
      <c r="N341" s="55" t="s">
        <v>732</v>
      </c>
      <c r="O341" s="57"/>
      <c r="P341" s="55" t="s">
        <v>1539</v>
      </c>
      <c r="Q341" s="55"/>
      <c r="R341" s="55" t="n">
        <v>0</v>
      </c>
      <c r="S341" s="55" t="n">
        <v>11</v>
      </c>
      <c r="T341" s="55"/>
      <c r="U341" s="55" t="s">
        <v>754</v>
      </c>
      <c r="V341" s="55" t="s">
        <v>1201</v>
      </c>
      <c r="W341" s="55" t="s">
        <v>2039</v>
      </c>
      <c r="X341" s="4"/>
      <c r="Y341" s="4"/>
      <c r="Z341" s="4"/>
    </row>
    <row r="342" customFormat="false" ht="15.75" hidden="false" customHeight="true" outlineLevel="0" collapsed="false">
      <c r="A342" s="55" t="n">
        <v>1878</v>
      </c>
      <c r="B342" s="55"/>
      <c r="C342" s="55" t="s">
        <v>755</v>
      </c>
      <c r="D342" s="55" t="s">
        <v>2080</v>
      </c>
      <c r="E342" s="55" t="s">
        <v>2081</v>
      </c>
      <c r="F342" s="55" t="s">
        <v>1195</v>
      </c>
      <c r="G342" s="55" t="s">
        <v>1195</v>
      </c>
      <c r="H342" s="55" t="s">
        <v>1196</v>
      </c>
      <c r="I342" s="55" t="s">
        <v>738</v>
      </c>
      <c r="J342" s="55" t="s">
        <v>2082</v>
      </c>
      <c r="K342" s="55" t="s">
        <v>739</v>
      </c>
      <c r="L342" s="55"/>
      <c r="M342" s="55"/>
      <c r="N342" s="55" t="s">
        <v>732</v>
      </c>
      <c r="O342" s="57"/>
      <c r="P342" s="55" t="s">
        <v>1539</v>
      </c>
      <c r="Q342" s="55"/>
      <c r="R342" s="55" t="n">
        <v>0</v>
      </c>
      <c r="S342" s="55" t="n">
        <v>8</v>
      </c>
      <c r="T342" s="55"/>
      <c r="U342" s="55" t="s">
        <v>755</v>
      </c>
      <c r="V342" s="55" t="s">
        <v>2083</v>
      </c>
      <c r="W342" s="55" t="s">
        <v>2039</v>
      </c>
      <c r="X342" s="4"/>
      <c r="Y342" s="4"/>
      <c r="Z342" s="4"/>
    </row>
    <row r="343" customFormat="false" ht="15.75" hidden="false" customHeight="true" outlineLevel="0" collapsed="false">
      <c r="A343" s="55" t="n">
        <v>1879</v>
      </c>
      <c r="B343" s="55"/>
      <c r="C343" s="55" t="s">
        <v>756</v>
      </c>
      <c r="D343" s="55" t="s">
        <v>2060</v>
      </c>
      <c r="E343" s="55" t="s">
        <v>2061</v>
      </c>
      <c r="F343" s="55" t="s">
        <v>1195</v>
      </c>
      <c r="G343" s="55" t="s">
        <v>1195</v>
      </c>
      <c r="H343" s="55" t="s">
        <v>1196</v>
      </c>
      <c r="I343" s="55" t="s">
        <v>738</v>
      </c>
      <c r="J343" s="55" t="s">
        <v>2062</v>
      </c>
      <c r="K343" s="55" t="s">
        <v>739</v>
      </c>
      <c r="L343" s="55"/>
      <c r="M343" s="55"/>
      <c r="N343" s="55" t="s">
        <v>732</v>
      </c>
      <c r="O343" s="57"/>
      <c r="P343" s="55" t="s">
        <v>1539</v>
      </c>
      <c r="Q343" s="55"/>
      <c r="R343" s="55" t="n">
        <v>0</v>
      </c>
      <c r="S343" s="55" t="n">
        <v>9</v>
      </c>
      <c r="T343" s="55"/>
      <c r="U343" s="55" t="s">
        <v>756</v>
      </c>
      <c r="V343" s="55" t="s">
        <v>1201</v>
      </c>
      <c r="W343" s="55" t="s">
        <v>2039</v>
      </c>
      <c r="X343" s="4"/>
      <c r="Y343" s="4"/>
      <c r="Z343" s="4"/>
    </row>
    <row r="344" customFormat="false" ht="15.75" hidden="false" customHeight="true" outlineLevel="0" collapsed="false">
      <c r="A344" s="55" t="n">
        <v>1880</v>
      </c>
      <c r="B344" s="55"/>
      <c r="C344" s="55" t="s">
        <v>757</v>
      </c>
      <c r="D344" s="55" t="s">
        <v>2066</v>
      </c>
      <c r="E344" s="55" t="s">
        <v>2067</v>
      </c>
      <c r="F344" s="55" t="s">
        <v>1195</v>
      </c>
      <c r="G344" s="55" t="s">
        <v>1195</v>
      </c>
      <c r="H344" s="55" t="s">
        <v>1196</v>
      </c>
      <c r="I344" s="55" t="s">
        <v>738</v>
      </c>
      <c r="J344" s="55" t="s">
        <v>2068</v>
      </c>
      <c r="K344" s="55" t="s">
        <v>739</v>
      </c>
      <c r="L344" s="55"/>
      <c r="M344" s="55"/>
      <c r="N344" s="55" t="s">
        <v>732</v>
      </c>
      <c r="O344" s="57"/>
      <c r="P344" s="55" t="s">
        <v>1539</v>
      </c>
      <c r="Q344" s="55"/>
      <c r="R344" s="55" t="n">
        <v>0</v>
      </c>
      <c r="S344" s="55" t="n">
        <v>105</v>
      </c>
      <c r="T344" s="55"/>
      <c r="U344" s="55" t="s">
        <v>757</v>
      </c>
      <c r="V344" s="55" t="s">
        <v>1201</v>
      </c>
      <c r="W344" s="55" t="s">
        <v>2039</v>
      </c>
      <c r="X344" s="4"/>
      <c r="Y344" s="4"/>
      <c r="Z344" s="4"/>
    </row>
    <row r="345" customFormat="false" ht="15.75" hidden="false" customHeight="true" outlineLevel="0" collapsed="false">
      <c r="A345" s="55" t="n">
        <v>1883</v>
      </c>
      <c r="B345" s="55"/>
      <c r="C345" s="55" t="s">
        <v>758</v>
      </c>
      <c r="D345" s="55" t="s">
        <v>2069</v>
      </c>
      <c r="E345" s="55" t="s">
        <v>2070</v>
      </c>
      <c r="F345" s="55" t="s">
        <v>1195</v>
      </c>
      <c r="G345" s="55" t="s">
        <v>1195</v>
      </c>
      <c r="H345" s="55" t="s">
        <v>1196</v>
      </c>
      <c r="I345" s="55" t="s">
        <v>738</v>
      </c>
      <c r="J345" s="55" t="s">
        <v>2071</v>
      </c>
      <c r="K345" s="55" t="s">
        <v>739</v>
      </c>
      <c r="L345" s="55"/>
      <c r="M345" s="55"/>
      <c r="N345" s="55" t="s">
        <v>732</v>
      </c>
      <c r="O345" s="57"/>
      <c r="P345" s="55" t="s">
        <v>1539</v>
      </c>
      <c r="Q345" s="55"/>
      <c r="R345" s="55" t="n">
        <v>0</v>
      </c>
      <c r="S345" s="55" t="n">
        <v>28</v>
      </c>
      <c r="T345" s="55"/>
      <c r="U345" s="55" t="s">
        <v>758</v>
      </c>
      <c r="V345" s="55" t="s">
        <v>1201</v>
      </c>
      <c r="W345" s="55" t="s">
        <v>2039</v>
      </c>
      <c r="X345" s="4"/>
      <c r="Y345" s="4"/>
      <c r="Z345" s="4"/>
    </row>
    <row r="346" customFormat="false" ht="15.75" hidden="false" customHeight="true" outlineLevel="0" collapsed="false">
      <c r="A346" s="55" t="n">
        <v>1884</v>
      </c>
      <c r="B346" s="55"/>
      <c r="C346" s="55" t="s">
        <v>759</v>
      </c>
      <c r="D346" s="55" t="s">
        <v>2034</v>
      </c>
      <c r="E346" s="55"/>
      <c r="F346" s="55" t="s">
        <v>1194</v>
      </c>
      <c r="G346" s="55" t="s">
        <v>1194</v>
      </c>
      <c r="H346" s="55" t="s">
        <v>1196</v>
      </c>
      <c r="I346" s="55" t="s">
        <v>738</v>
      </c>
      <c r="J346" s="55" t="s">
        <v>2035</v>
      </c>
      <c r="K346" s="55" t="s">
        <v>739</v>
      </c>
      <c r="L346" s="55"/>
      <c r="M346" s="55"/>
      <c r="N346" s="55" t="s">
        <v>732</v>
      </c>
      <c r="O346" s="57"/>
      <c r="P346" s="55" t="s">
        <v>1539</v>
      </c>
      <c r="Q346" s="55"/>
      <c r="R346" s="55" t="n">
        <v>0</v>
      </c>
      <c r="S346" s="55" t="n">
        <v>75</v>
      </c>
      <c r="T346" s="55"/>
      <c r="U346" s="55"/>
      <c r="V346" s="55"/>
      <c r="W346" s="58" t="s">
        <v>2033</v>
      </c>
      <c r="X346" s="4"/>
      <c r="Y346" s="4"/>
      <c r="Z346" s="4"/>
    </row>
    <row r="347" customFormat="false" ht="15.75" hidden="false" customHeight="true" outlineLevel="0" collapsed="false">
      <c r="A347" s="55" t="n">
        <v>1885</v>
      </c>
      <c r="B347" s="55"/>
      <c r="C347" s="55" t="s">
        <v>760</v>
      </c>
      <c r="D347" s="55" t="s">
        <v>2072</v>
      </c>
      <c r="E347" s="55" t="s">
        <v>2073</v>
      </c>
      <c r="F347" s="55" t="s">
        <v>1195</v>
      </c>
      <c r="G347" s="55" t="s">
        <v>1195</v>
      </c>
      <c r="H347" s="55" t="s">
        <v>1196</v>
      </c>
      <c r="I347" s="55" t="s">
        <v>738</v>
      </c>
      <c r="J347" s="55" t="s">
        <v>2074</v>
      </c>
      <c r="K347" s="55" t="s">
        <v>739</v>
      </c>
      <c r="L347" s="55"/>
      <c r="M347" s="55"/>
      <c r="N347" s="55" t="s">
        <v>732</v>
      </c>
      <c r="O347" s="57"/>
      <c r="P347" s="55" t="s">
        <v>1539</v>
      </c>
      <c r="Q347" s="55"/>
      <c r="R347" s="55" t="n">
        <v>0</v>
      </c>
      <c r="S347" s="55" t="n">
        <v>27</v>
      </c>
      <c r="T347" s="55"/>
      <c r="U347" s="55" t="s">
        <v>760</v>
      </c>
      <c r="V347" s="55" t="s">
        <v>1201</v>
      </c>
      <c r="W347" s="55" t="s">
        <v>2039</v>
      </c>
      <c r="X347" s="4"/>
      <c r="Y347" s="4"/>
      <c r="Z347" s="4"/>
    </row>
    <row r="348" customFormat="false" ht="15.75" hidden="false" customHeight="true" outlineLevel="0" collapsed="false">
      <c r="A348" s="55" t="n">
        <v>1886</v>
      </c>
      <c r="B348" s="55" t="s">
        <v>936</v>
      </c>
      <c r="C348" s="55" t="s">
        <v>937</v>
      </c>
      <c r="D348" s="55" t="s">
        <v>2137</v>
      </c>
      <c r="E348" s="55" t="s">
        <v>2138</v>
      </c>
      <c r="F348" s="55" t="s">
        <v>1195</v>
      </c>
      <c r="G348" s="55" t="s">
        <v>1195</v>
      </c>
      <c r="H348" s="55" t="s">
        <v>1196</v>
      </c>
      <c r="I348" s="55" t="s">
        <v>934</v>
      </c>
      <c r="J348" s="55" t="s">
        <v>2139</v>
      </c>
      <c r="K348" s="55" t="s">
        <v>889</v>
      </c>
      <c r="L348" s="55"/>
      <c r="M348" s="55"/>
      <c r="N348" s="55" t="s">
        <v>732</v>
      </c>
      <c r="O348" s="57"/>
      <c r="P348" s="55" t="s">
        <v>1539</v>
      </c>
      <c r="Q348" s="55"/>
      <c r="R348" s="55" t="n">
        <v>0</v>
      </c>
      <c r="S348" s="55" t="n">
        <v>118</v>
      </c>
      <c r="T348" s="55"/>
      <c r="U348" s="55" t="s">
        <v>937</v>
      </c>
      <c r="V348" s="55" t="s">
        <v>1201</v>
      </c>
      <c r="W348" s="55" t="s">
        <v>2140</v>
      </c>
      <c r="X348" s="4"/>
      <c r="Y348" s="4"/>
      <c r="Z348" s="4"/>
    </row>
    <row r="349" customFormat="false" ht="15.75" hidden="false" customHeight="true" outlineLevel="0" collapsed="false">
      <c r="A349" s="55" t="n">
        <v>1887</v>
      </c>
      <c r="B349" s="55" t="s">
        <v>938</v>
      </c>
      <c r="C349" s="55" t="s">
        <v>939</v>
      </c>
      <c r="D349" s="55" t="s">
        <v>2141</v>
      </c>
      <c r="E349" s="55" t="s">
        <v>2142</v>
      </c>
      <c r="F349" s="55" t="s">
        <v>1195</v>
      </c>
      <c r="G349" s="55" t="s">
        <v>1195</v>
      </c>
      <c r="H349" s="55" t="s">
        <v>1196</v>
      </c>
      <c r="I349" s="55" t="s">
        <v>934</v>
      </c>
      <c r="J349" s="55" t="s">
        <v>2143</v>
      </c>
      <c r="K349" s="55" t="s">
        <v>889</v>
      </c>
      <c r="L349" s="55"/>
      <c r="M349" s="55"/>
      <c r="N349" s="55" t="s">
        <v>732</v>
      </c>
      <c r="O349" s="57"/>
      <c r="P349" s="55" t="s">
        <v>1539</v>
      </c>
      <c r="Q349" s="55"/>
      <c r="R349" s="55" t="n">
        <v>0</v>
      </c>
      <c r="S349" s="55" t="n">
        <v>19</v>
      </c>
      <c r="T349" s="55"/>
      <c r="U349" s="55" t="s">
        <v>939</v>
      </c>
      <c r="V349" s="55" t="s">
        <v>1201</v>
      </c>
      <c r="W349" s="55" t="s">
        <v>2140</v>
      </c>
      <c r="X349" s="4"/>
      <c r="Y349" s="4"/>
      <c r="Z349" s="4"/>
    </row>
    <row r="350" customFormat="false" ht="15.75" hidden="false" customHeight="true" outlineLevel="0" collapsed="false">
      <c r="A350" s="55" t="n">
        <v>1888</v>
      </c>
      <c r="B350" s="55" t="s">
        <v>940</v>
      </c>
      <c r="C350" s="55" t="s">
        <v>941</v>
      </c>
      <c r="D350" s="55" t="s">
        <v>2144</v>
      </c>
      <c r="E350" s="55" t="s">
        <v>2145</v>
      </c>
      <c r="F350" s="55" t="s">
        <v>1195</v>
      </c>
      <c r="G350" s="55" t="s">
        <v>1195</v>
      </c>
      <c r="H350" s="55" t="s">
        <v>1196</v>
      </c>
      <c r="I350" s="55" t="s">
        <v>934</v>
      </c>
      <c r="J350" s="55" t="s">
        <v>2146</v>
      </c>
      <c r="K350" s="55" t="s">
        <v>889</v>
      </c>
      <c r="L350" s="55"/>
      <c r="M350" s="55"/>
      <c r="N350" s="55" t="s">
        <v>732</v>
      </c>
      <c r="O350" s="57"/>
      <c r="P350" s="55" t="s">
        <v>1539</v>
      </c>
      <c r="Q350" s="55"/>
      <c r="R350" s="55" t="n">
        <v>0</v>
      </c>
      <c r="S350" s="55" t="n">
        <v>16</v>
      </c>
      <c r="T350" s="55"/>
      <c r="U350" s="55" t="s">
        <v>941</v>
      </c>
      <c r="V350" s="55" t="s">
        <v>1201</v>
      </c>
      <c r="W350" s="55" t="s">
        <v>2140</v>
      </c>
      <c r="X350" s="4"/>
      <c r="Y350" s="4"/>
      <c r="Z350" s="4"/>
    </row>
    <row r="351" customFormat="false" ht="15.75" hidden="false" customHeight="true" outlineLevel="0" collapsed="false">
      <c r="A351" s="55" t="n">
        <v>1889</v>
      </c>
      <c r="B351" s="55" t="s">
        <v>942</v>
      </c>
      <c r="C351" s="55" t="s">
        <v>943</v>
      </c>
      <c r="D351" s="55" t="s">
        <v>2147</v>
      </c>
      <c r="E351" s="55" t="s">
        <v>2148</v>
      </c>
      <c r="F351" s="55" t="s">
        <v>1195</v>
      </c>
      <c r="G351" s="55" t="s">
        <v>1195</v>
      </c>
      <c r="H351" s="55" t="s">
        <v>1196</v>
      </c>
      <c r="I351" s="55" t="s">
        <v>934</v>
      </c>
      <c r="J351" s="55" t="s">
        <v>2149</v>
      </c>
      <c r="K351" s="55" t="s">
        <v>889</v>
      </c>
      <c r="L351" s="55"/>
      <c r="M351" s="55"/>
      <c r="N351" s="55" t="s">
        <v>732</v>
      </c>
      <c r="O351" s="57"/>
      <c r="P351" s="55" t="s">
        <v>1539</v>
      </c>
      <c r="Q351" s="55"/>
      <c r="R351" s="55" t="n">
        <v>0</v>
      </c>
      <c r="S351" s="55" t="n">
        <v>121</v>
      </c>
      <c r="T351" s="55"/>
      <c r="U351" s="55" t="s">
        <v>943</v>
      </c>
      <c r="V351" s="55" t="s">
        <v>1201</v>
      </c>
      <c r="W351" s="55" t="s">
        <v>2140</v>
      </c>
      <c r="X351" s="4"/>
      <c r="Y351" s="4"/>
      <c r="Z351" s="4"/>
    </row>
    <row r="352" customFormat="false" ht="15.75" hidden="false" customHeight="true" outlineLevel="0" collapsed="false">
      <c r="A352" s="55" t="n">
        <v>1890</v>
      </c>
      <c r="B352" s="55" t="s">
        <v>944</v>
      </c>
      <c r="C352" s="55" t="s">
        <v>945</v>
      </c>
      <c r="D352" s="55" t="s">
        <v>2150</v>
      </c>
      <c r="E352" s="55" t="s">
        <v>2151</v>
      </c>
      <c r="F352" s="55" t="s">
        <v>1195</v>
      </c>
      <c r="G352" s="55" t="s">
        <v>1195</v>
      </c>
      <c r="H352" s="55" t="s">
        <v>1196</v>
      </c>
      <c r="I352" s="55" t="s">
        <v>934</v>
      </c>
      <c r="J352" s="55" t="s">
        <v>2152</v>
      </c>
      <c r="K352" s="55" t="s">
        <v>889</v>
      </c>
      <c r="L352" s="55"/>
      <c r="M352" s="55"/>
      <c r="N352" s="55" t="s">
        <v>732</v>
      </c>
      <c r="O352" s="57"/>
      <c r="P352" s="55" t="s">
        <v>1539</v>
      </c>
      <c r="Q352" s="55"/>
      <c r="R352" s="55" t="n">
        <v>0</v>
      </c>
      <c r="S352" s="55" t="n">
        <v>40</v>
      </c>
      <c r="T352" s="55"/>
      <c r="U352" s="55" t="s">
        <v>945</v>
      </c>
      <c r="V352" s="55" t="s">
        <v>1201</v>
      </c>
      <c r="W352" s="55" t="s">
        <v>2140</v>
      </c>
      <c r="X352" s="4"/>
      <c r="Y352" s="4"/>
      <c r="Z352" s="4"/>
    </row>
    <row r="353" customFormat="false" ht="15.75" hidden="false" customHeight="true" outlineLevel="0" collapsed="false">
      <c r="A353" s="55" t="n">
        <v>1891</v>
      </c>
      <c r="B353" s="55" t="s">
        <v>946</v>
      </c>
      <c r="C353" s="55" t="s">
        <v>947</v>
      </c>
      <c r="D353" s="55" t="s">
        <v>2153</v>
      </c>
      <c r="E353" s="55" t="s">
        <v>2154</v>
      </c>
      <c r="F353" s="55" t="s">
        <v>1195</v>
      </c>
      <c r="G353" s="55" t="s">
        <v>1195</v>
      </c>
      <c r="H353" s="55" t="s">
        <v>1196</v>
      </c>
      <c r="I353" s="55" t="s">
        <v>934</v>
      </c>
      <c r="J353" s="55" t="s">
        <v>2155</v>
      </c>
      <c r="K353" s="55" t="s">
        <v>889</v>
      </c>
      <c r="L353" s="55"/>
      <c r="M353" s="55"/>
      <c r="N353" s="55" t="s">
        <v>732</v>
      </c>
      <c r="O353" s="57"/>
      <c r="P353" s="55" t="s">
        <v>1539</v>
      </c>
      <c r="Q353" s="55"/>
      <c r="R353" s="55" t="n">
        <v>0</v>
      </c>
      <c r="S353" s="55" t="n">
        <v>39</v>
      </c>
      <c r="T353" s="55"/>
      <c r="U353" s="55" t="s">
        <v>947</v>
      </c>
      <c r="V353" s="55" t="s">
        <v>1201</v>
      </c>
      <c r="W353" s="55" t="s">
        <v>2140</v>
      </c>
      <c r="X353" s="4"/>
      <c r="Y353" s="4"/>
      <c r="Z353" s="4"/>
    </row>
    <row r="354" customFormat="false" ht="15.75" hidden="false" customHeight="true" outlineLevel="0" collapsed="false">
      <c r="A354" s="55" t="n">
        <v>1892</v>
      </c>
      <c r="B354" s="55" t="s">
        <v>948</v>
      </c>
      <c r="C354" s="55" t="s">
        <v>949</v>
      </c>
      <c r="D354" s="55" t="s">
        <v>2156</v>
      </c>
      <c r="E354" s="55" t="s">
        <v>2157</v>
      </c>
      <c r="F354" s="55" t="s">
        <v>1195</v>
      </c>
      <c r="G354" s="55" t="s">
        <v>1195</v>
      </c>
      <c r="H354" s="55" t="s">
        <v>1196</v>
      </c>
      <c r="I354" s="55" t="s">
        <v>934</v>
      </c>
      <c r="J354" s="55" t="s">
        <v>2158</v>
      </c>
      <c r="K354" s="55" t="s">
        <v>889</v>
      </c>
      <c r="L354" s="55"/>
      <c r="M354" s="55"/>
      <c r="N354" s="55" t="s">
        <v>732</v>
      </c>
      <c r="O354" s="57"/>
      <c r="P354" s="55" t="s">
        <v>1539</v>
      </c>
      <c r="Q354" s="55"/>
      <c r="R354" s="55" t="n">
        <v>0</v>
      </c>
      <c r="S354" s="55" t="n">
        <v>60</v>
      </c>
      <c r="T354" s="55"/>
      <c r="U354" s="55" t="s">
        <v>949</v>
      </c>
      <c r="V354" s="55" t="s">
        <v>1201</v>
      </c>
      <c r="W354" s="55" t="s">
        <v>2140</v>
      </c>
      <c r="X354" s="4"/>
      <c r="Y354" s="4"/>
      <c r="Z354" s="4"/>
    </row>
    <row r="355" customFormat="false" ht="15.75" hidden="false" customHeight="true" outlineLevel="0" collapsed="false">
      <c r="A355" s="55" t="n">
        <v>1893</v>
      </c>
      <c r="B355" s="55" t="s">
        <v>950</v>
      </c>
      <c r="C355" s="55" t="s">
        <v>951</v>
      </c>
      <c r="D355" s="55" t="s">
        <v>2162</v>
      </c>
      <c r="E355" s="55" t="s">
        <v>2163</v>
      </c>
      <c r="F355" s="55" t="s">
        <v>1195</v>
      </c>
      <c r="G355" s="55" t="s">
        <v>1195</v>
      </c>
      <c r="H355" s="55" t="s">
        <v>1196</v>
      </c>
      <c r="I355" s="55" t="s">
        <v>934</v>
      </c>
      <c r="J355" s="55" t="s">
        <v>2164</v>
      </c>
      <c r="K355" s="55" t="s">
        <v>889</v>
      </c>
      <c r="L355" s="55"/>
      <c r="M355" s="55"/>
      <c r="N355" s="55" t="s">
        <v>732</v>
      </c>
      <c r="O355" s="57"/>
      <c r="P355" s="55" t="s">
        <v>1539</v>
      </c>
      <c r="Q355" s="55"/>
      <c r="R355" s="55" t="n">
        <v>0</v>
      </c>
      <c r="S355" s="55" t="n">
        <v>24</v>
      </c>
      <c r="T355" s="55"/>
      <c r="U355" s="55" t="s">
        <v>951</v>
      </c>
      <c r="V355" s="55" t="s">
        <v>1201</v>
      </c>
      <c r="W355" s="55" t="s">
        <v>2140</v>
      </c>
      <c r="X355" s="4"/>
      <c r="Y355" s="4"/>
      <c r="Z355" s="4"/>
    </row>
    <row r="356" customFormat="false" ht="15.75" hidden="false" customHeight="true" outlineLevel="0" collapsed="false">
      <c r="A356" s="55" t="n">
        <v>1894</v>
      </c>
      <c r="B356" s="55" t="s">
        <v>952</v>
      </c>
      <c r="C356" s="55" t="s">
        <v>953</v>
      </c>
      <c r="D356" s="55" t="s">
        <v>2165</v>
      </c>
      <c r="E356" s="55" t="s">
        <v>2166</v>
      </c>
      <c r="F356" s="55" t="s">
        <v>1195</v>
      </c>
      <c r="G356" s="55" t="s">
        <v>1195</v>
      </c>
      <c r="H356" s="55" t="s">
        <v>1196</v>
      </c>
      <c r="I356" s="55" t="s">
        <v>934</v>
      </c>
      <c r="J356" s="55" t="s">
        <v>2167</v>
      </c>
      <c r="K356" s="55" t="s">
        <v>889</v>
      </c>
      <c r="L356" s="55"/>
      <c r="M356" s="55"/>
      <c r="N356" s="55" t="s">
        <v>732</v>
      </c>
      <c r="O356" s="57"/>
      <c r="P356" s="55" t="s">
        <v>1539</v>
      </c>
      <c r="Q356" s="55"/>
      <c r="R356" s="55" t="n">
        <v>0</v>
      </c>
      <c r="S356" s="55" t="n">
        <v>21</v>
      </c>
      <c r="T356" s="55"/>
      <c r="U356" s="55" t="s">
        <v>953</v>
      </c>
      <c r="V356" s="55" t="s">
        <v>1201</v>
      </c>
      <c r="W356" s="55" t="s">
        <v>2140</v>
      </c>
      <c r="X356" s="4"/>
      <c r="Y356" s="4"/>
      <c r="Z356" s="4"/>
    </row>
    <row r="357" customFormat="false" ht="15.75" hidden="false" customHeight="true" outlineLevel="0" collapsed="false">
      <c r="A357" s="55" t="n">
        <v>1895</v>
      </c>
      <c r="B357" s="55" t="s">
        <v>954</v>
      </c>
      <c r="C357" s="55" t="s">
        <v>955</v>
      </c>
      <c r="D357" s="55" t="s">
        <v>2783</v>
      </c>
      <c r="E357" s="55" t="s">
        <v>2784</v>
      </c>
      <c r="F357" s="55" t="s">
        <v>1195</v>
      </c>
      <c r="G357" s="55" t="s">
        <v>1195</v>
      </c>
      <c r="H357" s="55" t="s">
        <v>1196</v>
      </c>
      <c r="I357" s="55" t="s">
        <v>934</v>
      </c>
      <c r="J357" s="55" t="s">
        <v>2785</v>
      </c>
      <c r="K357" s="55" t="s">
        <v>889</v>
      </c>
      <c r="L357" s="55"/>
      <c r="M357" s="55"/>
      <c r="N357" s="55" t="s">
        <v>732</v>
      </c>
      <c r="O357" s="57"/>
      <c r="P357" s="55" t="s">
        <v>1539</v>
      </c>
      <c r="Q357" s="55"/>
      <c r="R357" s="55" t="n">
        <v>11</v>
      </c>
      <c r="S357" s="55" t="n">
        <v>46</v>
      </c>
      <c r="T357" s="55"/>
      <c r="U357" s="55" t="s">
        <v>955</v>
      </c>
      <c r="V357" s="55" t="s">
        <v>1201</v>
      </c>
      <c r="W357" s="55" t="s">
        <v>2786</v>
      </c>
      <c r="X357" s="4"/>
      <c r="Y357" s="4"/>
      <c r="Z357" s="4"/>
    </row>
    <row r="358" customFormat="false" ht="15.75" hidden="false" customHeight="true" outlineLevel="0" collapsed="false">
      <c r="A358" s="55" t="n">
        <v>1896</v>
      </c>
      <c r="B358" s="55" t="s">
        <v>956</v>
      </c>
      <c r="C358" s="55" t="s">
        <v>957</v>
      </c>
      <c r="D358" s="55" t="s">
        <v>2159</v>
      </c>
      <c r="E358" s="55" t="s">
        <v>2160</v>
      </c>
      <c r="F358" s="55" t="s">
        <v>1195</v>
      </c>
      <c r="G358" s="55" t="s">
        <v>1195</v>
      </c>
      <c r="H358" s="55" t="s">
        <v>1196</v>
      </c>
      <c r="I358" s="55" t="s">
        <v>934</v>
      </c>
      <c r="J358" s="55" t="s">
        <v>2161</v>
      </c>
      <c r="K358" s="55" t="s">
        <v>889</v>
      </c>
      <c r="L358" s="55"/>
      <c r="M358" s="55"/>
      <c r="N358" s="55" t="s">
        <v>732</v>
      </c>
      <c r="O358" s="57"/>
      <c r="P358" s="55" t="s">
        <v>1539</v>
      </c>
      <c r="Q358" s="55"/>
      <c r="R358" s="55" t="n">
        <v>0</v>
      </c>
      <c r="S358" s="55" t="n">
        <v>21</v>
      </c>
      <c r="T358" s="55"/>
      <c r="U358" s="55" t="s">
        <v>957</v>
      </c>
      <c r="V358" s="55" t="s">
        <v>1201</v>
      </c>
      <c r="W358" s="55" t="s">
        <v>2140</v>
      </c>
      <c r="X358" s="4"/>
      <c r="Y358" s="4"/>
      <c r="Z358" s="4"/>
    </row>
    <row r="359" customFormat="false" ht="15.75" hidden="false" customHeight="true" outlineLevel="0" collapsed="false">
      <c r="A359" s="55" t="n">
        <v>1897</v>
      </c>
      <c r="B359" s="55" t="s">
        <v>958</v>
      </c>
      <c r="C359" s="55" t="s">
        <v>959</v>
      </c>
      <c r="D359" s="55" t="s">
        <v>2168</v>
      </c>
      <c r="E359" s="55" t="s">
        <v>2169</v>
      </c>
      <c r="F359" s="55" t="s">
        <v>1195</v>
      </c>
      <c r="G359" s="55" t="s">
        <v>1195</v>
      </c>
      <c r="H359" s="55" t="s">
        <v>1196</v>
      </c>
      <c r="I359" s="55" t="s">
        <v>934</v>
      </c>
      <c r="J359" s="55" t="s">
        <v>2170</v>
      </c>
      <c r="K359" s="55" t="s">
        <v>889</v>
      </c>
      <c r="L359" s="55"/>
      <c r="M359" s="55"/>
      <c r="N359" s="55" t="s">
        <v>732</v>
      </c>
      <c r="O359" s="57"/>
      <c r="P359" s="55" t="s">
        <v>1539</v>
      </c>
      <c r="Q359" s="55"/>
      <c r="R359" s="55" t="n">
        <v>0</v>
      </c>
      <c r="S359" s="55" t="n">
        <v>117</v>
      </c>
      <c r="T359" s="55"/>
      <c r="U359" s="55" t="s">
        <v>959</v>
      </c>
      <c r="V359" s="55" t="s">
        <v>1201</v>
      </c>
      <c r="W359" s="55" t="s">
        <v>2140</v>
      </c>
      <c r="X359" s="4"/>
      <c r="Y359" s="4"/>
      <c r="Z359" s="4"/>
    </row>
    <row r="360" customFormat="false" ht="15.75" hidden="false" customHeight="true" outlineLevel="0" collapsed="false">
      <c r="A360" s="55" t="n">
        <v>1898</v>
      </c>
      <c r="B360" s="55" t="s">
        <v>960</v>
      </c>
      <c r="C360" s="55" t="s">
        <v>961</v>
      </c>
      <c r="D360" s="55" t="s">
        <v>2225</v>
      </c>
      <c r="E360" s="55" t="s">
        <v>2226</v>
      </c>
      <c r="F360" s="55" t="s">
        <v>1195</v>
      </c>
      <c r="G360" s="55" t="s">
        <v>1195</v>
      </c>
      <c r="H360" s="55" t="s">
        <v>1196</v>
      </c>
      <c r="I360" s="55" t="s">
        <v>934</v>
      </c>
      <c r="J360" s="55" t="s">
        <v>2227</v>
      </c>
      <c r="K360" s="55" t="s">
        <v>889</v>
      </c>
      <c r="L360" s="55"/>
      <c r="M360" s="55"/>
      <c r="N360" s="55" t="s">
        <v>732</v>
      </c>
      <c r="O360" s="57"/>
      <c r="P360" s="55" t="s">
        <v>1539</v>
      </c>
      <c r="Q360" s="55"/>
      <c r="R360" s="55" t="n">
        <v>0</v>
      </c>
      <c r="S360" s="55" t="n">
        <v>17</v>
      </c>
      <c r="T360" s="55"/>
      <c r="U360" s="55" t="s">
        <v>961</v>
      </c>
      <c r="V360" s="55" t="s">
        <v>1201</v>
      </c>
      <c r="W360" s="55" t="s">
        <v>2140</v>
      </c>
      <c r="X360" s="4"/>
      <c r="Y360" s="4"/>
      <c r="Z360" s="4"/>
    </row>
    <row r="361" customFormat="false" ht="15.75" hidden="false" customHeight="true" outlineLevel="0" collapsed="false">
      <c r="A361" s="55" t="n">
        <v>1899</v>
      </c>
      <c r="B361" s="55" t="s">
        <v>962</v>
      </c>
      <c r="C361" s="55" t="s">
        <v>963</v>
      </c>
      <c r="D361" s="55" t="s">
        <v>2174</v>
      </c>
      <c r="E361" s="55" t="s">
        <v>2175</v>
      </c>
      <c r="F361" s="55" t="s">
        <v>1195</v>
      </c>
      <c r="G361" s="55" t="s">
        <v>1195</v>
      </c>
      <c r="H361" s="55" t="s">
        <v>1196</v>
      </c>
      <c r="I361" s="55" t="s">
        <v>934</v>
      </c>
      <c r="J361" s="55" t="s">
        <v>2176</v>
      </c>
      <c r="K361" s="55" t="s">
        <v>889</v>
      </c>
      <c r="L361" s="55"/>
      <c r="M361" s="55"/>
      <c r="N361" s="55" t="s">
        <v>732</v>
      </c>
      <c r="O361" s="57"/>
      <c r="P361" s="55" t="s">
        <v>1539</v>
      </c>
      <c r="Q361" s="55"/>
      <c r="R361" s="55" t="n">
        <v>0</v>
      </c>
      <c r="S361" s="55" t="n">
        <v>11</v>
      </c>
      <c r="T361" s="55"/>
      <c r="U361" s="55" t="s">
        <v>963</v>
      </c>
      <c r="V361" s="55" t="s">
        <v>1201</v>
      </c>
      <c r="W361" s="55" t="s">
        <v>2140</v>
      </c>
      <c r="X361" s="4"/>
      <c r="Y361" s="4"/>
      <c r="Z361" s="4"/>
    </row>
    <row r="362" customFormat="false" ht="15.75" hidden="false" customHeight="true" outlineLevel="0" collapsed="false">
      <c r="A362" s="55" t="n">
        <v>1900</v>
      </c>
      <c r="B362" s="55" t="s">
        <v>964</v>
      </c>
      <c r="C362" s="55" t="s">
        <v>965</v>
      </c>
      <c r="D362" s="55" t="s">
        <v>2234</v>
      </c>
      <c r="E362" s="55" t="s">
        <v>2235</v>
      </c>
      <c r="F362" s="55" t="s">
        <v>1195</v>
      </c>
      <c r="G362" s="55" t="s">
        <v>1195</v>
      </c>
      <c r="H362" s="55" t="s">
        <v>1196</v>
      </c>
      <c r="I362" s="55" t="s">
        <v>934</v>
      </c>
      <c r="J362" s="55" t="s">
        <v>2236</v>
      </c>
      <c r="K362" s="55" t="s">
        <v>889</v>
      </c>
      <c r="L362" s="55"/>
      <c r="M362" s="55"/>
      <c r="N362" s="55" t="s">
        <v>732</v>
      </c>
      <c r="O362" s="57"/>
      <c r="P362" s="55" t="s">
        <v>1539</v>
      </c>
      <c r="Q362" s="55"/>
      <c r="R362" s="55" t="n">
        <v>0</v>
      </c>
      <c r="S362" s="55" t="n">
        <v>43</v>
      </c>
      <c r="T362" s="55"/>
      <c r="U362" s="55" t="s">
        <v>965</v>
      </c>
      <c r="V362" s="55" t="s">
        <v>1201</v>
      </c>
      <c r="W362" s="55" t="s">
        <v>2140</v>
      </c>
      <c r="X362" s="4"/>
      <c r="Y362" s="4"/>
      <c r="Z362" s="4"/>
    </row>
    <row r="363" customFormat="false" ht="15.75" hidden="false" customHeight="true" outlineLevel="0" collapsed="false">
      <c r="A363" s="55" t="n">
        <v>1901</v>
      </c>
      <c r="B363" s="55" t="s">
        <v>966</v>
      </c>
      <c r="C363" s="55" t="s">
        <v>967</v>
      </c>
      <c r="D363" s="55" t="s">
        <v>2237</v>
      </c>
      <c r="E363" s="55" t="s">
        <v>2238</v>
      </c>
      <c r="F363" s="55" t="s">
        <v>1195</v>
      </c>
      <c r="G363" s="55" t="s">
        <v>1195</v>
      </c>
      <c r="H363" s="55" t="s">
        <v>1196</v>
      </c>
      <c r="I363" s="55" t="s">
        <v>934</v>
      </c>
      <c r="J363" s="55" t="s">
        <v>2239</v>
      </c>
      <c r="K363" s="55" t="s">
        <v>889</v>
      </c>
      <c r="L363" s="55"/>
      <c r="M363" s="55"/>
      <c r="N363" s="55" t="s">
        <v>732</v>
      </c>
      <c r="O363" s="57"/>
      <c r="P363" s="55" t="s">
        <v>1539</v>
      </c>
      <c r="Q363" s="55"/>
      <c r="R363" s="55" t="n">
        <v>0</v>
      </c>
      <c r="S363" s="55" t="n">
        <v>39</v>
      </c>
      <c r="T363" s="55"/>
      <c r="U363" s="55" t="s">
        <v>967</v>
      </c>
      <c r="V363" s="55" t="s">
        <v>1201</v>
      </c>
      <c r="W363" s="55" t="s">
        <v>2140</v>
      </c>
      <c r="X363" s="4"/>
      <c r="Y363" s="4"/>
      <c r="Z363" s="4"/>
    </row>
    <row r="364" customFormat="false" ht="15.75" hidden="false" customHeight="true" outlineLevel="0" collapsed="false">
      <c r="A364" s="55" t="n">
        <v>1902</v>
      </c>
      <c r="B364" s="55" t="s">
        <v>968</v>
      </c>
      <c r="C364" s="55" t="s">
        <v>969</v>
      </c>
      <c r="D364" s="55" t="s">
        <v>2282</v>
      </c>
      <c r="E364" s="55" t="s">
        <v>2283</v>
      </c>
      <c r="F364" s="55" t="s">
        <v>1195</v>
      </c>
      <c r="G364" s="55" t="s">
        <v>1195</v>
      </c>
      <c r="H364" s="55" t="s">
        <v>1196</v>
      </c>
      <c r="I364" s="55" t="s">
        <v>934</v>
      </c>
      <c r="J364" s="55" t="s">
        <v>2284</v>
      </c>
      <c r="K364" s="55" t="s">
        <v>889</v>
      </c>
      <c r="L364" s="55"/>
      <c r="M364" s="55"/>
      <c r="N364" s="55" t="s">
        <v>732</v>
      </c>
      <c r="O364" s="57"/>
      <c r="P364" s="55" t="s">
        <v>1539</v>
      </c>
      <c r="Q364" s="55"/>
      <c r="R364" s="55" t="n">
        <v>0</v>
      </c>
      <c r="S364" s="55" t="n">
        <v>21</v>
      </c>
      <c r="T364" s="55"/>
      <c r="U364" s="55" t="s">
        <v>969</v>
      </c>
      <c r="V364" s="55" t="s">
        <v>1201</v>
      </c>
      <c r="W364" s="55" t="s">
        <v>2140</v>
      </c>
      <c r="X364" s="4"/>
      <c r="Y364" s="4"/>
      <c r="Z364" s="4"/>
    </row>
    <row r="365" customFormat="false" ht="15.75" hidden="false" customHeight="true" outlineLevel="0" collapsed="false">
      <c r="A365" s="55" t="n">
        <v>1903</v>
      </c>
      <c r="B365" s="55" t="s">
        <v>970</v>
      </c>
      <c r="C365" s="55" t="s">
        <v>971</v>
      </c>
      <c r="D365" s="55" t="s">
        <v>2240</v>
      </c>
      <c r="E365" s="55" t="s">
        <v>2241</v>
      </c>
      <c r="F365" s="55" t="s">
        <v>1195</v>
      </c>
      <c r="G365" s="55" t="s">
        <v>1195</v>
      </c>
      <c r="H365" s="55" t="s">
        <v>1196</v>
      </c>
      <c r="I365" s="55" t="s">
        <v>934</v>
      </c>
      <c r="J365" s="55" t="s">
        <v>2242</v>
      </c>
      <c r="K365" s="55" t="s">
        <v>889</v>
      </c>
      <c r="L365" s="55"/>
      <c r="M365" s="55"/>
      <c r="N365" s="55" t="s">
        <v>732</v>
      </c>
      <c r="O365" s="57"/>
      <c r="P365" s="55" t="s">
        <v>1539</v>
      </c>
      <c r="Q365" s="55"/>
      <c r="R365" s="55" t="n">
        <v>0</v>
      </c>
      <c r="S365" s="55" t="n">
        <v>7</v>
      </c>
      <c r="T365" s="55"/>
      <c r="U365" s="55" t="s">
        <v>971</v>
      </c>
      <c r="V365" s="55" t="s">
        <v>1201</v>
      </c>
      <c r="W365" s="55" t="s">
        <v>2140</v>
      </c>
      <c r="X365" s="4"/>
      <c r="Y365" s="4"/>
      <c r="Z365" s="4"/>
    </row>
    <row r="366" customFormat="false" ht="15.75" hidden="false" customHeight="true" outlineLevel="0" collapsed="false">
      <c r="A366" s="55" t="n">
        <v>1904</v>
      </c>
      <c r="B366" s="55" t="s">
        <v>972</v>
      </c>
      <c r="C366" s="55" t="s">
        <v>973</v>
      </c>
      <c r="D366" s="55" t="s">
        <v>2243</v>
      </c>
      <c r="E366" s="55" t="s">
        <v>2244</v>
      </c>
      <c r="F366" s="55" t="s">
        <v>1195</v>
      </c>
      <c r="G366" s="55" t="s">
        <v>1195</v>
      </c>
      <c r="H366" s="55" t="s">
        <v>1196</v>
      </c>
      <c r="I366" s="55" t="s">
        <v>934</v>
      </c>
      <c r="J366" s="55" t="s">
        <v>2245</v>
      </c>
      <c r="K366" s="55" t="s">
        <v>889</v>
      </c>
      <c r="L366" s="55"/>
      <c r="M366" s="55"/>
      <c r="N366" s="55" t="s">
        <v>732</v>
      </c>
      <c r="O366" s="57"/>
      <c r="P366" s="55" t="s">
        <v>1539</v>
      </c>
      <c r="Q366" s="55"/>
      <c r="R366" s="55" t="n">
        <v>0</v>
      </c>
      <c r="S366" s="55" t="n">
        <v>5</v>
      </c>
      <c r="T366" s="55"/>
      <c r="U366" s="55" t="s">
        <v>973</v>
      </c>
      <c r="V366" s="55" t="s">
        <v>1201</v>
      </c>
      <c r="W366" s="55" t="s">
        <v>2140</v>
      </c>
      <c r="X366" s="4"/>
      <c r="Y366" s="4"/>
      <c r="Z366" s="4"/>
    </row>
    <row r="367" customFormat="false" ht="15.75" hidden="false" customHeight="true" outlineLevel="0" collapsed="false">
      <c r="A367" s="55" t="n">
        <v>1905</v>
      </c>
      <c r="B367" s="55" t="s">
        <v>974</v>
      </c>
      <c r="C367" s="55" t="s">
        <v>975</v>
      </c>
      <c r="D367" s="55" t="s">
        <v>2246</v>
      </c>
      <c r="E367" s="55" t="s">
        <v>2247</v>
      </c>
      <c r="F367" s="55" t="s">
        <v>1195</v>
      </c>
      <c r="G367" s="55" t="s">
        <v>1195</v>
      </c>
      <c r="H367" s="55" t="s">
        <v>1196</v>
      </c>
      <c r="I367" s="55" t="s">
        <v>934</v>
      </c>
      <c r="J367" s="55" t="s">
        <v>2248</v>
      </c>
      <c r="K367" s="55" t="s">
        <v>889</v>
      </c>
      <c r="L367" s="55"/>
      <c r="M367" s="55"/>
      <c r="N367" s="55" t="s">
        <v>732</v>
      </c>
      <c r="O367" s="57"/>
      <c r="P367" s="55" t="s">
        <v>1539</v>
      </c>
      <c r="Q367" s="55"/>
      <c r="R367" s="55" t="n">
        <v>0</v>
      </c>
      <c r="S367" s="55" t="n">
        <v>15</v>
      </c>
      <c r="T367" s="55"/>
      <c r="U367" s="55" t="s">
        <v>975</v>
      </c>
      <c r="V367" s="55" t="s">
        <v>1201</v>
      </c>
      <c r="W367" s="55" t="s">
        <v>2140</v>
      </c>
      <c r="X367" s="4"/>
      <c r="Y367" s="4"/>
      <c r="Z367" s="4"/>
    </row>
    <row r="368" customFormat="false" ht="15.75" hidden="false" customHeight="true" outlineLevel="0" collapsed="false">
      <c r="A368" s="55" t="n">
        <v>1906</v>
      </c>
      <c r="B368" s="55" t="s">
        <v>976</v>
      </c>
      <c r="C368" s="55" t="s">
        <v>977</v>
      </c>
      <c r="D368" s="55" t="s">
        <v>2249</v>
      </c>
      <c r="E368" s="55" t="s">
        <v>2250</v>
      </c>
      <c r="F368" s="55" t="s">
        <v>1195</v>
      </c>
      <c r="G368" s="55" t="s">
        <v>1195</v>
      </c>
      <c r="H368" s="55" t="s">
        <v>1196</v>
      </c>
      <c r="I368" s="55" t="s">
        <v>934</v>
      </c>
      <c r="J368" s="55" t="s">
        <v>2251</v>
      </c>
      <c r="K368" s="55" t="s">
        <v>889</v>
      </c>
      <c r="L368" s="55"/>
      <c r="M368" s="55"/>
      <c r="N368" s="55" t="s">
        <v>732</v>
      </c>
      <c r="O368" s="57"/>
      <c r="P368" s="55" t="s">
        <v>1539</v>
      </c>
      <c r="Q368" s="55"/>
      <c r="R368" s="55" t="n">
        <v>0</v>
      </c>
      <c r="S368" s="55" t="n">
        <v>5</v>
      </c>
      <c r="T368" s="55"/>
      <c r="U368" s="55" t="s">
        <v>977</v>
      </c>
      <c r="V368" s="55" t="s">
        <v>1201</v>
      </c>
      <c r="W368" s="55" t="s">
        <v>2140</v>
      </c>
      <c r="X368" s="4"/>
      <c r="Y368" s="4"/>
      <c r="Z368" s="4"/>
    </row>
    <row r="369" customFormat="false" ht="15.75" hidden="false" customHeight="true" outlineLevel="0" collapsed="false">
      <c r="A369" s="55" t="n">
        <v>1907</v>
      </c>
      <c r="B369" s="55" t="s">
        <v>978</v>
      </c>
      <c r="C369" s="55" t="s">
        <v>979</v>
      </c>
      <c r="D369" s="55" t="s">
        <v>2252</v>
      </c>
      <c r="E369" s="55" t="s">
        <v>2253</v>
      </c>
      <c r="F369" s="55" t="s">
        <v>1195</v>
      </c>
      <c r="G369" s="55" t="s">
        <v>1195</v>
      </c>
      <c r="H369" s="55" t="s">
        <v>1196</v>
      </c>
      <c r="I369" s="55" t="s">
        <v>934</v>
      </c>
      <c r="J369" s="55" t="s">
        <v>2254</v>
      </c>
      <c r="K369" s="55" t="s">
        <v>889</v>
      </c>
      <c r="L369" s="55"/>
      <c r="M369" s="55"/>
      <c r="N369" s="55" t="s">
        <v>732</v>
      </c>
      <c r="O369" s="57"/>
      <c r="P369" s="55" t="s">
        <v>1539</v>
      </c>
      <c r="Q369" s="55"/>
      <c r="R369" s="55" t="n">
        <v>0</v>
      </c>
      <c r="S369" s="55" t="n">
        <v>13</v>
      </c>
      <c r="T369" s="55"/>
      <c r="U369" s="55" t="s">
        <v>979</v>
      </c>
      <c r="V369" s="55" t="s">
        <v>1201</v>
      </c>
      <c r="W369" s="55" t="s">
        <v>2140</v>
      </c>
      <c r="X369" s="4"/>
      <c r="Y369" s="4"/>
      <c r="Z369" s="4"/>
    </row>
    <row r="370" customFormat="false" ht="15.75" hidden="false" customHeight="true" outlineLevel="0" collapsed="false">
      <c r="A370" s="55" t="n">
        <v>1908</v>
      </c>
      <c r="B370" s="55" t="s">
        <v>980</v>
      </c>
      <c r="C370" s="55" t="s">
        <v>981</v>
      </c>
      <c r="D370" s="55" t="s">
        <v>2255</v>
      </c>
      <c r="E370" s="55" t="s">
        <v>2256</v>
      </c>
      <c r="F370" s="55" t="s">
        <v>1195</v>
      </c>
      <c r="G370" s="55" t="s">
        <v>1195</v>
      </c>
      <c r="H370" s="55" t="s">
        <v>1196</v>
      </c>
      <c r="I370" s="55" t="s">
        <v>934</v>
      </c>
      <c r="J370" s="55" t="s">
        <v>2257</v>
      </c>
      <c r="K370" s="55" t="s">
        <v>889</v>
      </c>
      <c r="L370" s="55"/>
      <c r="M370" s="55"/>
      <c r="N370" s="55" t="s">
        <v>732</v>
      </c>
      <c r="O370" s="57"/>
      <c r="P370" s="55" t="s">
        <v>1539</v>
      </c>
      <c r="Q370" s="55"/>
      <c r="R370" s="55" t="n">
        <v>0</v>
      </c>
      <c r="S370" s="55" t="n">
        <v>56</v>
      </c>
      <c r="T370" s="55"/>
      <c r="U370" s="55" t="s">
        <v>981</v>
      </c>
      <c r="V370" s="55" t="s">
        <v>1201</v>
      </c>
      <c r="W370" s="55" t="s">
        <v>2140</v>
      </c>
      <c r="X370" s="4"/>
      <c r="Y370" s="4"/>
      <c r="Z370" s="4"/>
    </row>
    <row r="371" customFormat="false" ht="15.75" hidden="false" customHeight="true" outlineLevel="0" collapsed="false">
      <c r="A371" s="55" t="n">
        <v>1909</v>
      </c>
      <c r="B371" s="55" t="s">
        <v>982</v>
      </c>
      <c r="C371" s="55" t="s">
        <v>983</v>
      </c>
      <c r="D371" s="55" t="s">
        <v>2258</v>
      </c>
      <c r="E371" s="55" t="s">
        <v>2259</v>
      </c>
      <c r="F371" s="55" t="s">
        <v>1195</v>
      </c>
      <c r="G371" s="55" t="s">
        <v>1195</v>
      </c>
      <c r="H371" s="55" t="s">
        <v>1196</v>
      </c>
      <c r="I371" s="55" t="s">
        <v>934</v>
      </c>
      <c r="J371" s="55" t="s">
        <v>2260</v>
      </c>
      <c r="K371" s="55" t="s">
        <v>889</v>
      </c>
      <c r="L371" s="55"/>
      <c r="M371" s="55"/>
      <c r="N371" s="55" t="s">
        <v>732</v>
      </c>
      <c r="O371" s="57"/>
      <c r="P371" s="55" t="s">
        <v>1539</v>
      </c>
      <c r="Q371" s="55"/>
      <c r="R371" s="55" t="n">
        <v>0</v>
      </c>
      <c r="S371" s="55" t="n">
        <v>18</v>
      </c>
      <c r="T371" s="55"/>
      <c r="U371" s="55" t="s">
        <v>983</v>
      </c>
      <c r="V371" s="55" t="s">
        <v>1201</v>
      </c>
      <c r="W371" s="55" t="s">
        <v>2140</v>
      </c>
      <c r="X371" s="4"/>
      <c r="Y371" s="4"/>
      <c r="Z371" s="4"/>
    </row>
    <row r="372" customFormat="false" ht="15.75" hidden="false" customHeight="true" outlineLevel="0" collapsed="false">
      <c r="A372" s="55" t="n">
        <v>1910</v>
      </c>
      <c r="B372" s="55" t="s">
        <v>984</v>
      </c>
      <c r="C372" s="55" t="s">
        <v>985</v>
      </c>
      <c r="D372" s="55" t="s">
        <v>2261</v>
      </c>
      <c r="E372" s="55" t="s">
        <v>2262</v>
      </c>
      <c r="F372" s="55" t="s">
        <v>1195</v>
      </c>
      <c r="G372" s="55" t="s">
        <v>1195</v>
      </c>
      <c r="H372" s="55" t="s">
        <v>1196</v>
      </c>
      <c r="I372" s="55" t="s">
        <v>934</v>
      </c>
      <c r="J372" s="55" t="s">
        <v>2263</v>
      </c>
      <c r="K372" s="55" t="s">
        <v>889</v>
      </c>
      <c r="L372" s="55"/>
      <c r="M372" s="55"/>
      <c r="N372" s="55" t="s">
        <v>732</v>
      </c>
      <c r="O372" s="57"/>
      <c r="P372" s="55" t="s">
        <v>1539</v>
      </c>
      <c r="Q372" s="55"/>
      <c r="R372" s="55" t="n">
        <v>0</v>
      </c>
      <c r="S372" s="55" t="n">
        <v>10</v>
      </c>
      <c r="T372" s="55"/>
      <c r="U372" s="55" t="s">
        <v>985</v>
      </c>
      <c r="V372" s="55" t="s">
        <v>1201</v>
      </c>
      <c r="W372" s="55" t="s">
        <v>2140</v>
      </c>
      <c r="X372" s="4"/>
      <c r="Y372" s="4"/>
      <c r="Z372" s="4"/>
    </row>
    <row r="373" customFormat="false" ht="15.75" hidden="false" customHeight="true" outlineLevel="0" collapsed="false">
      <c r="A373" s="55" t="n">
        <v>1911</v>
      </c>
      <c r="B373" s="55" t="s">
        <v>986</v>
      </c>
      <c r="C373" s="55" t="s">
        <v>987</v>
      </c>
      <c r="D373" s="55" t="s">
        <v>2264</v>
      </c>
      <c r="E373" s="55" t="s">
        <v>2265</v>
      </c>
      <c r="F373" s="55" t="s">
        <v>1195</v>
      </c>
      <c r="G373" s="55" t="s">
        <v>1195</v>
      </c>
      <c r="H373" s="55" t="s">
        <v>1196</v>
      </c>
      <c r="I373" s="55" t="s">
        <v>934</v>
      </c>
      <c r="J373" s="55" t="s">
        <v>2266</v>
      </c>
      <c r="K373" s="55" t="s">
        <v>889</v>
      </c>
      <c r="L373" s="55"/>
      <c r="M373" s="55"/>
      <c r="N373" s="55" t="s">
        <v>732</v>
      </c>
      <c r="O373" s="57"/>
      <c r="P373" s="55" t="s">
        <v>1539</v>
      </c>
      <c r="Q373" s="55"/>
      <c r="R373" s="55" t="n">
        <v>0</v>
      </c>
      <c r="S373" s="55" t="n">
        <v>6</v>
      </c>
      <c r="T373" s="55"/>
      <c r="U373" s="55" t="s">
        <v>987</v>
      </c>
      <c r="V373" s="55" t="s">
        <v>1201</v>
      </c>
      <c r="W373" s="55" t="s">
        <v>2140</v>
      </c>
      <c r="X373" s="4"/>
      <c r="Y373" s="4"/>
      <c r="Z373" s="4"/>
    </row>
    <row r="374" customFormat="false" ht="15.75" hidden="false" customHeight="true" outlineLevel="0" collapsed="false">
      <c r="A374" s="55" t="n">
        <v>1912</v>
      </c>
      <c r="B374" s="55" t="s">
        <v>988</v>
      </c>
      <c r="C374" s="55" t="s">
        <v>989</v>
      </c>
      <c r="D374" s="55" t="s">
        <v>2267</v>
      </c>
      <c r="E374" s="55" t="s">
        <v>2268</v>
      </c>
      <c r="F374" s="55" t="s">
        <v>1195</v>
      </c>
      <c r="G374" s="55" t="s">
        <v>1195</v>
      </c>
      <c r="H374" s="55" t="s">
        <v>1196</v>
      </c>
      <c r="I374" s="55" t="s">
        <v>934</v>
      </c>
      <c r="J374" s="55" t="s">
        <v>2269</v>
      </c>
      <c r="K374" s="55" t="s">
        <v>889</v>
      </c>
      <c r="L374" s="55"/>
      <c r="M374" s="55"/>
      <c r="N374" s="55" t="s">
        <v>732</v>
      </c>
      <c r="O374" s="57"/>
      <c r="P374" s="55" t="s">
        <v>1539</v>
      </c>
      <c r="Q374" s="55"/>
      <c r="R374" s="55" t="n">
        <v>0</v>
      </c>
      <c r="S374" s="55" t="n">
        <v>29</v>
      </c>
      <c r="T374" s="55"/>
      <c r="U374" s="55" t="s">
        <v>989</v>
      </c>
      <c r="V374" s="55" t="s">
        <v>1201</v>
      </c>
      <c r="W374" s="55" t="s">
        <v>2140</v>
      </c>
      <c r="X374" s="4"/>
      <c r="Y374" s="4"/>
      <c r="Z374" s="4"/>
    </row>
    <row r="375" customFormat="false" ht="15.75" hidden="false" customHeight="true" outlineLevel="0" collapsed="false">
      <c r="A375" s="55" t="n">
        <v>1913</v>
      </c>
      <c r="B375" s="55" t="s">
        <v>990</v>
      </c>
      <c r="C375" s="55" t="s">
        <v>991</v>
      </c>
      <c r="D375" s="55" t="s">
        <v>2270</v>
      </c>
      <c r="E375" s="55" t="s">
        <v>2271</v>
      </c>
      <c r="F375" s="55" t="s">
        <v>1195</v>
      </c>
      <c r="G375" s="55" t="s">
        <v>1195</v>
      </c>
      <c r="H375" s="55" t="s">
        <v>1196</v>
      </c>
      <c r="I375" s="55" t="s">
        <v>934</v>
      </c>
      <c r="J375" s="55" t="s">
        <v>2272</v>
      </c>
      <c r="K375" s="55" t="s">
        <v>889</v>
      </c>
      <c r="L375" s="55"/>
      <c r="M375" s="55"/>
      <c r="N375" s="55" t="s">
        <v>732</v>
      </c>
      <c r="O375" s="57"/>
      <c r="P375" s="55" t="s">
        <v>1539</v>
      </c>
      <c r="Q375" s="55"/>
      <c r="R375" s="55" t="n">
        <v>0</v>
      </c>
      <c r="S375" s="55" t="n">
        <v>14</v>
      </c>
      <c r="T375" s="55"/>
      <c r="U375" s="55" t="s">
        <v>991</v>
      </c>
      <c r="V375" s="55" t="s">
        <v>1201</v>
      </c>
      <c r="W375" s="55" t="s">
        <v>2140</v>
      </c>
      <c r="X375" s="4"/>
      <c r="Y375" s="4"/>
      <c r="Z375" s="4"/>
    </row>
    <row r="376" customFormat="false" ht="15.75" hidden="false" customHeight="true" outlineLevel="0" collapsed="false">
      <c r="A376" s="55" t="n">
        <v>1914</v>
      </c>
      <c r="B376" s="55" t="s">
        <v>992</v>
      </c>
      <c r="C376" s="55" t="s">
        <v>993</v>
      </c>
      <c r="D376" s="55" t="s">
        <v>2273</v>
      </c>
      <c r="E376" s="55" t="s">
        <v>2274</v>
      </c>
      <c r="F376" s="55" t="s">
        <v>1195</v>
      </c>
      <c r="G376" s="55" t="s">
        <v>1195</v>
      </c>
      <c r="H376" s="55" t="s">
        <v>1196</v>
      </c>
      <c r="I376" s="55" t="s">
        <v>934</v>
      </c>
      <c r="J376" s="55" t="s">
        <v>2275</v>
      </c>
      <c r="K376" s="55" t="s">
        <v>889</v>
      </c>
      <c r="L376" s="55"/>
      <c r="M376" s="55"/>
      <c r="N376" s="55" t="s">
        <v>732</v>
      </c>
      <c r="O376" s="57"/>
      <c r="P376" s="55" t="s">
        <v>1539</v>
      </c>
      <c r="Q376" s="55"/>
      <c r="R376" s="55" t="n">
        <v>0</v>
      </c>
      <c r="S376" s="55" t="n">
        <v>6</v>
      </c>
      <c r="T376" s="55"/>
      <c r="U376" s="55" t="s">
        <v>993</v>
      </c>
      <c r="V376" s="55" t="s">
        <v>1201</v>
      </c>
      <c r="W376" s="55" t="s">
        <v>2140</v>
      </c>
      <c r="X376" s="4"/>
      <c r="Y376" s="4"/>
      <c r="Z376" s="4"/>
    </row>
    <row r="377" customFormat="false" ht="15.75" hidden="false" customHeight="true" outlineLevel="0" collapsed="false">
      <c r="A377" s="55" t="n">
        <v>1915</v>
      </c>
      <c r="B377" s="55" t="s">
        <v>994</v>
      </c>
      <c r="C377" s="55" t="s">
        <v>995</v>
      </c>
      <c r="D377" s="55" t="s">
        <v>2276</v>
      </c>
      <c r="E377" s="55" t="s">
        <v>2277</v>
      </c>
      <c r="F377" s="55" t="s">
        <v>1195</v>
      </c>
      <c r="G377" s="55" t="s">
        <v>1195</v>
      </c>
      <c r="H377" s="55" t="s">
        <v>1196</v>
      </c>
      <c r="I377" s="55" t="s">
        <v>934</v>
      </c>
      <c r="J377" s="55" t="s">
        <v>2278</v>
      </c>
      <c r="K377" s="55" t="s">
        <v>889</v>
      </c>
      <c r="L377" s="55"/>
      <c r="M377" s="55"/>
      <c r="N377" s="55" t="s">
        <v>732</v>
      </c>
      <c r="O377" s="57"/>
      <c r="P377" s="55" t="s">
        <v>1539</v>
      </c>
      <c r="Q377" s="55"/>
      <c r="R377" s="55" t="n">
        <v>0</v>
      </c>
      <c r="S377" s="55" t="n">
        <v>33</v>
      </c>
      <c r="T377" s="55"/>
      <c r="U377" s="55" t="s">
        <v>995</v>
      </c>
      <c r="V377" s="55" t="s">
        <v>1201</v>
      </c>
      <c r="W377" s="55" t="s">
        <v>2140</v>
      </c>
      <c r="X377" s="4"/>
      <c r="Y377" s="4"/>
      <c r="Z377" s="4"/>
    </row>
    <row r="378" customFormat="false" ht="15.75" hidden="false" customHeight="true" outlineLevel="0" collapsed="false">
      <c r="A378" s="55" t="n">
        <v>1916</v>
      </c>
      <c r="B378" s="55" t="s">
        <v>996</v>
      </c>
      <c r="C378" s="55" t="s">
        <v>997</v>
      </c>
      <c r="D378" s="55" t="s">
        <v>2231</v>
      </c>
      <c r="E378" s="55" t="s">
        <v>2232</v>
      </c>
      <c r="F378" s="55" t="s">
        <v>1195</v>
      </c>
      <c r="G378" s="55" t="s">
        <v>1195</v>
      </c>
      <c r="H378" s="55" t="s">
        <v>1196</v>
      </c>
      <c r="I378" s="55" t="s">
        <v>934</v>
      </c>
      <c r="J378" s="55" t="s">
        <v>2233</v>
      </c>
      <c r="K378" s="55" t="s">
        <v>889</v>
      </c>
      <c r="L378" s="55"/>
      <c r="M378" s="55"/>
      <c r="N378" s="55" t="s">
        <v>732</v>
      </c>
      <c r="O378" s="57"/>
      <c r="P378" s="55" t="s">
        <v>1539</v>
      </c>
      <c r="Q378" s="55"/>
      <c r="R378" s="55" t="n">
        <v>0</v>
      </c>
      <c r="S378" s="55" t="n">
        <v>23</v>
      </c>
      <c r="T378" s="55"/>
      <c r="U378" s="55" t="s">
        <v>997</v>
      </c>
      <c r="V378" s="55" t="s">
        <v>1201</v>
      </c>
      <c r="W378" s="55" t="s">
        <v>2140</v>
      </c>
      <c r="X378" s="4"/>
      <c r="Y378" s="4"/>
      <c r="Z378" s="4"/>
    </row>
    <row r="379" customFormat="false" ht="15.75" hidden="false" customHeight="true" outlineLevel="0" collapsed="false">
      <c r="A379" s="55" t="n">
        <v>1917</v>
      </c>
      <c r="B379" s="55" t="s">
        <v>998</v>
      </c>
      <c r="C379" s="55" t="s">
        <v>999</v>
      </c>
      <c r="D379" s="55" t="s">
        <v>2279</v>
      </c>
      <c r="E379" s="55" t="s">
        <v>2280</v>
      </c>
      <c r="F379" s="55" t="s">
        <v>1195</v>
      </c>
      <c r="G379" s="55" t="s">
        <v>1195</v>
      </c>
      <c r="H379" s="55" t="s">
        <v>1196</v>
      </c>
      <c r="I379" s="55" t="s">
        <v>934</v>
      </c>
      <c r="J379" s="55" t="s">
        <v>2281</v>
      </c>
      <c r="K379" s="55" t="s">
        <v>889</v>
      </c>
      <c r="L379" s="55"/>
      <c r="M379" s="55"/>
      <c r="N379" s="55" t="s">
        <v>732</v>
      </c>
      <c r="O379" s="57"/>
      <c r="P379" s="55" t="s">
        <v>1539</v>
      </c>
      <c r="Q379" s="55"/>
      <c r="R379" s="55" t="n">
        <v>0</v>
      </c>
      <c r="S379" s="55" t="n">
        <v>19</v>
      </c>
      <c r="T379" s="55"/>
      <c r="U379" s="55" t="s">
        <v>999</v>
      </c>
      <c r="V379" s="55" t="s">
        <v>1201</v>
      </c>
      <c r="W379" s="55" t="s">
        <v>2140</v>
      </c>
      <c r="X379" s="4"/>
      <c r="Y379" s="4"/>
      <c r="Z379" s="4"/>
    </row>
    <row r="380" customFormat="false" ht="15.75" hidden="false" customHeight="true" outlineLevel="0" collapsed="false">
      <c r="A380" s="55" t="n">
        <v>1918</v>
      </c>
      <c r="B380" s="55" t="s">
        <v>1000</v>
      </c>
      <c r="C380" s="55" t="s">
        <v>1001</v>
      </c>
      <c r="D380" s="55" t="s">
        <v>2228</v>
      </c>
      <c r="E380" s="55" t="s">
        <v>2229</v>
      </c>
      <c r="F380" s="55" t="s">
        <v>1195</v>
      </c>
      <c r="G380" s="55" t="s">
        <v>1195</v>
      </c>
      <c r="H380" s="55" t="s">
        <v>1196</v>
      </c>
      <c r="I380" s="55" t="s">
        <v>934</v>
      </c>
      <c r="J380" s="55" t="s">
        <v>2230</v>
      </c>
      <c r="K380" s="55" t="s">
        <v>889</v>
      </c>
      <c r="L380" s="55"/>
      <c r="M380" s="55"/>
      <c r="N380" s="55" t="s">
        <v>732</v>
      </c>
      <c r="O380" s="57"/>
      <c r="P380" s="55" t="s">
        <v>1539</v>
      </c>
      <c r="Q380" s="55"/>
      <c r="R380" s="55" t="n">
        <v>0</v>
      </c>
      <c r="S380" s="55" t="n">
        <v>64</v>
      </c>
      <c r="T380" s="55"/>
      <c r="U380" s="55" t="s">
        <v>1001</v>
      </c>
      <c r="V380" s="55" t="s">
        <v>1201</v>
      </c>
      <c r="W380" s="55" t="s">
        <v>2140</v>
      </c>
      <c r="X380" s="4"/>
      <c r="Y380" s="4"/>
      <c r="Z380" s="4"/>
    </row>
    <row r="381" customFormat="false" ht="15.75" hidden="false" customHeight="true" outlineLevel="0" collapsed="false">
      <c r="A381" s="55" t="n">
        <v>1919</v>
      </c>
      <c r="B381" s="55" t="s">
        <v>1002</v>
      </c>
      <c r="C381" s="55" t="s">
        <v>1003</v>
      </c>
      <c r="D381" s="55" t="s">
        <v>2222</v>
      </c>
      <c r="E381" s="55" t="s">
        <v>2223</v>
      </c>
      <c r="F381" s="55" t="s">
        <v>1195</v>
      </c>
      <c r="G381" s="55" t="s">
        <v>1195</v>
      </c>
      <c r="H381" s="55" t="s">
        <v>1196</v>
      </c>
      <c r="I381" s="55" t="s">
        <v>934</v>
      </c>
      <c r="J381" s="55" t="s">
        <v>2224</v>
      </c>
      <c r="K381" s="55" t="s">
        <v>889</v>
      </c>
      <c r="L381" s="55"/>
      <c r="M381" s="55"/>
      <c r="N381" s="55" t="s">
        <v>732</v>
      </c>
      <c r="O381" s="57"/>
      <c r="P381" s="55" t="s">
        <v>1539</v>
      </c>
      <c r="Q381" s="55"/>
      <c r="R381" s="55" t="n">
        <v>0</v>
      </c>
      <c r="S381" s="55" t="n">
        <v>11</v>
      </c>
      <c r="T381" s="55"/>
      <c r="U381" s="55" t="s">
        <v>1003</v>
      </c>
      <c r="V381" s="55" t="s">
        <v>1201</v>
      </c>
      <c r="W381" s="55" t="s">
        <v>2140</v>
      </c>
      <c r="X381" s="4"/>
      <c r="Y381" s="4"/>
      <c r="Z381" s="4"/>
    </row>
    <row r="382" customFormat="false" ht="15.75" hidden="false" customHeight="true" outlineLevel="0" collapsed="false">
      <c r="A382" s="55" t="n">
        <v>1920</v>
      </c>
      <c r="B382" s="55" t="s">
        <v>1004</v>
      </c>
      <c r="C382" s="55" t="s">
        <v>1005</v>
      </c>
      <c r="D382" s="55" t="s">
        <v>2177</v>
      </c>
      <c r="E382" s="55" t="s">
        <v>2178</v>
      </c>
      <c r="F382" s="55" t="s">
        <v>1195</v>
      </c>
      <c r="G382" s="55" t="s">
        <v>1195</v>
      </c>
      <c r="H382" s="55" t="s">
        <v>1196</v>
      </c>
      <c r="I382" s="55" t="s">
        <v>934</v>
      </c>
      <c r="J382" s="55" t="s">
        <v>2179</v>
      </c>
      <c r="K382" s="55" t="s">
        <v>889</v>
      </c>
      <c r="L382" s="55"/>
      <c r="M382" s="55"/>
      <c r="N382" s="55" t="s">
        <v>732</v>
      </c>
      <c r="O382" s="57"/>
      <c r="P382" s="55" t="s">
        <v>1539</v>
      </c>
      <c r="Q382" s="55"/>
      <c r="R382" s="55" t="n">
        <v>0</v>
      </c>
      <c r="S382" s="55" t="n">
        <v>6</v>
      </c>
      <c r="T382" s="55"/>
      <c r="U382" s="55" t="s">
        <v>1005</v>
      </c>
      <c r="V382" s="55" t="s">
        <v>1201</v>
      </c>
      <c r="W382" s="55" t="s">
        <v>2140</v>
      </c>
      <c r="X382" s="4"/>
      <c r="Y382" s="4"/>
      <c r="Z382" s="4"/>
    </row>
    <row r="383" customFormat="false" ht="15.75" hidden="false" customHeight="true" outlineLevel="0" collapsed="false">
      <c r="A383" s="55" t="n">
        <v>1921</v>
      </c>
      <c r="B383" s="55" t="s">
        <v>1006</v>
      </c>
      <c r="C383" s="55" t="s">
        <v>1007</v>
      </c>
      <c r="D383" s="55" t="s">
        <v>2180</v>
      </c>
      <c r="E383" s="55" t="s">
        <v>2181</v>
      </c>
      <c r="F383" s="55" t="s">
        <v>1195</v>
      </c>
      <c r="G383" s="55" t="s">
        <v>1195</v>
      </c>
      <c r="H383" s="55" t="s">
        <v>1196</v>
      </c>
      <c r="I383" s="55" t="s">
        <v>934</v>
      </c>
      <c r="J383" s="55" t="s">
        <v>2182</v>
      </c>
      <c r="K383" s="55" t="s">
        <v>889</v>
      </c>
      <c r="L383" s="55"/>
      <c r="M383" s="55"/>
      <c r="N383" s="55" t="s">
        <v>732</v>
      </c>
      <c r="O383" s="57"/>
      <c r="P383" s="55" t="s">
        <v>1539</v>
      </c>
      <c r="Q383" s="55"/>
      <c r="R383" s="55" t="n">
        <v>0</v>
      </c>
      <c r="S383" s="55" t="n">
        <v>10</v>
      </c>
      <c r="T383" s="55"/>
      <c r="U383" s="55" t="s">
        <v>1007</v>
      </c>
      <c r="V383" s="55" t="s">
        <v>1201</v>
      </c>
      <c r="W383" s="55" t="s">
        <v>2140</v>
      </c>
      <c r="X383" s="4"/>
      <c r="Y383" s="4"/>
      <c r="Z383" s="4"/>
    </row>
    <row r="384" customFormat="false" ht="15.75" hidden="false" customHeight="true" outlineLevel="0" collapsed="false">
      <c r="A384" s="55" t="n">
        <v>1922</v>
      </c>
      <c r="B384" s="55" t="s">
        <v>1008</v>
      </c>
      <c r="C384" s="55" t="s">
        <v>1009</v>
      </c>
      <c r="D384" s="55" t="s">
        <v>2183</v>
      </c>
      <c r="E384" s="55" t="s">
        <v>2184</v>
      </c>
      <c r="F384" s="55" t="s">
        <v>1195</v>
      </c>
      <c r="G384" s="55" t="s">
        <v>1195</v>
      </c>
      <c r="H384" s="55" t="s">
        <v>1196</v>
      </c>
      <c r="I384" s="55" t="s">
        <v>934</v>
      </c>
      <c r="J384" s="55" t="s">
        <v>2185</v>
      </c>
      <c r="K384" s="55" t="s">
        <v>889</v>
      </c>
      <c r="L384" s="55"/>
      <c r="M384" s="55"/>
      <c r="N384" s="55" t="s">
        <v>732</v>
      </c>
      <c r="O384" s="57"/>
      <c r="P384" s="55" t="s">
        <v>1539</v>
      </c>
      <c r="Q384" s="55"/>
      <c r="R384" s="55" t="n">
        <v>0</v>
      </c>
      <c r="S384" s="55" t="n">
        <v>33</v>
      </c>
      <c r="T384" s="55"/>
      <c r="U384" s="55" t="s">
        <v>1009</v>
      </c>
      <c r="V384" s="55" t="s">
        <v>1201</v>
      </c>
      <c r="W384" s="55" t="s">
        <v>2140</v>
      </c>
      <c r="X384" s="4"/>
      <c r="Y384" s="4"/>
      <c r="Z384" s="4"/>
    </row>
    <row r="385" customFormat="false" ht="15.75" hidden="false" customHeight="true" outlineLevel="0" collapsed="false">
      <c r="A385" s="55" t="n">
        <v>1923</v>
      </c>
      <c r="B385" s="55" t="s">
        <v>1010</v>
      </c>
      <c r="C385" s="55" t="s">
        <v>1011</v>
      </c>
      <c r="D385" s="55" t="s">
        <v>2186</v>
      </c>
      <c r="E385" s="55" t="s">
        <v>2187</v>
      </c>
      <c r="F385" s="55" t="s">
        <v>1195</v>
      </c>
      <c r="G385" s="55" t="s">
        <v>1195</v>
      </c>
      <c r="H385" s="55" t="s">
        <v>1196</v>
      </c>
      <c r="I385" s="55" t="s">
        <v>934</v>
      </c>
      <c r="J385" s="55" t="s">
        <v>2188</v>
      </c>
      <c r="K385" s="55" t="s">
        <v>889</v>
      </c>
      <c r="L385" s="55"/>
      <c r="M385" s="55"/>
      <c r="N385" s="55" t="s">
        <v>732</v>
      </c>
      <c r="O385" s="57"/>
      <c r="P385" s="55" t="s">
        <v>1539</v>
      </c>
      <c r="Q385" s="55"/>
      <c r="R385" s="55" t="n">
        <v>0</v>
      </c>
      <c r="S385" s="55" t="n">
        <v>14</v>
      </c>
      <c r="T385" s="55"/>
      <c r="U385" s="55" t="s">
        <v>1011</v>
      </c>
      <c r="V385" s="55" t="s">
        <v>1201</v>
      </c>
      <c r="W385" s="55" t="s">
        <v>2140</v>
      </c>
      <c r="X385" s="4"/>
      <c r="Y385" s="4"/>
      <c r="Z385" s="4"/>
    </row>
    <row r="386" customFormat="false" ht="15.75" hidden="false" customHeight="true" outlineLevel="0" collapsed="false">
      <c r="A386" s="55" t="n">
        <v>1924</v>
      </c>
      <c r="B386" s="55" t="s">
        <v>1012</v>
      </c>
      <c r="C386" s="55" t="s">
        <v>1013</v>
      </c>
      <c r="D386" s="55" t="s">
        <v>2189</v>
      </c>
      <c r="E386" s="55" t="s">
        <v>2190</v>
      </c>
      <c r="F386" s="55" t="s">
        <v>1195</v>
      </c>
      <c r="G386" s="55" t="s">
        <v>1195</v>
      </c>
      <c r="H386" s="55" t="s">
        <v>1196</v>
      </c>
      <c r="I386" s="55" t="s">
        <v>934</v>
      </c>
      <c r="J386" s="55" t="s">
        <v>2191</v>
      </c>
      <c r="K386" s="55" t="s">
        <v>889</v>
      </c>
      <c r="L386" s="55"/>
      <c r="M386" s="55"/>
      <c r="N386" s="55" t="s">
        <v>732</v>
      </c>
      <c r="O386" s="57"/>
      <c r="P386" s="55" t="s">
        <v>1539</v>
      </c>
      <c r="Q386" s="55"/>
      <c r="R386" s="55" t="n">
        <v>0</v>
      </c>
      <c r="S386" s="55" t="n">
        <v>5</v>
      </c>
      <c r="T386" s="55"/>
      <c r="U386" s="55" t="s">
        <v>1013</v>
      </c>
      <c r="V386" s="55" t="s">
        <v>1201</v>
      </c>
      <c r="W386" s="55" t="s">
        <v>2140</v>
      </c>
      <c r="X386" s="4"/>
      <c r="Y386" s="4"/>
      <c r="Z386" s="4"/>
    </row>
    <row r="387" customFormat="false" ht="15.75" hidden="false" customHeight="true" outlineLevel="0" collapsed="false">
      <c r="A387" s="55" t="n">
        <v>1925</v>
      </c>
      <c r="B387" s="55" t="s">
        <v>1014</v>
      </c>
      <c r="C387" s="55" t="s">
        <v>1015</v>
      </c>
      <c r="D387" s="55" t="s">
        <v>2192</v>
      </c>
      <c r="E387" s="55" t="s">
        <v>2193</v>
      </c>
      <c r="F387" s="55" t="s">
        <v>1195</v>
      </c>
      <c r="G387" s="55" t="s">
        <v>1195</v>
      </c>
      <c r="H387" s="55" t="s">
        <v>1196</v>
      </c>
      <c r="I387" s="55" t="s">
        <v>934</v>
      </c>
      <c r="J387" s="55" t="s">
        <v>2194</v>
      </c>
      <c r="K387" s="55" t="s">
        <v>889</v>
      </c>
      <c r="L387" s="55"/>
      <c r="M387" s="55"/>
      <c r="N387" s="55" t="s">
        <v>732</v>
      </c>
      <c r="O387" s="57"/>
      <c r="P387" s="55" t="s">
        <v>1539</v>
      </c>
      <c r="Q387" s="55"/>
      <c r="R387" s="55" t="n">
        <v>0</v>
      </c>
      <c r="S387" s="55" t="n">
        <v>9</v>
      </c>
      <c r="T387" s="55"/>
      <c r="U387" s="55" t="s">
        <v>1015</v>
      </c>
      <c r="V387" s="55" t="s">
        <v>1201</v>
      </c>
      <c r="W387" s="55" t="s">
        <v>2140</v>
      </c>
      <c r="X387" s="4"/>
      <c r="Y387" s="4"/>
      <c r="Z387" s="4"/>
    </row>
    <row r="388" customFormat="false" ht="15.75" hidden="false" customHeight="true" outlineLevel="0" collapsed="false">
      <c r="A388" s="55" t="n">
        <v>1926</v>
      </c>
      <c r="B388" s="55" t="s">
        <v>1016</v>
      </c>
      <c r="C388" s="55" t="s">
        <v>1017</v>
      </c>
      <c r="D388" s="55" t="s">
        <v>2195</v>
      </c>
      <c r="E388" s="55" t="s">
        <v>2196</v>
      </c>
      <c r="F388" s="55" t="s">
        <v>1195</v>
      </c>
      <c r="G388" s="55" t="s">
        <v>1195</v>
      </c>
      <c r="H388" s="55" t="s">
        <v>1196</v>
      </c>
      <c r="I388" s="55" t="s">
        <v>934</v>
      </c>
      <c r="J388" s="55" t="s">
        <v>2197</v>
      </c>
      <c r="K388" s="55" t="s">
        <v>889</v>
      </c>
      <c r="L388" s="55"/>
      <c r="M388" s="55"/>
      <c r="N388" s="55" t="s">
        <v>732</v>
      </c>
      <c r="O388" s="57"/>
      <c r="P388" s="55" t="s">
        <v>1539</v>
      </c>
      <c r="Q388" s="55"/>
      <c r="R388" s="55" t="n">
        <v>0</v>
      </c>
      <c r="S388" s="55" t="n">
        <v>3</v>
      </c>
      <c r="T388" s="55"/>
      <c r="U388" s="55" t="s">
        <v>1017</v>
      </c>
      <c r="V388" s="55" t="s">
        <v>1201</v>
      </c>
      <c r="W388" s="55" t="s">
        <v>2140</v>
      </c>
      <c r="X388" s="4"/>
      <c r="Y388" s="4"/>
      <c r="Z388" s="4"/>
    </row>
    <row r="389" customFormat="false" ht="15.75" hidden="false" customHeight="true" outlineLevel="0" collapsed="false">
      <c r="A389" s="55" t="n">
        <v>1927</v>
      </c>
      <c r="B389" s="55" t="s">
        <v>1018</v>
      </c>
      <c r="C389" s="55" t="s">
        <v>1019</v>
      </c>
      <c r="D389" s="55" t="s">
        <v>2198</v>
      </c>
      <c r="E389" s="55" t="s">
        <v>2199</v>
      </c>
      <c r="F389" s="55" t="s">
        <v>1195</v>
      </c>
      <c r="G389" s="55" t="s">
        <v>1195</v>
      </c>
      <c r="H389" s="55" t="s">
        <v>1196</v>
      </c>
      <c r="I389" s="55" t="s">
        <v>934</v>
      </c>
      <c r="J389" s="55" t="s">
        <v>2200</v>
      </c>
      <c r="K389" s="55" t="s">
        <v>889</v>
      </c>
      <c r="L389" s="55"/>
      <c r="M389" s="55"/>
      <c r="N389" s="55" t="s">
        <v>732</v>
      </c>
      <c r="O389" s="57"/>
      <c r="P389" s="55" t="s">
        <v>1539</v>
      </c>
      <c r="Q389" s="55"/>
      <c r="R389" s="55" t="n">
        <v>0</v>
      </c>
      <c r="S389" s="55" t="n">
        <v>12</v>
      </c>
      <c r="T389" s="55"/>
      <c r="U389" s="55" t="s">
        <v>1019</v>
      </c>
      <c r="V389" s="55" t="s">
        <v>1201</v>
      </c>
      <c r="W389" s="55" t="s">
        <v>2140</v>
      </c>
      <c r="X389" s="4"/>
      <c r="Y389" s="4"/>
      <c r="Z389" s="4"/>
    </row>
    <row r="390" customFormat="false" ht="15.75" hidden="false" customHeight="true" outlineLevel="0" collapsed="false">
      <c r="A390" s="55" t="n">
        <v>1928</v>
      </c>
      <c r="B390" s="55" t="s">
        <v>1020</v>
      </c>
      <c r="C390" s="55" t="s">
        <v>1021</v>
      </c>
      <c r="D390" s="55" t="s">
        <v>2201</v>
      </c>
      <c r="E390" s="55" t="s">
        <v>2202</v>
      </c>
      <c r="F390" s="55" t="s">
        <v>1195</v>
      </c>
      <c r="G390" s="55" t="s">
        <v>1195</v>
      </c>
      <c r="H390" s="55" t="s">
        <v>1196</v>
      </c>
      <c r="I390" s="55" t="s">
        <v>934</v>
      </c>
      <c r="J390" s="55" t="s">
        <v>2203</v>
      </c>
      <c r="K390" s="55" t="s">
        <v>889</v>
      </c>
      <c r="L390" s="55"/>
      <c r="M390" s="55"/>
      <c r="N390" s="55" t="s">
        <v>732</v>
      </c>
      <c r="O390" s="57"/>
      <c r="P390" s="55" t="s">
        <v>1539</v>
      </c>
      <c r="Q390" s="55"/>
      <c r="R390" s="55" t="n">
        <v>0</v>
      </c>
      <c r="S390" s="55" t="n">
        <v>11</v>
      </c>
      <c r="T390" s="55"/>
      <c r="U390" s="55" t="s">
        <v>1021</v>
      </c>
      <c r="V390" s="55" t="s">
        <v>1201</v>
      </c>
      <c r="W390" s="55" t="s">
        <v>2140</v>
      </c>
      <c r="X390" s="4"/>
      <c r="Y390" s="4"/>
      <c r="Z390" s="4"/>
    </row>
    <row r="391" customFormat="false" ht="15.75" hidden="false" customHeight="true" outlineLevel="0" collapsed="false">
      <c r="A391" s="55" t="n">
        <v>1929</v>
      </c>
      <c r="B391" s="55" t="s">
        <v>1022</v>
      </c>
      <c r="C391" s="55" t="s">
        <v>1023</v>
      </c>
      <c r="D391" s="55" t="s">
        <v>2204</v>
      </c>
      <c r="E391" s="55" t="s">
        <v>2205</v>
      </c>
      <c r="F391" s="55" t="s">
        <v>1195</v>
      </c>
      <c r="G391" s="55" t="s">
        <v>1195</v>
      </c>
      <c r="H391" s="55" t="s">
        <v>1196</v>
      </c>
      <c r="I391" s="55" t="s">
        <v>934</v>
      </c>
      <c r="J391" s="55" t="s">
        <v>2206</v>
      </c>
      <c r="K391" s="55" t="s">
        <v>889</v>
      </c>
      <c r="L391" s="55"/>
      <c r="M391" s="55"/>
      <c r="N391" s="55" t="s">
        <v>732</v>
      </c>
      <c r="O391" s="57"/>
      <c r="P391" s="55" t="s">
        <v>1539</v>
      </c>
      <c r="Q391" s="55"/>
      <c r="R391" s="55" t="n">
        <v>0</v>
      </c>
      <c r="S391" s="55" t="n">
        <v>6</v>
      </c>
      <c r="T391" s="55"/>
      <c r="U391" s="55" t="s">
        <v>1023</v>
      </c>
      <c r="V391" s="55" t="s">
        <v>1201</v>
      </c>
      <c r="W391" s="55" t="s">
        <v>2140</v>
      </c>
      <c r="X391" s="4"/>
      <c r="Y391" s="4"/>
      <c r="Z391" s="4"/>
    </row>
    <row r="392" customFormat="false" ht="15.75" hidden="false" customHeight="true" outlineLevel="0" collapsed="false">
      <c r="A392" s="55" t="n">
        <v>1930</v>
      </c>
      <c r="B392" s="55" t="s">
        <v>1024</v>
      </c>
      <c r="C392" s="55" t="s">
        <v>1025</v>
      </c>
      <c r="D392" s="55" t="s">
        <v>2171</v>
      </c>
      <c r="E392" s="55" t="s">
        <v>2172</v>
      </c>
      <c r="F392" s="55" t="s">
        <v>1195</v>
      </c>
      <c r="G392" s="55" t="s">
        <v>1195</v>
      </c>
      <c r="H392" s="55" t="s">
        <v>1196</v>
      </c>
      <c r="I392" s="55" t="s">
        <v>934</v>
      </c>
      <c r="J392" s="55" t="s">
        <v>2173</v>
      </c>
      <c r="K392" s="55" t="s">
        <v>889</v>
      </c>
      <c r="L392" s="55"/>
      <c r="M392" s="55"/>
      <c r="N392" s="55" t="s">
        <v>732</v>
      </c>
      <c r="O392" s="57"/>
      <c r="P392" s="55" t="s">
        <v>1539</v>
      </c>
      <c r="Q392" s="55"/>
      <c r="R392" s="55" t="n">
        <v>0</v>
      </c>
      <c r="S392" s="55" t="n">
        <v>14</v>
      </c>
      <c r="T392" s="55"/>
      <c r="U392" s="55" t="s">
        <v>1025</v>
      </c>
      <c r="V392" s="55" t="s">
        <v>1201</v>
      </c>
      <c r="W392" s="55" t="s">
        <v>2140</v>
      </c>
      <c r="X392" s="4"/>
      <c r="Y392" s="4"/>
      <c r="Z392" s="4"/>
    </row>
    <row r="393" customFormat="false" ht="15.75" hidden="false" customHeight="true" outlineLevel="0" collapsed="false">
      <c r="A393" s="55" t="n">
        <v>1931</v>
      </c>
      <c r="B393" s="55" t="s">
        <v>1026</v>
      </c>
      <c r="C393" s="55" t="s">
        <v>1027</v>
      </c>
      <c r="D393" s="55" t="s">
        <v>2207</v>
      </c>
      <c r="E393" s="55" t="s">
        <v>2208</v>
      </c>
      <c r="F393" s="55" t="s">
        <v>1195</v>
      </c>
      <c r="G393" s="55" t="s">
        <v>1195</v>
      </c>
      <c r="H393" s="55" t="s">
        <v>1196</v>
      </c>
      <c r="I393" s="55" t="s">
        <v>934</v>
      </c>
      <c r="J393" s="55" t="s">
        <v>2209</v>
      </c>
      <c r="K393" s="55" t="s">
        <v>889</v>
      </c>
      <c r="L393" s="55"/>
      <c r="M393" s="55"/>
      <c r="N393" s="55" t="s">
        <v>732</v>
      </c>
      <c r="O393" s="57"/>
      <c r="P393" s="55" t="s">
        <v>1539</v>
      </c>
      <c r="Q393" s="55"/>
      <c r="R393" s="55" t="n">
        <v>0</v>
      </c>
      <c r="S393" s="55" t="n">
        <v>3</v>
      </c>
      <c r="T393" s="55"/>
      <c r="U393" s="55" t="s">
        <v>1027</v>
      </c>
      <c r="V393" s="55" t="s">
        <v>1201</v>
      </c>
      <c r="W393" s="55" t="s">
        <v>2140</v>
      </c>
      <c r="X393" s="4"/>
      <c r="Y393" s="4"/>
      <c r="Z393" s="4"/>
    </row>
    <row r="394" customFormat="false" ht="15.75" hidden="false" customHeight="true" outlineLevel="0" collapsed="false">
      <c r="A394" s="55" t="n">
        <v>1932</v>
      </c>
      <c r="B394" s="55" t="s">
        <v>1028</v>
      </c>
      <c r="C394" s="55" t="s">
        <v>1029</v>
      </c>
      <c r="D394" s="55" t="s">
        <v>2210</v>
      </c>
      <c r="E394" s="55" t="s">
        <v>2211</v>
      </c>
      <c r="F394" s="55" t="s">
        <v>1195</v>
      </c>
      <c r="G394" s="55" t="s">
        <v>1195</v>
      </c>
      <c r="H394" s="55" t="s">
        <v>1196</v>
      </c>
      <c r="I394" s="55" t="s">
        <v>934</v>
      </c>
      <c r="J394" s="55" t="s">
        <v>2212</v>
      </c>
      <c r="K394" s="55" t="s">
        <v>889</v>
      </c>
      <c r="L394" s="55"/>
      <c r="M394" s="55"/>
      <c r="N394" s="55" t="s">
        <v>732</v>
      </c>
      <c r="O394" s="57"/>
      <c r="P394" s="55" t="s">
        <v>1539</v>
      </c>
      <c r="Q394" s="55"/>
      <c r="R394" s="55" t="n">
        <v>0</v>
      </c>
      <c r="S394" s="55" t="n">
        <v>10</v>
      </c>
      <c r="T394" s="55"/>
      <c r="U394" s="55" t="s">
        <v>1029</v>
      </c>
      <c r="V394" s="55" t="s">
        <v>1201</v>
      </c>
      <c r="W394" s="55" t="s">
        <v>2140</v>
      </c>
      <c r="X394" s="4"/>
      <c r="Y394" s="4"/>
      <c r="Z394" s="4"/>
    </row>
    <row r="395" customFormat="false" ht="15.75" hidden="false" customHeight="true" outlineLevel="0" collapsed="false">
      <c r="A395" s="55" t="n">
        <v>1933</v>
      </c>
      <c r="B395" s="55" t="s">
        <v>1030</v>
      </c>
      <c r="C395" s="55" t="s">
        <v>1031</v>
      </c>
      <c r="D395" s="55" t="s">
        <v>2213</v>
      </c>
      <c r="E395" s="55" t="s">
        <v>2214</v>
      </c>
      <c r="F395" s="55" t="s">
        <v>1195</v>
      </c>
      <c r="G395" s="55" t="s">
        <v>1195</v>
      </c>
      <c r="H395" s="55" t="s">
        <v>1196</v>
      </c>
      <c r="I395" s="55" t="s">
        <v>934</v>
      </c>
      <c r="J395" s="55" t="s">
        <v>2215</v>
      </c>
      <c r="K395" s="55" t="s">
        <v>889</v>
      </c>
      <c r="L395" s="55"/>
      <c r="M395" s="55"/>
      <c r="N395" s="55" t="s">
        <v>732</v>
      </c>
      <c r="O395" s="57"/>
      <c r="P395" s="55" t="s">
        <v>1539</v>
      </c>
      <c r="Q395" s="55"/>
      <c r="R395" s="55" t="n">
        <v>0</v>
      </c>
      <c r="S395" s="55" t="n">
        <v>8</v>
      </c>
      <c r="T395" s="55"/>
      <c r="U395" s="55" t="s">
        <v>1031</v>
      </c>
      <c r="V395" s="55" t="s">
        <v>1201</v>
      </c>
      <c r="W395" s="55" t="s">
        <v>2140</v>
      </c>
      <c r="X395" s="4"/>
      <c r="Y395" s="4"/>
      <c r="Z395" s="4"/>
    </row>
    <row r="396" customFormat="false" ht="15.75" hidden="false" customHeight="true" outlineLevel="0" collapsed="false">
      <c r="A396" s="55" t="n">
        <v>1934</v>
      </c>
      <c r="B396" s="55" t="s">
        <v>1032</v>
      </c>
      <c r="C396" s="55" t="s">
        <v>1033</v>
      </c>
      <c r="D396" s="55" t="s">
        <v>2216</v>
      </c>
      <c r="E396" s="55" t="s">
        <v>2217</v>
      </c>
      <c r="F396" s="55" t="s">
        <v>1195</v>
      </c>
      <c r="G396" s="55" t="s">
        <v>1195</v>
      </c>
      <c r="H396" s="55" t="s">
        <v>1196</v>
      </c>
      <c r="I396" s="55" t="s">
        <v>934</v>
      </c>
      <c r="J396" s="55" t="s">
        <v>2218</v>
      </c>
      <c r="K396" s="55" t="s">
        <v>889</v>
      </c>
      <c r="L396" s="55"/>
      <c r="M396" s="55"/>
      <c r="N396" s="55" t="s">
        <v>732</v>
      </c>
      <c r="O396" s="57"/>
      <c r="P396" s="55" t="s">
        <v>1539</v>
      </c>
      <c r="Q396" s="55"/>
      <c r="R396" s="55" t="n">
        <v>0</v>
      </c>
      <c r="S396" s="55" t="n">
        <v>8</v>
      </c>
      <c r="T396" s="55"/>
      <c r="U396" s="55" t="s">
        <v>1033</v>
      </c>
      <c r="V396" s="55" t="s">
        <v>1201</v>
      </c>
      <c r="W396" s="55" t="s">
        <v>2140</v>
      </c>
      <c r="X396" s="4"/>
      <c r="Y396" s="4"/>
      <c r="Z396" s="4"/>
    </row>
    <row r="397" customFormat="false" ht="15.75" hidden="false" customHeight="true" outlineLevel="0" collapsed="false">
      <c r="A397" s="55" t="n">
        <v>1935</v>
      </c>
      <c r="B397" s="55" t="s">
        <v>1034</v>
      </c>
      <c r="C397" s="55" t="s">
        <v>1035</v>
      </c>
      <c r="D397" s="55" t="s">
        <v>2219</v>
      </c>
      <c r="E397" s="55" t="s">
        <v>2220</v>
      </c>
      <c r="F397" s="55" t="s">
        <v>1195</v>
      </c>
      <c r="G397" s="55" t="s">
        <v>1195</v>
      </c>
      <c r="H397" s="55" t="s">
        <v>1196</v>
      </c>
      <c r="I397" s="55" t="s">
        <v>934</v>
      </c>
      <c r="J397" s="55" t="s">
        <v>2221</v>
      </c>
      <c r="K397" s="55" t="s">
        <v>889</v>
      </c>
      <c r="L397" s="55"/>
      <c r="M397" s="55"/>
      <c r="N397" s="55" t="s">
        <v>732</v>
      </c>
      <c r="O397" s="57"/>
      <c r="P397" s="55" t="s">
        <v>1539</v>
      </c>
      <c r="Q397" s="55"/>
      <c r="R397" s="55" t="n">
        <v>0</v>
      </c>
      <c r="S397" s="55" t="n">
        <v>16</v>
      </c>
      <c r="T397" s="55"/>
      <c r="U397" s="55" t="s">
        <v>1035</v>
      </c>
      <c r="V397" s="55" t="s">
        <v>1201</v>
      </c>
      <c r="W397" s="55" t="s">
        <v>2140</v>
      </c>
      <c r="X397" s="4"/>
      <c r="Y397" s="4"/>
      <c r="Z397" s="4"/>
    </row>
    <row r="398" customFormat="false" ht="15.75" hidden="false" customHeight="true" outlineLevel="0" collapsed="false">
      <c r="A398" s="55" t="n">
        <v>1936</v>
      </c>
      <c r="B398" s="55"/>
      <c r="C398" s="55" t="s">
        <v>935</v>
      </c>
      <c r="D398" s="55" t="s">
        <v>2031</v>
      </c>
      <c r="E398" s="55"/>
      <c r="F398" s="55" t="s">
        <v>1194</v>
      </c>
      <c r="G398" s="55" t="s">
        <v>1194</v>
      </c>
      <c r="H398" s="55" t="s">
        <v>1196</v>
      </c>
      <c r="I398" s="55" t="s">
        <v>934</v>
      </c>
      <c r="J398" s="55" t="s">
        <v>2032</v>
      </c>
      <c r="K398" s="55" t="s">
        <v>889</v>
      </c>
      <c r="L398" s="55"/>
      <c r="M398" s="55"/>
      <c r="N398" s="55" t="s">
        <v>732</v>
      </c>
      <c r="O398" s="57"/>
      <c r="P398" s="55" t="s">
        <v>1539</v>
      </c>
      <c r="Q398" s="55"/>
      <c r="R398" s="55" t="n">
        <v>0</v>
      </c>
      <c r="S398" s="55" t="n">
        <v>76</v>
      </c>
      <c r="T398" s="55"/>
      <c r="U398" s="55"/>
      <c r="V398" s="55"/>
      <c r="W398" s="58" t="s">
        <v>2033</v>
      </c>
      <c r="X398" s="4"/>
      <c r="Y398" s="4"/>
      <c r="Z398" s="4"/>
    </row>
    <row r="399" customFormat="false" ht="15.75" hidden="false" customHeight="true" outlineLevel="0" collapsed="false">
      <c r="A399" s="55" t="n">
        <v>1937</v>
      </c>
      <c r="B399" s="55"/>
      <c r="C399" s="55" t="s">
        <v>933</v>
      </c>
      <c r="D399" s="55" t="s">
        <v>2104</v>
      </c>
      <c r="E399" s="55" t="s">
        <v>2105</v>
      </c>
      <c r="F399" s="55" t="s">
        <v>1195</v>
      </c>
      <c r="G399" s="55" t="s">
        <v>1195</v>
      </c>
      <c r="H399" s="55" t="s">
        <v>1196</v>
      </c>
      <c r="I399" s="55" t="s">
        <v>934</v>
      </c>
      <c r="J399" s="55" t="s">
        <v>2106</v>
      </c>
      <c r="K399" s="55" t="s">
        <v>889</v>
      </c>
      <c r="L399" s="55"/>
      <c r="M399" s="55"/>
      <c r="N399" s="55" t="s">
        <v>732</v>
      </c>
      <c r="O399" s="57"/>
      <c r="P399" s="55" t="s">
        <v>1539</v>
      </c>
      <c r="Q399" s="55"/>
      <c r="R399" s="55" t="n">
        <v>0</v>
      </c>
      <c r="S399" s="55" t="n">
        <v>39</v>
      </c>
      <c r="T399" s="55"/>
      <c r="U399" s="55" t="s">
        <v>933</v>
      </c>
      <c r="V399" s="55" t="s">
        <v>1201</v>
      </c>
      <c r="W399" s="55" t="s">
        <v>2039</v>
      </c>
      <c r="X399" s="4"/>
      <c r="Y399" s="4"/>
      <c r="Z399" s="4"/>
    </row>
    <row r="400" customFormat="false" ht="15.75" hidden="false" customHeight="true" outlineLevel="0" collapsed="false">
      <c r="A400" s="55" t="n">
        <v>1938</v>
      </c>
      <c r="B400" s="55"/>
      <c r="C400" s="55" t="s">
        <v>729</v>
      </c>
      <c r="D400" s="55" t="s">
        <v>2564</v>
      </c>
      <c r="E400" s="55"/>
      <c r="F400" s="55" t="s">
        <v>1194</v>
      </c>
      <c r="G400" s="55" t="s">
        <v>1194</v>
      </c>
      <c r="H400" s="55" t="s">
        <v>1196</v>
      </c>
      <c r="I400" s="55" t="s">
        <v>730</v>
      </c>
      <c r="J400" s="55" t="s">
        <v>2565</v>
      </c>
      <c r="K400" s="55" t="s">
        <v>731</v>
      </c>
      <c r="L400" s="55"/>
      <c r="M400" s="55"/>
      <c r="N400" s="55" t="s">
        <v>732</v>
      </c>
      <c r="O400" s="57"/>
      <c r="P400" s="55" t="s">
        <v>1539</v>
      </c>
      <c r="Q400" s="55"/>
      <c r="R400" s="55" t="n">
        <v>0</v>
      </c>
      <c r="S400" s="55" t="n">
        <v>139</v>
      </c>
      <c r="T400" s="55"/>
      <c r="U400" s="55"/>
      <c r="V400" s="55"/>
      <c r="W400" s="58" t="s">
        <v>2566</v>
      </c>
      <c r="X400" s="4"/>
      <c r="Y400" s="4"/>
      <c r="Z400" s="4"/>
    </row>
    <row r="401" customFormat="false" ht="15.75" hidden="false" customHeight="true" outlineLevel="0" collapsed="false">
      <c r="A401" s="55" t="n">
        <v>1939</v>
      </c>
      <c r="B401" s="55"/>
      <c r="C401" s="55" t="s">
        <v>734</v>
      </c>
      <c r="D401" s="55" t="s">
        <v>2556</v>
      </c>
      <c r="E401" s="55" t="s">
        <v>2556</v>
      </c>
      <c r="F401" s="55" t="s">
        <v>1194</v>
      </c>
      <c r="G401" s="55" t="s">
        <v>1195</v>
      </c>
      <c r="H401" s="55" t="s">
        <v>1196</v>
      </c>
      <c r="I401" s="55" t="s">
        <v>730</v>
      </c>
      <c r="J401" s="55" t="s">
        <v>2557</v>
      </c>
      <c r="K401" s="55" t="s">
        <v>731</v>
      </c>
      <c r="L401" s="55"/>
      <c r="M401" s="55"/>
      <c r="N401" s="55" t="s">
        <v>732</v>
      </c>
      <c r="O401" s="57"/>
      <c r="P401" s="55" t="s">
        <v>1539</v>
      </c>
      <c r="Q401" s="55"/>
      <c r="R401" s="55" t="n">
        <v>98</v>
      </c>
      <c r="S401" s="55" t="n">
        <v>757</v>
      </c>
      <c r="T401" s="55"/>
      <c r="U401" s="55" t="s">
        <v>734</v>
      </c>
      <c r="V401" s="55" t="s">
        <v>2558</v>
      </c>
      <c r="W401" s="55" t="s">
        <v>2559</v>
      </c>
      <c r="X401" s="4"/>
      <c r="Y401" s="4"/>
      <c r="Z401" s="4"/>
    </row>
    <row r="402" customFormat="false" ht="15.75" hidden="false" customHeight="true" outlineLevel="0" collapsed="false">
      <c r="A402" s="55" t="n">
        <v>1940</v>
      </c>
      <c r="B402" s="55"/>
      <c r="C402" s="55" t="s">
        <v>733</v>
      </c>
      <c r="D402" s="55" t="s">
        <v>2560</v>
      </c>
      <c r="E402" s="55" t="s">
        <v>2560</v>
      </c>
      <c r="F402" s="55" t="s">
        <v>1194</v>
      </c>
      <c r="G402" s="55" t="s">
        <v>1195</v>
      </c>
      <c r="H402" s="55" t="s">
        <v>1196</v>
      </c>
      <c r="I402" s="55" t="s">
        <v>730</v>
      </c>
      <c r="J402" s="55" t="s">
        <v>2561</v>
      </c>
      <c r="K402" s="55" t="s">
        <v>731</v>
      </c>
      <c r="L402" s="55"/>
      <c r="M402" s="55"/>
      <c r="N402" s="55" t="s">
        <v>732</v>
      </c>
      <c r="O402" s="57"/>
      <c r="P402" s="55" t="s">
        <v>1539</v>
      </c>
      <c r="Q402" s="55"/>
      <c r="R402" s="55" t="n">
        <v>0</v>
      </c>
      <c r="S402" s="55" t="n">
        <v>538</v>
      </c>
      <c r="T402" s="55"/>
      <c r="U402" s="55" t="s">
        <v>733</v>
      </c>
      <c r="V402" s="55" t="s">
        <v>2562</v>
      </c>
      <c r="W402" s="55" t="s">
        <v>2563</v>
      </c>
      <c r="X402" s="4"/>
      <c r="Y402" s="4"/>
      <c r="Z402" s="4"/>
    </row>
    <row r="403" customFormat="false" ht="15.75" hidden="false" customHeight="true" outlineLevel="0" collapsed="false">
      <c r="A403" s="55" t="n">
        <v>1941</v>
      </c>
      <c r="B403" s="55"/>
      <c r="C403" s="55" t="s">
        <v>877</v>
      </c>
      <c r="D403" s="55" t="s">
        <v>2028</v>
      </c>
      <c r="E403" s="55" t="s">
        <v>2028</v>
      </c>
      <c r="F403" s="55" t="s">
        <v>1194</v>
      </c>
      <c r="G403" s="55" t="s">
        <v>1195</v>
      </c>
      <c r="H403" s="55" t="s">
        <v>1196</v>
      </c>
      <c r="I403" s="55" t="s">
        <v>878</v>
      </c>
      <c r="J403" s="55" t="s">
        <v>2029</v>
      </c>
      <c r="K403" s="55" t="s">
        <v>879</v>
      </c>
      <c r="L403" s="55"/>
      <c r="M403" s="55"/>
      <c r="N403" s="55" t="s">
        <v>732</v>
      </c>
      <c r="O403" s="57"/>
      <c r="P403" s="55" t="s">
        <v>1539</v>
      </c>
      <c r="Q403" s="55"/>
      <c r="R403" s="55" t="n">
        <v>0</v>
      </c>
      <c r="S403" s="55" t="n">
        <v>206</v>
      </c>
      <c r="T403" s="55"/>
      <c r="U403" s="55" t="s">
        <v>877</v>
      </c>
      <c r="V403" s="55" t="s">
        <v>1201</v>
      </c>
      <c r="W403" s="55" t="s">
        <v>2030</v>
      </c>
      <c r="X403" s="4"/>
      <c r="Y403" s="4"/>
      <c r="Z403" s="4"/>
    </row>
    <row r="404" customFormat="false" ht="15.75" hidden="false" customHeight="true" outlineLevel="0" collapsed="false">
      <c r="A404" s="55" t="n">
        <v>1942</v>
      </c>
      <c r="B404" s="55"/>
      <c r="C404" s="55" t="s">
        <v>880</v>
      </c>
      <c r="D404" s="55" t="s">
        <v>1987</v>
      </c>
      <c r="E404" s="55" t="s">
        <v>1987</v>
      </c>
      <c r="F404" s="55" t="s">
        <v>1194</v>
      </c>
      <c r="G404" s="55" t="s">
        <v>1195</v>
      </c>
      <c r="H404" s="55" t="s">
        <v>1196</v>
      </c>
      <c r="I404" s="55" t="s">
        <v>881</v>
      </c>
      <c r="J404" s="55" t="s">
        <v>1988</v>
      </c>
      <c r="K404" s="55" t="s">
        <v>879</v>
      </c>
      <c r="L404" s="55"/>
      <c r="M404" s="55"/>
      <c r="N404" s="55" t="s">
        <v>732</v>
      </c>
      <c r="O404" s="57"/>
      <c r="P404" s="55" t="s">
        <v>1539</v>
      </c>
      <c r="Q404" s="55"/>
      <c r="R404" s="55" t="n">
        <v>14</v>
      </c>
      <c r="S404" s="55" t="n">
        <v>271</v>
      </c>
      <c r="T404" s="55"/>
      <c r="U404" s="55" t="s">
        <v>880</v>
      </c>
      <c r="V404" s="55" t="s">
        <v>1201</v>
      </c>
      <c r="W404" s="55" t="s">
        <v>1989</v>
      </c>
      <c r="X404" s="4"/>
      <c r="Y404" s="4"/>
      <c r="Z404" s="4"/>
    </row>
    <row r="405" customFormat="false" ht="15.75" hidden="false" customHeight="true" outlineLevel="0" collapsed="false">
      <c r="A405" s="55" t="n">
        <v>1943</v>
      </c>
      <c r="B405" s="55"/>
      <c r="C405" s="55" t="s">
        <v>735</v>
      </c>
      <c r="D405" s="55" t="s">
        <v>2692</v>
      </c>
      <c r="E405" s="55" t="s">
        <v>2692</v>
      </c>
      <c r="F405" s="55" t="s">
        <v>1194</v>
      </c>
      <c r="G405" s="55" t="s">
        <v>1195</v>
      </c>
      <c r="H405" s="55" t="s">
        <v>1196</v>
      </c>
      <c r="I405" s="55" t="s">
        <v>736</v>
      </c>
      <c r="J405" s="55" t="s">
        <v>2693</v>
      </c>
      <c r="K405" s="55"/>
      <c r="L405" s="55"/>
      <c r="M405" s="55"/>
      <c r="N405" s="55" t="s">
        <v>732</v>
      </c>
      <c r="O405" s="57"/>
      <c r="P405" s="55" t="s">
        <v>1539</v>
      </c>
      <c r="Q405" s="55"/>
      <c r="R405" s="55" t="n">
        <v>0</v>
      </c>
      <c r="S405" s="55" t="n">
        <v>10</v>
      </c>
      <c r="T405" s="55"/>
      <c r="U405" s="55" t="s">
        <v>735</v>
      </c>
      <c r="V405" s="55" t="s">
        <v>1201</v>
      </c>
      <c r="W405" s="55" t="s">
        <v>2694</v>
      </c>
      <c r="X405" s="4"/>
      <c r="Y405" s="4"/>
      <c r="Z405" s="4"/>
    </row>
    <row r="406" customFormat="false" ht="15.75" hidden="false" customHeight="true" outlineLevel="0" collapsed="false">
      <c r="A406" s="55" t="n">
        <v>1944</v>
      </c>
      <c r="B406" s="55" t="s">
        <v>634</v>
      </c>
      <c r="C406" s="55" t="s">
        <v>635</v>
      </c>
      <c r="D406" s="55" t="s">
        <v>2567</v>
      </c>
      <c r="E406" s="55"/>
      <c r="F406" s="55" t="s">
        <v>1194</v>
      </c>
      <c r="G406" s="55" t="s">
        <v>1194</v>
      </c>
      <c r="H406" s="55" t="s">
        <v>1248</v>
      </c>
      <c r="I406" s="55" t="s">
        <v>599</v>
      </c>
      <c r="J406" s="55" t="s">
        <v>2568</v>
      </c>
      <c r="K406" s="55" t="s">
        <v>636</v>
      </c>
      <c r="L406" s="55"/>
      <c r="M406" s="55"/>
      <c r="N406" s="55" t="s">
        <v>417</v>
      </c>
      <c r="O406" s="57"/>
      <c r="P406" s="55"/>
      <c r="Q406" s="55"/>
      <c r="R406" s="55" t="n">
        <v>1</v>
      </c>
      <c r="S406" s="55" t="n">
        <v>282</v>
      </c>
      <c r="T406" s="55"/>
      <c r="U406" s="55"/>
      <c r="V406" s="55"/>
      <c r="W406" s="58" t="s">
        <v>2569</v>
      </c>
      <c r="X406" s="4"/>
      <c r="Y406" s="4"/>
      <c r="Z406" s="4"/>
    </row>
    <row r="407" customFormat="false" ht="15.75" hidden="false" customHeight="true" outlineLevel="0" collapsed="false">
      <c r="A407" s="55" t="n">
        <v>1945</v>
      </c>
      <c r="B407" s="55" t="s">
        <v>1291</v>
      </c>
      <c r="C407" s="55" t="s">
        <v>1292</v>
      </c>
      <c r="D407" s="55" t="s">
        <v>1293</v>
      </c>
      <c r="E407" s="55" t="s">
        <v>1294</v>
      </c>
      <c r="F407" s="55" t="s">
        <v>1195</v>
      </c>
      <c r="G407" s="55" t="s">
        <v>1195</v>
      </c>
      <c r="H407" s="55" t="s">
        <v>1248</v>
      </c>
      <c r="I407" s="55" t="s">
        <v>172</v>
      </c>
      <c r="J407" s="55" t="s">
        <v>1295</v>
      </c>
      <c r="K407" s="55" t="s">
        <v>1296</v>
      </c>
      <c r="L407" s="55" t="n">
        <v>0.4375</v>
      </c>
      <c r="M407" s="55" t="n">
        <v>5.25</v>
      </c>
      <c r="N407" s="55" t="s">
        <v>1297</v>
      </c>
      <c r="O407" s="55" t="s">
        <v>1298</v>
      </c>
      <c r="P407" s="55"/>
      <c r="Q407" s="55"/>
      <c r="R407" s="55" t="n">
        <v>0</v>
      </c>
      <c r="S407" s="55" t="n">
        <v>251</v>
      </c>
      <c r="T407" s="55"/>
      <c r="U407" s="55" t="s">
        <v>1299</v>
      </c>
      <c r="V407" s="55" t="s">
        <v>1300</v>
      </c>
      <c r="W407" s="55" t="s">
        <v>1301</v>
      </c>
      <c r="X407" s="4"/>
      <c r="Y407" s="4"/>
      <c r="Z407" s="4"/>
    </row>
    <row r="408" customFormat="false" ht="15.75" hidden="false" customHeight="true" outlineLevel="0" collapsed="false">
      <c r="A408" s="55" t="n">
        <v>1946</v>
      </c>
      <c r="B408" s="55" t="s">
        <v>1073</v>
      </c>
      <c r="C408" s="55" t="s">
        <v>1074</v>
      </c>
      <c r="D408" s="55" t="s">
        <v>2605</v>
      </c>
      <c r="E408" s="55" t="s">
        <v>2605</v>
      </c>
      <c r="F408" s="55" t="s">
        <v>1194</v>
      </c>
      <c r="G408" s="55" t="s">
        <v>1195</v>
      </c>
      <c r="H408" s="55" t="s">
        <v>1448</v>
      </c>
      <c r="I408" s="55" t="s">
        <v>1061</v>
      </c>
      <c r="J408" s="55" t="s">
        <v>2606</v>
      </c>
      <c r="K408" s="55"/>
      <c r="L408" s="55"/>
      <c r="M408" s="55"/>
      <c r="N408" s="55" t="s">
        <v>1075</v>
      </c>
      <c r="O408" s="57"/>
      <c r="P408" s="55"/>
      <c r="Q408" s="55" t="s">
        <v>1078</v>
      </c>
      <c r="R408" s="55" t="n">
        <v>48</v>
      </c>
      <c r="S408" s="55" t="n">
        <v>68</v>
      </c>
      <c r="T408" s="55"/>
      <c r="U408" s="55" t="s">
        <v>1074</v>
      </c>
      <c r="V408" s="55" t="s">
        <v>2607</v>
      </c>
      <c r="W408" s="55" t="s">
        <v>2575</v>
      </c>
      <c r="X408" s="4"/>
      <c r="Y408" s="4"/>
      <c r="Z408" s="4"/>
    </row>
    <row r="409" customFormat="false" ht="15.75" hidden="false" customHeight="true" outlineLevel="0" collapsed="false">
      <c r="A409" s="55" t="n">
        <v>1948</v>
      </c>
      <c r="B409" s="55" t="s">
        <v>1076</v>
      </c>
      <c r="C409" s="55" t="s">
        <v>1077</v>
      </c>
      <c r="D409" s="55" t="s">
        <v>2725</v>
      </c>
      <c r="E409" s="55"/>
      <c r="F409" s="55" t="s">
        <v>1194</v>
      </c>
      <c r="G409" s="55" t="s">
        <v>1194</v>
      </c>
      <c r="H409" s="55" t="s">
        <v>1448</v>
      </c>
      <c r="I409" s="55" t="s">
        <v>1061</v>
      </c>
      <c r="J409" s="55" t="s">
        <v>2726</v>
      </c>
      <c r="K409" s="55"/>
      <c r="L409" s="55"/>
      <c r="M409" s="55"/>
      <c r="N409" s="55" t="s">
        <v>1078</v>
      </c>
      <c r="O409" s="57"/>
      <c r="P409" s="55"/>
      <c r="Q409" s="55" t="s">
        <v>1078</v>
      </c>
      <c r="R409" s="55" t="n">
        <v>32</v>
      </c>
      <c r="S409" s="55" t="n">
        <v>45</v>
      </c>
      <c r="T409" s="55"/>
      <c r="U409" s="55"/>
      <c r="V409" s="55"/>
      <c r="W409" s="58" t="s">
        <v>2706</v>
      </c>
      <c r="X409" s="4"/>
      <c r="Y409" s="4"/>
      <c r="Z409" s="4"/>
    </row>
    <row r="410" customFormat="false" ht="15.75" hidden="false" customHeight="true" outlineLevel="0" collapsed="false">
      <c r="A410" s="55" t="n">
        <v>1949</v>
      </c>
      <c r="B410" s="55" t="s">
        <v>890</v>
      </c>
      <c r="C410" s="55" t="s">
        <v>891</v>
      </c>
      <c r="D410" s="55" t="s">
        <v>1694</v>
      </c>
      <c r="E410" s="55" t="s">
        <v>1694</v>
      </c>
      <c r="F410" s="55" t="s">
        <v>1194</v>
      </c>
      <c r="G410" s="55" t="s">
        <v>1195</v>
      </c>
      <c r="H410" s="55" t="s">
        <v>1196</v>
      </c>
      <c r="I410" s="55" t="s">
        <v>886</v>
      </c>
      <c r="J410" s="55" t="s">
        <v>1695</v>
      </c>
      <c r="K410" s="55" t="s">
        <v>889</v>
      </c>
      <c r="L410" s="55"/>
      <c r="M410" s="55"/>
      <c r="N410" s="55" t="s">
        <v>732</v>
      </c>
      <c r="O410" s="57"/>
      <c r="P410" s="55" t="s">
        <v>1539</v>
      </c>
      <c r="Q410" s="55"/>
      <c r="R410" s="55" t="n">
        <v>21</v>
      </c>
      <c r="S410" s="55" t="n">
        <v>201</v>
      </c>
      <c r="T410" s="55"/>
      <c r="U410" s="55" t="s">
        <v>1696</v>
      </c>
      <c r="V410" s="55" t="s">
        <v>1697</v>
      </c>
      <c r="W410" s="55" t="s">
        <v>1500</v>
      </c>
      <c r="X410" s="4"/>
      <c r="Y410" s="4"/>
      <c r="Z410" s="4"/>
    </row>
    <row r="411" customFormat="false" ht="15.75" hidden="false" customHeight="true" outlineLevel="0" collapsed="false">
      <c r="A411" s="55" t="n">
        <v>1950</v>
      </c>
      <c r="B411" s="55" t="s">
        <v>646</v>
      </c>
      <c r="C411" s="55" t="s">
        <v>647</v>
      </c>
      <c r="D411" s="55" t="s">
        <v>1664</v>
      </c>
      <c r="E411" s="55" t="s">
        <v>1664</v>
      </c>
      <c r="F411" s="55" t="s">
        <v>1194</v>
      </c>
      <c r="G411" s="55" t="s">
        <v>1195</v>
      </c>
      <c r="H411" s="55" t="s">
        <v>1248</v>
      </c>
      <c r="I411" s="55" t="s">
        <v>638</v>
      </c>
      <c r="J411" s="55" t="s">
        <v>1665</v>
      </c>
      <c r="K411" s="55" t="s">
        <v>648</v>
      </c>
      <c r="L411" s="55" t="n">
        <v>1.0625</v>
      </c>
      <c r="M411" s="55" t="n">
        <v>4.5</v>
      </c>
      <c r="N411" s="55"/>
      <c r="O411" s="57"/>
      <c r="P411" s="55"/>
      <c r="Q411" s="55"/>
      <c r="R411" s="55" t="n">
        <v>7</v>
      </c>
      <c r="S411" s="55" t="n">
        <v>191</v>
      </c>
      <c r="T411" s="55"/>
      <c r="U411" s="55" t="s">
        <v>647</v>
      </c>
      <c r="V411" s="55" t="s">
        <v>1666</v>
      </c>
      <c r="W411" s="55" t="s">
        <v>1500</v>
      </c>
      <c r="X411" s="4"/>
      <c r="Y411" s="4"/>
      <c r="Z411" s="4"/>
    </row>
    <row r="412" customFormat="false" ht="15.75" hidden="false" customHeight="true" outlineLevel="0" collapsed="false">
      <c r="A412" s="55" t="n">
        <v>1951</v>
      </c>
      <c r="B412" s="55" t="s">
        <v>931</v>
      </c>
      <c r="C412" s="55" t="s">
        <v>932</v>
      </c>
      <c r="D412" s="55" t="s">
        <v>2685</v>
      </c>
      <c r="E412" s="55" t="s">
        <v>2685</v>
      </c>
      <c r="F412" s="55" t="s">
        <v>1194</v>
      </c>
      <c r="G412" s="55" t="s">
        <v>1195</v>
      </c>
      <c r="H412" s="55" t="s">
        <v>1196</v>
      </c>
      <c r="I412" s="55" t="s">
        <v>886</v>
      </c>
      <c r="J412" s="55" t="s">
        <v>2686</v>
      </c>
      <c r="K412" s="55"/>
      <c r="L412" s="55"/>
      <c r="M412" s="55"/>
      <c r="N412" s="55" t="s">
        <v>732</v>
      </c>
      <c r="O412" s="57"/>
      <c r="P412" s="55" t="s">
        <v>1539</v>
      </c>
      <c r="Q412" s="55"/>
      <c r="R412" s="55" t="n">
        <v>0</v>
      </c>
      <c r="S412" s="55" t="n">
        <v>0</v>
      </c>
      <c r="T412" s="55"/>
      <c r="U412" s="55" t="s">
        <v>932</v>
      </c>
      <c r="V412" s="55" t="s">
        <v>2687</v>
      </c>
      <c r="W412" s="55" t="s">
        <v>2688</v>
      </c>
      <c r="X412" s="4"/>
      <c r="Y412" s="4"/>
      <c r="Z412" s="4"/>
    </row>
    <row r="413" customFormat="false" ht="15.75" hidden="false" customHeight="true" outlineLevel="0" collapsed="false">
      <c r="A413" s="55" t="n">
        <v>1952</v>
      </c>
      <c r="B413" s="55" t="s">
        <v>928</v>
      </c>
      <c r="C413" s="55" t="s">
        <v>929</v>
      </c>
      <c r="D413" s="55" t="s">
        <v>2689</v>
      </c>
      <c r="E413" s="55" t="s">
        <v>2689</v>
      </c>
      <c r="F413" s="55" t="s">
        <v>1194</v>
      </c>
      <c r="G413" s="55" t="s">
        <v>1195</v>
      </c>
      <c r="H413" s="55" t="s">
        <v>1196</v>
      </c>
      <c r="I413" s="55" t="s">
        <v>886</v>
      </c>
      <c r="J413" s="55" t="s">
        <v>2690</v>
      </c>
      <c r="K413" s="55"/>
      <c r="L413" s="55"/>
      <c r="M413" s="55"/>
      <c r="N413" s="55" t="s">
        <v>930</v>
      </c>
      <c r="O413" s="57"/>
      <c r="P413" s="55" t="s">
        <v>1539</v>
      </c>
      <c r="Q413" s="55"/>
      <c r="R413" s="55" t="n">
        <v>0</v>
      </c>
      <c r="S413" s="55" t="n">
        <v>48</v>
      </c>
      <c r="T413" s="55"/>
      <c r="U413" s="55" t="s">
        <v>929</v>
      </c>
      <c r="V413" s="55" t="s">
        <v>2691</v>
      </c>
      <c r="W413" s="55" t="s">
        <v>2688</v>
      </c>
      <c r="X413" s="4"/>
      <c r="Y413" s="4"/>
      <c r="Z413" s="4"/>
    </row>
    <row r="414" customFormat="false" ht="15.75" hidden="false" customHeight="true" outlineLevel="0" collapsed="false">
      <c r="A414" s="55" t="n">
        <v>1953</v>
      </c>
      <c r="B414" s="55"/>
      <c r="C414" s="55" t="s">
        <v>885</v>
      </c>
      <c r="D414" s="55" t="s">
        <v>2695</v>
      </c>
      <c r="E414" s="55" t="s">
        <v>2695</v>
      </c>
      <c r="F414" s="55" t="s">
        <v>1194</v>
      </c>
      <c r="G414" s="55" t="s">
        <v>1195</v>
      </c>
      <c r="H414" s="55" t="s">
        <v>1196</v>
      </c>
      <c r="I414" s="55" t="s">
        <v>886</v>
      </c>
      <c r="J414" s="55" t="s">
        <v>2696</v>
      </c>
      <c r="K414" s="55"/>
      <c r="L414" s="55"/>
      <c r="M414" s="55"/>
      <c r="N414" s="55"/>
      <c r="O414" s="57"/>
      <c r="P414" s="55"/>
      <c r="Q414" s="55"/>
      <c r="R414" s="55" t="n">
        <v>0</v>
      </c>
      <c r="S414" s="55" t="n">
        <v>33</v>
      </c>
      <c r="T414" s="55"/>
      <c r="U414" s="55" t="s">
        <v>885</v>
      </c>
      <c r="V414" s="55" t="s">
        <v>2697</v>
      </c>
      <c r="W414" s="55" t="s">
        <v>2694</v>
      </c>
      <c r="X414" s="4"/>
      <c r="Y414" s="4"/>
      <c r="Z414" s="4"/>
    </row>
    <row r="415" customFormat="false" ht="15.75" hidden="false" customHeight="true" outlineLevel="0" collapsed="false">
      <c r="A415" s="55" t="n">
        <v>1954</v>
      </c>
      <c r="B415" s="55" t="s">
        <v>396</v>
      </c>
      <c r="C415" s="55" t="s">
        <v>397</v>
      </c>
      <c r="D415" s="55" t="s">
        <v>1642</v>
      </c>
      <c r="E415" s="55" t="s">
        <v>1642</v>
      </c>
      <c r="F415" s="55" t="s">
        <v>1194</v>
      </c>
      <c r="G415" s="55" t="s">
        <v>1195</v>
      </c>
      <c r="H415" s="55" t="s">
        <v>1248</v>
      </c>
      <c r="I415" s="55" t="s">
        <v>379</v>
      </c>
      <c r="J415" s="55" t="s">
        <v>1643</v>
      </c>
      <c r="K415" s="55" t="s">
        <v>312</v>
      </c>
      <c r="L415" s="55" t="n">
        <v>0.75</v>
      </c>
      <c r="M415" s="55" t="n">
        <v>3.5</v>
      </c>
      <c r="N415" s="55" t="s">
        <v>141</v>
      </c>
      <c r="O415" s="57"/>
      <c r="P415" s="55"/>
      <c r="Q415" s="55"/>
      <c r="R415" s="55" t="n">
        <v>16</v>
      </c>
      <c r="S415" s="55" t="n">
        <v>247</v>
      </c>
      <c r="T415" s="55"/>
      <c r="U415" s="55" t="s">
        <v>397</v>
      </c>
      <c r="V415" s="55" t="s">
        <v>1644</v>
      </c>
      <c r="W415" s="55" t="s">
        <v>1500</v>
      </c>
      <c r="X415" s="4"/>
      <c r="Y415" s="4"/>
      <c r="Z415" s="4"/>
    </row>
    <row r="416" customFormat="false" ht="15.75" hidden="false" customHeight="true" outlineLevel="0" collapsed="false">
      <c r="A416" s="55" t="n">
        <v>1955</v>
      </c>
      <c r="B416" s="55" t="s">
        <v>414</v>
      </c>
      <c r="C416" s="55" t="s">
        <v>415</v>
      </c>
      <c r="D416" s="55" t="s">
        <v>2537</v>
      </c>
      <c r="E416" s="55"/>
      <c r="F416" s="55" t="s">
        <v>1194</v>
      </c>
      <c r="G416" s="55" t="s">
        <v>1194</v>
      </c>
      <c r="H416" s="55" t="s">
        <v>1248</v>
      </c>
      <c r="I416" s="55" t="s">
        <v>379</v>
      </c>
      <c r="J416" s="55" t="s">
        <v>2538</v>
      </c>
      <c r="K416" s="55" t="s">
        <v>416</v>
      </c>
      <c r="L416" s="55" t="n">
        <v>0.75</v>
      </c>
      <c r="M416" s="55" t="n">
        <v>7.25</v>
      </c>
      <c r="N416" s="55" t="s">
        <v>417</v>
      </c>
      <c r="O416" s="57"/>
      <c r="P416" s="55"/>
      <c r="Q416" s="55"/>
      <c r="R416" s="55" t="n">
        <v>17</v>
      </c>
      <c r="S416" s="55" t="n">
        <v>264</v>
      </c>
      <c r="T416" s="55"/>
      <c r="U416" s="55"/>
      <c r="V416" s="55"/>
      <c r="W416" s="58" t="s">
        <v>2454</v>
      </c>
      <c r="X416" s="4"/>
      <c r="Y416" s="4"/>
      <c r="Z416" s="4"/>
    </row>
    <row r="417" customFormat="false" ht="15.75" hidden="false" customHeight="true" outlineLevel="0" collapsed="false">
      <c r="A417" s="55" t="n">
        <v>1956</v>
      </c>
      <c r="B417" s="55" t="s">
        <v>410</v>
      </c>
      <c r="C417" s="55" t="s">
        <v>411</v>
      </c>
      <c r="D417" s="55" t="s">
        <v>1581</v>
      </c>
      <c r="E417" s="55" t="s">
        <v>1581</v>
      </c>
      <c r="F417" s="55" t="s">
        <v>1194</v>
      </c>
      <c r="G417" s="55" t="s">
        <v>1195</v>
      </c>
      <c r="H417" s="55" t="s">
        <v>1248</v>
      </c>
      <c r="I417" s="55" t="s">
        <v>379</v>
      </c>
      <c r="J417" s="55" t="s">
        <v>1582</v>
      </c>
      <c r="K417" s="55" t="s">
        <v>412</v>
      </c>
      <c r="L417" s="55" t="n">
        <v>0.875</v>
      </c>
      <c r="M417" s="55" t="n">
        <v>6.5</v>
      </c>
      <c r="N417" s="55" t="s">
        <v>413</v>
      </c>
      <c r="O417" s="57"/>
      <c r="P417" s="55"/>
      <c r="Q417" s="55"/>
      <c r="R417" s="55" t="n">
        <v>17</v>
      </c>
      <c r="S417" s="55" t="n">
        <v>229</v>
      </c>
      <c r="T417" s="55"/>
      <c r="U417" s="55" t="s">
        <v>411</v>
      </c>
      <c r="V417" s="55" t="s">
        <v>1583</v>
      </c>
      <c r="W417" s="55" t="s">
        <v>1500</v>
      </c>
      <c r="X417" s="4"/>
      <c r="Y417" s="4"/>
      <c r="Z417" s="4"/>
    </row>
    <row r="418" customFormat="false" ht="15.75" hidden="false" customHeight="true" outlineLevel="0" collapsed="false">
      <c r="A418" s="55" t="n">
        <v>1957</v>
      </c>
      <c r="B418" s="55" t="s">
        <v>2971</v>
      </c>
      <c r="C418" s="55" t="s">
        <v>2972</v>
      </c>
      <c r="D418" s="55" t="s">
        <v>2973</v>
      </c>
      <c r="E418" s="55" t="s">
        <v>2973</v>
      </c>
      <c r="F418" s="55" t="s">
        <v>1194</v>
      </c>
      <c r="G418" s="55" t="s">
        <v>1195</v>
      </c>
      <c r="H418" s="55" t="s">
        <v>1248</v>
      </c>
      <c r="I418" s="55" t="s">
        <v>505</v>
      </c>
      <c r="J418" s="55" t="s">
        <v>2974</v>
      </c>
      <c r="K418" s="55" t="s">
        <v>2975</v>
      </c>
      <c r="L418" s="55" t="n">
        <v>0.5</v>
      </c>
      <c r="M418" s="55" t="n">
        <v>2</v>
      </c>
      <c r="N418" s="55" t="s">
        <v>116</v>
      </c>
      <c r="O418" s="55" t="s">
        <v>116</v>
      </c>
      <c r="P418" s="55"/>
      <c r="Q418" s="55"/>
      <c r="R418" s="55" t="n">
        <v>8</v>
      </c>
      <c r="S418" s="55" t="n">
        <v>71</v>
      </c>
      <c r="T418" s="55"/>
      <c r="U418" s="55" t="s">
        <v>2972</v>
      </c>
      <c r="V418" s="55" t="s">
        <v>2976</v>
      </c>
      <c r="W418" s="55"/>
      <c r="X418" s="4"/>
      <c r="Y418" s="4"/>
      <c r="Z418" s="4"/>
    </row>
    <row r="419" customFormat="false" ht="15.75" hidden="false" customHeight="true" outlineLevel="0" collapsed="false">
      <c r="A419" s="55" t="n">
        <v>1958</v>
      </c>
      <c r="B419" s="55" t="s">
        <v>2977</v>
      </c>
      <c r="C419" s="55" t="s">
        <v>2978</v>
      </c>
      <c r="D419" s="55" t="s">
        <v>2979</v>
      </c>
      <c r="E419" s="55" t="s">
        <v>2979</v>
      </c>
      <c r="F419" s="55" t="s">
        <v>1194</v>
      </c>
      <c r="G419" s="55" t="s">
        <v>1195</v>
      </c>
      <c r="H419" s="55" t="s">
        <v>1248</v>
      </c>
      <c r="I419" s="55" t="s">
        <v>505</v>
      </c>
      <c r="J419" s="55" t="s">
        <v>2980</v>
      </c>
      <c r="K419" s="55" t="s">
        <v>515</v>
      </c>
      <c r="L419" s="55" t="n">
        <v>0.5</v>
      </c>
      <c r="M419" s="55" t="n">
        <v>1.5</v>
      </c>
      <c r="N419" s="55" t="s">
        <v>2981</v>
      </c>
      <c r="O419" s="55" t="s">
        <v>116</v>
      </c>
      <c r="P419" s="55"/>
      <c r="Q419" s="55" t="s">
        <v>1262</v>
      </c>
      <c r="R419" s="55" t="n">
        <v>16</v>
      </c>
      <c r="S419" s="55" t="n">
        <v>319</v>
      </c>
      <c r="T419" s="55"/>
      <c r="U419" s="55" t="s">
        <v>2982</v>
      </c>
      <c r="V419" s="55" t="s">
        <v>2983</v>
      </c>
      <c r="W419" s="55"/>
      <c r="X419" s="4"/>
      <c r="Y419" s="4"/>
      <c r="Z419" s="4"/>
    </row>
    <row r="420" customFormat="false" ht="15.75" hidden="false" customHeight="true" outlineLevel="0" collapsed="false">
      <c r="A420" s="55" t="n">
        <v>1959</v>
      </c>
      <c r="B420" s="55"/>
      <c r="C420" s="55" t="s">
        <v>1286</v>
      </c>
      <c r="D420" s="55" t="s">
        <v>1287</v>
      </c>
      <c r="E420" s="55" t="s">
        <v>1287</v>
      </c>
      <c r="F420" s="55" t="s">
        <v>1194</v>
      </c>
      <c r="G420" s="55" t="s">
        <v>1195</v>
      </c>
      <c r="H420" s="55" t="s">
        <v>1196</v>
      </c>
      <c r="I420" s="55" t="s">
        <v>883</v>
      </c>
      <c r="J420" s="55" t="s">
        <v>1288</v>
      </c>
      <c r="K420" s="55" t="s">
        <v>879</v>
      </c>
      <c r="L420" s="55"/>
      <c r="M420" s="55"/>
      <c r="N420" s="55" t="s">
        <v>1199</v>
      </c>
      <c r="O420" s="55" t="s">
        <v>1200</v>
      </c>
      <c r="P420" s="55"/>
      <c r="Q420" s="55"/>
      <c r="R420" s="55" t="n">
        <v>0</v>
      </c>
      <c r="S420" s="55" t="n">
        <v>130</v>
      </c>
      <c r="T420" s="55"/>
      <c r="U420" s="55" t="s">
        <v>1286</v>
      </c>
      <c r="V420" s="55" t="s">
        <v>1289</v>
      </c>
      <c r="W420" s="55" t="s">
        <v>1290</v>
      </c>
      <c r="X420" s="4"/>
      <c r="Y420" s="4"/>
      <c r="Z420" s="4"/>
    </row>
    <row r="421" customFormat="false" ht="15.75" hidden="false" customHeight="true" outlineLevel="0" collapsed="false">
      <c r="A421" s="55" t="n">
        <v>1960</v>
      </c>
      <c r="B421" s="55" t="s">
        <v>181</v>
      </c>
      <c r="C421" s="55" t="s">
        <v>182</v>
      </c>
      <c r="D421" s="55" t="s">
        <v>2812</v>
      </c>
      <c r="E421" s="55" t="s">
        <v>2813</v>
      </c>
      <c r="F421" s="55" t="s">
        <v>1195</v>
      </c>
      <c r="G421" s="55" t="s">
        <v>1195</v>
      </c>
      <c r="H421" s="55" t="s">
        <v>1248</v>
      </c>
      <c r="I421" s="55" t="s">
        <v>172</v>
      </c>
      <c r="J421" s="55" t="s">
        <v>2814</v>
      </c>
      <c r="K421" s="55" t="s">
        <v>183</v>
      </c>
      <c r="L421" s="55" t="n">
        <v>0.5</v>
      </c>
      <c r="M421" s="55" t="n">
        <v>3.5</v>
      </c>
      <c r="N421" s="55" t="s">
        <v>184</v>
      </c>
      <c r="O421" s="57"/>
      <c r="P421" s="55"/>
      <c r="Q421" s="55" t="s">
        <v>1262</v>
      </c>
      <c r="R421" s="55" t="n">
        <v>4</v>
      </c>
      <c r="S421" s="55" t="n">
        <v>122</v>
      </c>
      <c r="T421" s="55"/>
      <c r="U421" s="55" t="s">
        <v>182</v>
      </c>
      <c r="V421" s="55" t="s">
        <v>2815</v>
      </c>
      <c r="W421" s="55" t="s">
        <v>2786</v>
      </c>
      <c r="X421" s="4"/>
      <c r="Y421" s="4"/>
      <c r="Z421" s="4"/>
    </row>
    <row r="422" customFormat="false" ht="15.75" hidden="false" customHeight="true" outlineLevel="0" collapsed="false">
      <c r="A422" s="55" t="n">
        <v>1961</v>
      </c>
      <c r="B422" s="55" t="s">
        <v>524</v>
      </c>
      <c r="C422" s="55" t="s">
        <v>525</v>
      </c>
      <c r="D422" s="55" t="s">
        <v>1510</v>
      </c>
      <c r="E422" s="55" t="s">
        <v>1510</v>
      </c>
      <c r="F422" s="55" t="s">
        <v>1194</v>
      </c>
      <c r="G422" s="55" t="s">
        <v>1195</v>
      </c>
      <c r="H422" s="55" t="s">
        <v>1248</v>
      </c>
      <c r="I422" s="55" t="s">
        <v>505</v>
      </c>
      <c r="J422" s="55" t="s">
        <v>1511</v>
      </c>
      <c r="K422" s="55" t="s">
        <v>526</v>
      </c>
      <c r="L422" s="55" t="n">
        <v>0.375</v>
      </c>
      <c r="M422" s="55" t="n">
        <v>1</v>
      </c>
      <c r="N422" s="55" t="s">
        <v>162</v>
      </c>
      <c r="O422" s="57"/>
      <c r="P422" s="55"/>
      <c r="Q422" s="55" t="s">
        <v>1262</v>
      </c>
      <c r="R422" s="55" t="n">
        <v>16</v>
      </c>
      <c r="S422" s="55" t="n">
        <v>180</v>
      </c>
      <c r="T422" s="55"/>
      <c r="U422" s="55" t="s">
        <v>525</v>
      </c>
      <c r="V422" s="55" t="s">
        <v>1512</v>
      </c>
      <c r="W422" s="55" t="s">
        <v>1500</v>
      </c>
      <c r="X422" s="4"/>
      <c r="Y422" s="4"/>
      <c r="Z422" s="4"/>
    </row>
    <row r="423" customFormat="false" ht="15.75" hidden="false" customHeight="true" outlineLevel="0" collapsed="false">
      <c r="A423" s="55" t="n">
        <v>1962</v>
      </c>
      <c r="B423" s="55" t="s">
        <v>2984</v>
      </c>
      <c r="C423" s="55" t="s">
        <v>2985</v>
      </c>
      <c r="D423" s="55" t="s">
        <v>2986</v>
      </c>
      <c r="E423" s="55" t="s">
        <v>2986</v>
      </c>
      <c r="F423" s="55" t="s">
        <v>1194</v>
      </c>
      <c r="G423" s="55" t="s">
        <v>1195</v>
      </c>
      <c r="H423" s="55" t="s">
        <v>1248</v>
      </c>
      <c r="I423" s="55" t="s">
        <v>654</v>
      </c>
      <c r="J423" s="55" t="s">
        <v>2987</v>
      </c>
      <c r="K423" s="55" t="s">
        <v>2988</v>
      </c>
      <c r="L423" s="55" t="n">
        <v>0.6875</v>
      </c>
      <c r="M423" s="55" t="n">
        <v>4.75</v>
      </c>
      <c r="N423" s="55" t="s">
        <v>2989</v>
      </c>
      <c r="O423" s="55" t="s">
        <v>152</v>
      </c>
      <c r="P423" s="55"/>
      <c r="Q423" s="55" t="s">
        <v>1444</v>
      </c>
      <c r="R423" s="55" t="n">
        <v>35</v>
      </c>
      <c r="S423" s="55" t="n">
        <v>297</v>
      </c>
      <c r="T423" s="55"/>
      <c r="U423" s="55" t="s">
        <v>2990</v>
      </c>
      <c r="V423" s="55" t="s">
        <v>2991</v>
      </c>
      <c r="W423" s="55"/>
      <c r="X423" s="4"/>
      <c r="Y423" s="4"/>
      <c r="Z423" s="4"/>
    </row>
    <row r="424" customFormat="false" ht="15.75" hidden="false" customHeight="true" outlineLevel="0" collapsed="false">
      <c r="A424" s="55" t="n">
        <v>1963</v>
      </c>
      <c r="B424" s="55" t="s">
        <v>2992</v>
      </c>
      <c r="C424" s="55" t="s">
        <v>2993</v>
      </c>
      <c r="D424" s="55" t="s">
        <v>2994</v>
      </c>
      <c r="E424" s="55" t="s">
        <v>2994</v>
      </c>
      <c r="F424" s="55" t="s">
        <v>1194</v>
      </c>
      <c r="G424" s="55" t="s">
        <v>1195</v>
      </c>
      <c r="H424" s="55" t="s">
        <v>1248</v>
      </c>
      <c r="I424" s="55" t="s">
        <v>172</v>
      </c>
      <c r="J424" s="55" t="s">
        <v>2995</v>
      </c>
      <c r="K424" s="55" t="s">
        <v>2996</v>
      </c>
      <c r="L424" s="55" t="n">
        <v>0.625</v>
      </c>
      <c r="M424" s="55" t="n">
        <v>5.25</v>
      </c>
      <c r="N424" s="55" t="s">
        <v>2981</v>
      </c>
      <c r="O424" s="55" t="s">
        <v>116</v>
      </c>
      <c r="P424" s="55"/>
      <c r="Q424" s="55" t="s">
        <v>1262</v>
      </c>
      <c r="R424" s="55" t="n">
        <v>88</v>
      </c>
      <c r="S424" s="55" t="n">
        <v>284</v>
      </c>
      <c r="T424" s="55"/>
      <c r="U424" s="55" t="s">
        <v>2997</v>
      </c>
      <c r="V424" s="55" t="s">
        <v>2998</v>
      </c>
      <c r="W424" s="55"/>
      <c r="X424" s="4"/>
      <c r="Y424" s="4"/>
      <c r="Z424" s="4"/>
    </row>
    <row r="425" customFormat="false" ht="15.75" hidden="false" customHeight="true" outlineLevel="0" collapsed="false">
      <c r="A425" s="55" t="n">
        <v>1965</v>
      </c>
      <c r="B425" s="55" t="s">
        <v>1245</v>
      </c>
      <c r="C425" s="55" t="s">
        <v>1253</v>
      </c>
      <c r="D425" s="55" t="s">
        <v>1254</v>
      </c>
      <c r="E425" s="55" t="s">
        <v>1254</v>
      </c>
      <c r="F425" s="55" t="s">
        <v>1194</v>
      </c>
      <c r="G425" s="55" t="s">
        <v>1195</v>
      </c>
      <c r="H425" s="55" t="s">
        <v>1248</v>
      </c>
      <c r="I425" s="55" t="s">
        <v>145</v>
      </c>
      <c r="J425" s="55" t="s">
        <v>1255</v>
      </c>
      <c r="K425" s="55" t="s">
        <v>370</v>
      </c>
      <c r="L425" s="55" t="n">
        <v>0.75</v>
      </c>
      <c r="M425" s="55" t="n">
        <v>0.75</v>
      </c>
      <c r="N425" s="55" t="s">
        <v>1256</v>
      </c>
      <c r="O425" s="55" t="s">
        <v>116</v>
      </c>
      <c r="P425" s="55"/>
      <c r="Q425" s="55"/>
      <c r="R425" s="55" t="n">
        <v>0</v>
      </c>
      <c r="S425" s="55" t="n">
        <v>83</v>
      </c>
      <c r="T425" s="55"/>
      <c r="U425" s="55" t="s">
        <v>1253</v>
      </c>
      <c r="V425" s="55" t="s">
        <v>1257</v>
      </c>
      <c r="W425" s="55" t="s">
        <v>1252</v>
      </c>
      <c r="X425" s="4"/>
      <c r="Y425" s="4"/>
      <c r="Z425" s="4"/>
    </row>
    <row r="426" customFormat="false" ht="15.75" hidden="false" customHeight="true" outlineLevel="0" collapsed="false">
      <c r="A426" s="55" t="n">
        <v>1966</v>
      </c>
      <c r="B426" s="55" t="s">
        <v>1245</v>
      </c>
      <c r="C426" s="55" t="s">
        <v>1246</v>
      </c>
      <c r="D426" s="55" t="s">
        <v>1247</v>
      </c>
      <c r="E426" s="55" t="s">
        <v>1247</v>
      </c>
      <c r="F426" s="55" t="s">
        <v>1194</v>
      </c>
      <c r="G426" s="55" t="s">
        <v>1195</v>
      </c>
      <c r="H426" s="55" t="s">
        <v>1248</v>
      </c>
      <c r="I426" s="55" t="s">
        <v>168</v>
      </c>
      <c r="J426" s="55" t="s">
        <v>1249</v>
      </c>
      <c r="K426" s="55" t="s">
        <v>582</v>
      </c>
      <c r="L426" s="55" t="n">
        <v>0.75</v>
      </c>
      <c r="M426" s="55" t="n">
        <v>0.75</v>
      </c>
      <c r="N426" s="55" t="s">
        <v>1250</v>
      </c>
      <c r="O426" s="55" t="s">
        <v>116</v>
      </c>
      <c r="P426" s="55"/>
      <c r="Q426" s="55"/>
      <c r="R426" s="55" t="n">
        <v>0</v>
      </c>
      <c r="S426" s="55" t="n">
        <v>53</v>
      </c>
      <c r="T426" s="55"/>
      <c r="U426" s="55" t="s">
        <v>1246</v>
      </c>
      <c r="V426" s="55" t="s">
        <v>1251</v>
      </c>
      <c r="W426" s="55" t="s">
        <v>1252</v>
      </c>
      <c r="X426" s="4"/>
      <c r="Y426" s="4"/>
      <c r="Z426" s="4"/>
    </row>
    <row r="427" customFormat="false" ht="15.75" hidden="false" customHeight="true" outlineLevel="0" collapsed="false">
      <c r="A427" s="55" t="n">
        <v>1967</v>
      </c>
      <c r="B427" s="55" t="s">
        <v>1403</v>
      </c>
      <c r="C427" s="55" t="s">
        <v>1404</v>
      </c>
      <c r="D427" s="55" t="s">
        <v>1405</v>
      </c>
      <c r="E427" s="55"/>
      <c r="F427" s="55" t="s">
        <v>1194</v>
      </c>
      <c r="G427" s="55" t="s">
        <v>1194</v>
      </c>
      <c r="H427" s="55" t="s">
        <v>1235</v>
      </c>
      <c r="I427" s="55"/>
      <c r="J427" s="55" t="s">
        <v>1406</v>
      </c>
      <c r="K427" s="55" t="s">
        <v>1407</v>
      </c>
      <c r="L427" s="55"/>
      <c r="M427" s="55"/>
      <c r="N427" s="55" t="s">
        <v>1325</v>
      </c>
      <c r="O427" s="55" t="s">
        <v>1278</v>
      </c>
      <c r="P427" s="55"/>
      <c r="Q427" s="55"/>
      <c r="R427" s="55" t="n">
        <v>13</v>
      </c>
      <c r="S427" s="55" t="n">
        <v>732</v>
      </c>
      <c r="T427" s="55"/>
      <c r="U427" s="55"/>
      <c r="V427" s="55"/>
      <c r="W427" s="58" t="s">
        <v>1402</v>
      </c>
      <c r="X427" s="4"/>
      <c r="Y427" s="4"/>
      <c r="Z427" s="4"/>
    </row>
    <row r="428" customFormat="false" ht="15.75" hidden="false" customHeight="true" outlineLevel="0" collapsed="false">
      <c r="A428" s="55" t="n">
        <v>1968</v>
      </c>
      <c r="B428" s="55" t="s">
        <v>1408</v>
      </c>
      <c r="C428" s="55" t="s">
        <v>1409</v>
      </c>
      <c r="D428" s="55" t="s">
        <v>1410</v>
      </c>
      <c r="E428" s="55"/>
      <c r="F428" s="55" t="s">
        <v>1194</v>
      </c>
      <c r="G428" s="55" t="s">
        <v>1194</v>
      </c>
      <c r="H428" s="55" t="s">
        <v>1235</v>
      </c>
      <c r="I428" s="55"/>
      <c r="J428" s="55" t="s">
        <v>1411</v>
      </c>
      <c r="K428" s="55" t="s">
        <v>1412</v>
      </c>
      <c r="L428" s="55"/>
      <c r="M428" s="55"/>
      <c r="N428" s="55" t="s">
        <v>1325</v>
      </c>
      <c r="O428" s="55" t="s">
        <v>1278</v>
      </c>
      <c r="P428" s="55"/>
      <c r="Q428" s="55"/>
      <c r="R428" s="55" t="n">
        <v>11</v>
      </c>
      <c r="S428" s="55" t="n">
        <v>279</v>
      </c>
      <c r="T428" s="55"/>
      <c r="U428" s="55"/>
      <c r="V428" s="55"/>
      <c r="W428" s="58" t="s">
        <v>1402</v>
      </c>
      <c r="X428" s="4"/>
      <c r="Y428" s="4"/>
      <c r="Z428" s="4"/>
    </row>
    <row r="429" customFormat="false" ht="15.75" hidden="false" customHeight="true" outlineLevel="0" collapsed="false">
      <c r="A429" s="55" t="n">
        <v>1969</v>
      </c>
      <c r="B429" s="55" t="s">
        <v>1413</v>
      </c>
      <c r="C429" s="55" t="s">
        <v>1414</v>
      </c>
      <c r="D429" s="55" t="s">
        <v>1415</v>
      </c>
      <c r="E429" s="55"/>
      <c r="F429" s="55" t="s">
        <v>1194</v>
      </c>
      <c r="G429" s="55" t="s">
        <v>1194</v>
      </c>
      <c r="H429" s="55" t="s">
        <v>1235</v>
      </c>
      <c r="I429" s="55"/>
      <c r="J429" s="55" t="s">
        <v>1416</v>
      </c>
      <c r="K429" s="55" t="s">
        <v>1417</v>
      </c>
      <c r="L429" s="55"/>
      <c r="M429" s="55"/>
      <c r="N429" s="55" t="s">
        <v>1418</v>
      </c>
      <c r="O429" s="55" t="s">
        <v>1419</v>
      </c>
      <c r="P429" s="55"/>
      <c r="Q429" s="55"/>
      <c r="R429" s="55" t="n">
        <v>6</v>
      </c>
      <c r="S429" s="55" t="n">
        <v>230</v>
      </c>
      <c r="T429" s="55"/>
      <c r="U429" s="55"/>
      <c r="V429" s="55"/>
      <c r="W429" s="58" t="s">
        <v>1402</v>
      </c>
      <c r="X429" s="4"/>
      <c r="Y429" s="4"/>
      <c r="Z429" s="4"/>
    </row>
    <row r="430" customFormat="false" ht="15.75" hidden="false" customHeight="true" outlineLevel="0" collapsed="false">
      <c r="A430" s="55" t="n">
        <v>1970</v>
      </c>
      <c r="B430" s="55" t="s">
        <v>1358</v>
      </c>
      <c r="C430" s="55" t="s">
        <v>1359</v>
      </c>
      <c r="D430" s="55" t="s">
        <v>1360</v>
      </c>
      <c r="E430" s="55"/>
      <c r="F430" s="55" t="s">
        <v>1194</v>
      </c>
      <c r="G430" s="55" t="s">
        <v>1194</v>
      </c>
      <c r="H430" s="55" t="s">
        <v>1235</v>
      </c>
      <c r="I430" s="55"/>
      <c r="J430" s="55" t="s">
        <v>1361</v>
      </c>
      <c r="K430" s="55" t="s">
        <v>1362</v>
      </c>
      <c r="L430" s="55" t="n">
        <v>3.5</v>
      </c>
      <c r="M430" s="55" t="n">
        <v>48</v>
      </c>
      <c r="N430" s="55" t="s">
        <v>122</v>
      </c>
      <c r="O430" s="55" t="s">
        <v>122</v>
      </c>
      <c r="P430" s="55"/>
      <c r="Q430" s="55"/>
      <c r="R430" s="55" t="n">
        <v>5</v>
      </c>
      <c r="S430" s="55" t="n">
        <v>367</v>
      </c>
      <c r="T430" s="55"/>
      <c r="U430" s="55"/>
      <c r="V430" s="55"/>
      <c r="W430" s="58" t="s">
        <v>1307</v>
      </c>
      <c r="X430" s="4"/>
      <c r="Y430" s="4"/>
      <c r="Z430" s="4"/>
    </row>
    <row r="431" customFormat="false" ht="15.75" hidden="false" customHeight="true" outlineLevel="0" collapsed="false">
      <c r="A431" s="55" t="n">
        <v>1971</v>
      </c>
      <c r="B431" s="55" t="s">
        <v>1420</v>
      </c>
      <c r="C431" s="55" t="s">
        <v>1421</v>
      </c>
      <c r="D431" s="55" t="s">
        <v>1422</v>
      </c>
      <c r="E431" s="55"/>
      <c r="F431" s="55" t="s">
        <v>1194</v>
      </c>
      <c r="G431" s="55" t="s">
        <v>1194</v>
      </c>
      <c r="H431" s="55" t="s">
        <v>1235</v>
      </c>
      <c r="I431" s="55"/>
      <c r="J431" s="55" t="s">
        <v>1423</v>
      </c>
      <c r="K431" s="55" t="s">
        <v>1424</v>
      </c>
      <c r="L431" s="55"/>
      <c r="M431" s="55"/>
      <c r="N431" s="55" t="s">
        <v>1425</v>
      </c>
      <c r="O431" s="55" t="s">
        <v>1426</v>
      </c>
      <c r="P431" s="55"/>
      <c r="Q431" s="55"/>
      <c r="R431" s="55" t="n">
        <v>7</v>
      </c>
      <c r="S431" s="55" t="n">
        <v>820</v>
      </c>
      <c r="T431" s="55"/>
      <c r="U431" s="55"/>
      <c r="V431" s="55"/>
      <c r="W431" s="58" t="s">
        <v>1402</v>
      </c>
      <c r="X431" s="4"/>
      <c r="Y431" s="4"/>
      <c r="Z431" s="4"/>
    </row>
    <row r="432" customFormat="false" ht="15.75" hidden="false" customHeight="true" outlineLevel="0" collapsed="false">
      <c r="A432" s="55" t="n">
        <v>1972</v>
      </c>
      <c r="B432" s="55" t="s">
        <v>1437</v>
      </c>
      <c r="C432" s="55" t="s">
        <v>1438</v>
      </c>
      <c r="D432" s="55" t="s">
        <v>1439</v>
      </c>
      <c r="E432" s="55"/>
      <c r="F432" s="55" t="s">
        <v>1194</v>
      </c>
      <c r="G432" s="55" t="s">
        <v>1194</v>
      </c>
      <c r="H432" s="55" t="s">
        <v>1235</v>
      </c>
      <c r="I432" s="55"/>
      <c r="J432" s="55" t="s">
        <v>1440</v>
      </c>
      <c r="K432" s="55" t="s">
        <v>1441</v>
      </c>
      <c r="L432" s="55"/>
      <c r="M432" s="55"/>
      <c r="N432" s="55" t="s">
        <v>1442</v>
      </c>
      <c r="O432" s="55" t="s">
        <v>1443</v>
      </c>
      <c r="P432" s="55"/>
      <c r="Q432" s="55" t="s">
        <v>1444</v>
      </c>
      <c r="R432" s="55" t="n">
        <v>21</v>
      </c>
      <c r="S432" s="55" t="n">
        <v>350</v>
      </c>
      <c r="T432" s="55"/>
      <c r="U432" s="55"/>
      <c r="V432" s="55"/>
      <c r="W432" s="58" t="s">
        <v>1402</v>
      </c>
      <c r="X432" s="4"/>
      <c r="Y432" s="4"/>
      <c r="Z432" s="4"/>
    </row>
    <row r="433" customFormat="false" ht="15.75" hidden="false" customHeight="true" outlineLevel="0" collapsed="false">
      <c r="A433" s="55" t="n">
        <v>1973</v>
      </c>
      <c r="B433" s="55" t="s">
        <v>1432</v>
      </c>
      <c r="C433" s="55" t="s">
        <v>1433</v>
      </c>
      <c r="D433" s="55" t="s">
        <v>1434</v>
      </c>
      <c r="E433" s="55"/>
      <c r="F433" s="55" t="s">
        <v>1194</v>
      </c>
      <c r="G433" s="55" t="s">
        <v>1194</v>
      </c>
      <c r="H433" s="55" t="s">
        <v>1235</v>
      </c>
      <c r="I433" s="55"/>
      <c r="J433" s="55" t="s">
        <v>1435</v>
      </c>
      <c r="K433" s="55" t="s">
        <v>1436</v>
      </c>
      <c r="L433" s="55"/>
      <c r="M433" s="55"/>
      <c r="N433" s="55" t="s">
        <v>1325</v>
      </c>
      <c r="O433" s="55" t="s">
        <v>1278</v>
      </c>
      <c r="P433" s="55"/>
      <c r="Q433" s="55"/>
      <c r="R433" s="55" t="n">
        <v>16</v>
      </c>
      <c r="S433" s="55" t="n">
        <v>868</v>
      </c>
      <c r="T433" s="55"/>
      <c r="U433" s="55"/>
      <c r="V433" s="55"/>
      <c r="W433" s="58" t="s">
        <v>1402</v>
      </c>
      <c r="X433" s="4"/>
      <c r="Y433" s="4"/>
      <c r="Z433" s="4"/>
    </row>
    <row r="434" customFormat="false" ht="15.75" hidden="false" customHeight="true" outlineLevel="0" collapsed="false">
      <c r="A434" s="55" t="n">
        <v>1974</v>
      </c>
      <c r="B434" s="55" t="s">
        <v>1427</v>
      </c>
      <c r="C434" s="55" t="s">
        <v>1428</v>
      </c>
      <c r="D434" s="55" t="s">
        <v>1429</v>
      </c>
      <c r="E434" s="55"/>
      <c r="F434" s="55" t="s">
        <v>1194</v>
      </c>
      <c r="G434" s="55" t="s">
        <v>1194</v>
      </c>
      <c r="H434" s="55" t="s">
        <v>1235</v>
      </c>
      <c r="I434" s="55"/>
      <c r="J434" s="55" t="s">
        <v>1430</v>
      </c>
      <c r="K434" s="55" t="s">
        <v>1431</v>
      </c>
      <c r="L434" s="55"/>
      <c r="M434" s="55"/>
      <c r="N434" s="55" t="s">
        <v>1325</v>
      </c>
      <c r="O434" s="55" t="s">
        <v>1278</v>
      </c>
      <c r="P434" s="55"/>
      <c r="Q434" s="55"/>
      <c r="R434" s="55" t="n">
        <v>6</v>
      </c>
      <c r="S434" s="55" t="n">
        <v>681</v>
      </c>
      <c r="T434" s="55"/>
      <c r="U434" s="55"/>
      <c r="V434" s="55"/>
      <c r="W434" s="58" t="s">
        <v>1402</v>
      </c>
      <c r="X434" s="4"/>
      <c r="Y434" s="4"/>
      <c r="Z434" s="4"/>
    </row>
    <row r="435" customFormat="false" ht="15.75" hidden="false" customHeight="true" outlineLevel="0" collapsed="false">
      <c r="A435" s="55" t="n">
        <v>1975</v>
      </c>
      <c r="B435" s="55"/>
      <c r="C435" s="55" t="s">
        <v>1467</v>
      </c>
      <c r="D435" s="55" t="s">
        <v>1468</v>
      </c>
      <c r="E435" s="55"/>
      <c r="F435" s="55" t="s">
        <v>1194</v>
      </c>
      <c r="G435" s="55" t="s">
        <v>1194</v>
      </c>
      <c r="H435" s="55" t="s">
        <v>1235</v>
      </c>
      <c r="I435" s="55"/>
      <c r="J435" s="55" t="s">
        <v>1469</v>
      </c>
      <c r="K435" s="55"/>
      <c r="L435" s="55"/>
      <c r="M435" s="55"/>
      <c r="N435" s="55" t="s">
        <v>1325</v>
      </c>
      <c r="O435" s="55" t="s">
        <v>1278</v>
      </c>
      <c r="P435" s="55"/>
      <c r="Q435" s="55"/>
      <c r="R435" s="55" t="n">
        <v>9</v>
      </c>
      <c r="S435" s="55" t="n">
        <v>525</v>
      </c>
      <c r="T435" s="55"/>
      <c r="U435" s="55"/>
      <c r="V435" s="55"/>
      <c r="W435" s="58" t="s">
        <v>1456</v>
      </c>
      <c r="X435" s="4"/>
      <c r="Y435" s="4"/>
      <c r="Z435" s="4"/>
    </row>
    <row r="436" customFormat="false" ht="15.75" hidden="false" customHeight="true" outlineLevel="0" collapsed="false">
      <c r="A436" s="55" t="n">
        <v>1976</v>
      </c>
      <c r="B436" s="55" t="s">
        <v>1397</v>
      </c>
      <c r="C436" s="55" t="s">
        <v>1398</v>
      </c>
      <c r="D436" s="55" t="s">
        <v>1399</v>
      </c>
      <c r="E436" s="55"/>
      <c r="F436" s="55" t="s">
        <v>1194</v>
      </c>
      <c r="G436" s="55" t="s">
        <v>1194</v>
      </c>
      <c r="H436" s="55" t="s">
        <v>1235</v>
      </c>
      <c r="I436" s="55"/>
      <c r="J436" s="55" t="s">
        <v>1400</v>
      </c>
      <c r="K436" s="55" t="s">
        <v>1401</v>
      </c>
      <c r="L436" s="55"/>
      <c r="M436" s="55"/>
      <c r="N436" s="55" t="s">
        <v>1325</v>
      </c>
      <c r="O436" s="55" t="s">
        <v>1278</v>
      </c>
      <c r="P436" s="55"/>
      <c r="Q436" s="55"/>
      <c r="R436" s="55" t="n">
        <v>7</v>
      </c>
      <c r="S436" s="55" t="n">
        <v>286</v>
      </c>
      <c r="T436" s="55"/>
      <c r="U436" s="55"/>
      <c r="V436" s="55"/>
      <c r="W436" s="58" t="s">
        <v>1402</v>
      </c>
      <c r="X436" s="4"/>
      <c r="Y436" s="4"/>
      <c r="Z436" s="4"/>
    </row>
    <row r="437" customFormat="false" ht="15.75" hidden="false" customHeight="true" outlineLevel="0" collapsed="false">
      <c r="A437" s="55" t="n">
        <v>1977</v>
      </c>
      <c r="B437" s="55"/>
      <c r="C437" s="55" t="s">
        <v>1457</v>
      </c>
      <c r="D437" s="55" t="s">
        <v>1458</v>
      </c>
      <c r="E437" s="55"/>
      <c r="F437" s="55" t="s">
        <v>1194</v>
      </c>
      <c r="G437" s="55" t="s">
        <v>1194</v>
      </c>
      <c r="H437" s="55" t="s">
        <v>1235</v>
      </c>
      <c r="I437" s="55"/>
      <c r="J437" s="55" t="s">
        <v>1459</v>
      </c>
      <c r="K437" s="55"/>
      <c r="L437" s="55"/>
      <c r="M437" s="55"/>
      <c r="N437" s="55" t="s">
        <v>1460</v>
      </c>
      <c r="O437" s="55" t="s">
        <v>1461</v>
      </c>
      <c r="P437" s="55"/>
      <c r="Q437" s="55"/>
      <c r="R437" s="55" t="n">
        <v>63</v>
      </c>
      <c r="S437" s="55" t="n">
        <v>847</v>
      </c>
      <c r="T437" s="55"/>
      <c r="U437" s="55"/>
      <c r="V437" s="55"/>
      <c r="W437" s="58" t="s">
        <v>1456</v>
      </c>
      <c r="X437" s="4"/>
      <c r="Y437" s="4"/>
      <c r="Z437" s="4"/>
    </row>
    <row r="438" customFormat="false" ht="15.75" hidden="false" customHeight="true" outlineLevel="0" collapsed="false">
      <c r="A438" s="55" t="n">
        <v>1978</v>
      </c>
      <c r="B438" s="55" t="s">
        <v>2999</v>
      </c>
      <c r="C438" s="55" t="s">
        <v>3000</v>
      </c>
      <c r="D438" s="55" t="s">
        <v>3001</v>
      </c>
      <c r="E438" s="55" t="s">
        <v>3001</v>
      </c>
      <c r="F438" s="55" t="s">
        <v>1194</v>
      </c>
      <c r="G438" s="55" t="s">
        <v>1195</v>
      </c>
      <c r="H438" s="55" t="s">
        <v>1235</v>
      </c>
      <c r="I438" s="55"/>
      <c r="J438" s="55" t="s">
        <v>3002</v>
      </c>
      <c r="K438" s="55" t="s">
        <v>3003</v>
      </c>
      <c r="L438" s="55" t="n">
        <v>9.25</v>
      </c>
      <c r="M438" s="55" t="n">
        <v>42</v>
      </c>
      <c r="N438" s="55" t="s">
        <v>1325</v>
      </c>
      <c r="O438" s="55" t="s">
        <v>1278</v>
      </c>
      <c r="P438" s="55"/>
      <c r="Q438" s="55"/>
      <c r="R438" s="55" t="n">
        <v>49</v>
      </c>
      <c r="S438" s="55" t="n">
        <v>397</v>
      </c>
      <c r="T438" s="55"/>
      <c r="U438" s="55" t="s">
        <v>3000</v>
      </c>
      <c r="V438" s="55" t="s">
        <v>3004</v>
      </c>
      <c r="W438" s="55"/>
      <c r="X438" s="4"/>
      <c r="Y438" s="4"/>
      <c r="Z438" s="4"/>
    </row>
    <row r="439" customFormat="false" ht="15.75" hidden="false" customHeight="true" outlineLevel="0" collapsed="false">
      <c r="A439" s="55" t="n">
        <v>1979</v>
      </c>
      <c r="B439" s="55" t="s">
        <v>1363</v>
      </c>
      <c r="C439" s="55" t="s">
        <v>1364</v>
      </c>
      <c r="D439" s="55" t="s">
        <v>1365</v>
      </c>
      <c r="E439" s="55"/>
      <c r="F439" s="55" t="s">
        <v>1194</v>
      </c>
      <c r="G439" s="55" t="s">
        <v>1194</v>
      </c>
      <c r="H439" s="55" t="s">
        <v>1235</v>
      </c>
      <c r="I439" s="55"/>
      <c r="J439" s="55" t="s">
        <v>1366</v>
      </c>
      <c r="K439" s="55" t="s">
        <v>1330</v>
      </c>
      <c r="L439" s="55" t="n">
        <v>10.5</v>
      </c>
      <c r="M439" s="55" t="n">
        <v>42</v>
      </c>
      <c r="N439" s="55" t="s">
        <v>122</v>
      </c>
      <c r="O439" s="55" t="s">
        <v>122</v>
      </c>
      <c r="P439" s="55"/>
      <c r="Q439" s="55"/>
      <c r="R439" s="55" t="n">
        <v>20</v>
      </c>
      <c r="S439" s="55" t="n">
        <v>212</v>
      </c>
      <c r="T439" s="55"/>
      <c r="U439" s="55"/>
      <c r="V439" s="55"/>
      <c r="W439" s="58" t="s">
        <v>1307</v>
      </c>
      <c r="X439" s="4"/>
      <c r="Y439" s="4"/>
      <c r="Z439" s="4"/>
    </row>
    <row r="440" customFormat="false" ht="15.75" hidden="false" customHeight="true" outlineLevel="0" collapsed="false">
      <c r="A440" s="55" t="n">
        <v>1980</v>
      </c>
      <c r="B440" s="55" t="s">
        <v>1326</v>
      </c>
      <c r="C440" s="55" t="s">
        <v>1327</v>
      </c>
      <c r="D440" s="55" t="s">
        <v>1328</v>
      </c>
      <c r="E440" s="55"/>
      <c r="F440" s="55" t="s">
        <v>1194</v>
      </c>
      <c r="G440" s="55" t="s">
        <v>1194</v>
      </c>
      <c r="H440" s="55" t="s">
        <v>1235</v>
      </c>
      <c r="I440" s="55"/>
      <c r="J440" s="55" t="s">
        <v>1329</v>
      </c>
      <c r="K440" s="55" t="s">
        <v>1330</v>
      </c>
      <c r="L440" s="55" t="n">
        <v>10.5</v>
      </c>
      <c r="M440" s="55" t="n">
        <v>42</v>
      </c>
      <c r="N440" s="55" t="s">
        <v>122</v>
      </c>
      <c r="O440" s="55" t="s">
        <v>122</v>
      </c>
      <c r="P440" s="55"/>
      <c r="Q440" s="55"/>
      <c r="R440" s="55" t="n">
        <v>29</v>
      </c>
      <c r="S440" s="55" t="n">
        <v>165</v>
      </c>
      <c r="T440" s="55"/>
      <c r="U440" s="55"/>
      <c r="V440" s="55"/>
      <c r="W440" s="58" t="s">
        <v>1307</v>
      </c>
      <c r="X440" s="4"/>
      <c r="Y440" s="4"/>
      <c r="Z440" s="4"/>
    </row>
    <row r="441" customFormat="false" ht="15.75" hidden="false" customHeight="true" outlineLevel="0" collapsed="false">
      <c r="A441" s="55" t="n">
        <v>1981</v>
      </c>
      <c r="B441" s="55"/>
      <c r="C441" s="55" t="s">
        <v>1462</v>
      </c>
      <c r="D441" s="55" t="s">
        <v>1463</v>
      </c>
      <c r="E441" s="55"/>
      <c r="F441" s="55" t="s">
        <v>1194</v>
      </c>
      <c r="G441" s="55" t="s">
        <v>1194</v>
      </c>
      <c r="H441" s="55" t="s">
        <v>1235</v>
      </c>
      <c r="I441" s="55"/>
      <c r="J441" s="55" t="s">
        <v>1464</v>
      </c>
      <c r="K441" s="55"/>
      <c r="L441" s="55"/>
      <c r="M441" s="55"/>
      <c r="N441" s="55" t="s">
        <v>1465</v>
      </c>
      <c r="O441" s="55" t="s">
        <v>1466</v>
      </c>
      <c r="P441" s="55"/>
      <c r="Q441" s="55"/>
      <c r="R441" s="55" t="n">
        <v>16</v>
      </c>
      <c r="S441" s="55" t="n">
        <v>174</v>
      </c>
      <c r="T441" s="55"/>
      <c r="U441" s="55"/>
      <c r="V441" s="55"/>
      <c r="W441" s="58" t="s">
        <v>1456</v>
      </c>
      <c r="X441" s="4"/>
      <c r="Y441" s="4"/>
      <c r="Z441" s="4"/>
    </row>
    <row r="442" customFormat="false" ht="15.75" hidden="false" customHeight="true" outlineLevel="0" collapsed="false">
      <c r="A442" s="55" t="n">
        <v>1982</v>
      </c>
      <c r="B442" s="55"/>
      <c r="C442" s="55" t="s">
        <v>1241</v>
      </c>
      <c r="D442" s="55" t="s">
        <v>1242</v>
      </c>
      <c r="E442" s="55"/>
      <c r="F442" s="55" t="s">
        <v>1194</v>
      </c>
      <c r="G442" s="55" t="s">
        <v>1194</v>
      </c>
      <c r="H442" s="55" t="s">
        <v>1235</v>
      </c>
      <c r="I442" s="55"/>
      <c r="J442" s="55" t="s">
        <v>1243</v>
      </c>
      <c r="K442" s="55" t="s">
        <v>1244</v>
      </c>
      <c r="L442" s="55" t="n">
        <v>0.5</v>
      </c>
      <c r="M442" s="55" t="n">
        <v>44</v>
      </c>
      <c r="N442" s="55" t="s">
        <v>129</v>
      </c>
      <c r="O442" s="55" t="s">
        <v>129</v>
      </c>
      <c r="P442" s="55"/>
      <c r="Q442" s="55"/>
      <c r="R442" s="55" t="n">
        <v>8</v>
      </c>
      <c r="S442" s="55" t="n">
        <v>188</v>
      </c>
      <c r="T442" s="55"/>
      <c r="U442" s="55"/>
      <c r="V442" s="55"/>
      <c r="W442" s="58" t="s">
        <v>1232</v>
      </c>
      <c r="X442" s="4"/>
      <c r="Y442" s="4"/>
      <c r="Z442" s="4"/>
    </row>
    <row r="443" customFormat="false" ht="15.75" hidden="false" customHeight="true" outlineLevel="0" collapsed="false">
      <c r="A443" s="55" t="n">
        <v>1983</v>
      </c>
      <c r="B443" s="55"/>
      <c r="C443" s="55" t="s">
        <v>1233</v>
      </c>
      <c r="D443" s="55" t="s">
        <v>1234</v>
      </c>
      <c r="E443" s="55"/>
      <c r="F443" s="55" t="s">
        <v>1194</v>
      </c>
      <c r="G443" s="55" t="s">
        <v>1194</v>
      </c>
      <c r="H443" s="55" t="s">
        <v>1235</v>
      </c>
      <c r="I443" s="55"/>
      <c r="J443" s="55" t="s">
        <v>1236</v>
      </c>
      <c r="K443" s="55" t="s">
        <v>1237</v>
      </c>
      <c r="L443" s="55" t="n">
        <v>0.5</v>
      </c>
      <c r="M443" s="55" t="n">
        <v>44</v>
      </c>
      <c r="N443" s="55" t="s">
        <v>129</v>
      </c>
      <c r="O443" s="55" t="s">
        <v>129</v>
      </c>
      <c r="P443" s="55"/>
      <c r="Q443" s="55"/>
      <c r="R443" s="55" t="n">
        <v>11</v>
      </c>
      <c r="S443" s="55" t="n">
        <v>309</v>
      </c>
      <c r="T443" s="55"/>
      <c r="U443" s="55"/>
      <c r="V443" s="55"/>
      <c r="W443" s="58" t="s">
        <v>1232</v>
      </c>
      <c r="X443" s="4"/>
      <c r="Y443" s="4"/>
      <c r="Z443" s="4"/>
    </row>
    <row r="444" customFormat="false" ht="15.75" hidden="false" customHeight="true" outlineLevel="0" collapsed="false">
      <c r="A444" s="55" t="n">
        <v>1984</v>
      </c>
      <c r="B444" s="55"/>
      <c r="C444" s="55" t="s">
        <v>1127</v>
      </c>
      <c r="D444" s="55" t="s">
        <v>2642</v>
      </c>
      <c r="E444" s="55"/>
      <c r="F444" s="55" t="s">
        <v>1194</v>
      </c>
      <c r="G444" s="55" t="s">
        <v>1194</v>
      </c>
      <c r="H444" s="55" t="s">
        <v>1235</v>
      </c>
      <c r="I444" s="55"/>
      <c r="J444" s="55" t="s">
        <v>2643</v>
      </c>
      <c r="K444" s="55"/>
      <c r="L444" s="55"/>
      <c r="M444" s="55"/>
      <c r="N444" s="55"/>
      <c r="O444" s="57"/>
      <c r="P444" s="55"/>
      <c r="Q444" s="55"/>
      <c r="R444" s="55" t="n">
        <v>12</v>
      </c>
      <c r="S444" s="55" t="n">
        <v>64</v>
      </c>
      <c r="T444" s="55"/>
      <c r="U444" s="55"/>
      <c r="V444" s="55"/>
      <c r="W444" s="58" t="s">
        <v>2644</v>
      </c>
      <c r="X444" s="4"/>
      <c r="Y444" s="4"/>
      <c r="Z444" s="4"/>
    </row>
    <row r="445" customFormat="false" ht="15.75" hidden="false" customHeight="true" outlineLevel="0" collapsed="false">
      <c r="A445" s="55" t="n">
        <v>1985</v>
      </c>
      <c r="B445" s="55" t="s">
        <v>1314</v>
      </c>
      <c r="C445" s="55" t="s">
        <v>1315</v>
      </c>
      <c r="D445" s="55" t="s">
        <v>1316</v>
      </c>
      <c r="E445" s="55"/>
      <c r="F445" s="55" t="s">
        <v>1194</v>
      </c>
      <c r="G445" s="55" t="s">
        <v>1194</v>
      </c>
      <c r="H445" s="55" t="s">
        <v>1248</v>
      </c>
      <c r="I445" s="55" t="s">
        <v>139</v>
      </c>
      <c r="J445" s="55" t="s">
        <v>1317</v>
      </c>
      <c r="K445" s="55" t="s">
        <v>1318</v>
      </c>
      <c r="L445" s="55" t="n">
        <v>2</v>
      </c>
      <c r="M445" s="55" t="n">
        <v>5.875</v>
      </c>
      <c r="N445" s="55" t="s">
        <v>1319</v>
      </c>
      <c r="O445" s="55" t="s">
        <v>1270</v>
      </c>
      <c r="P445" s="55"/>
      <c r="Q445" s="55" t="s">
        <v>1262</v>
      </c>
      <c r="R445" s="55" t="n">
        <v>32</v>
      </c>
      <c r="S445" s="55" t="n">
        <v>124</v>
      </c>
      <c r="T445" s="55"/>
      <c r="U445" s="55"/>
      <c r="V445" s="55"/>
      <c r="W445" s="58" t="s">
        <v>1307</v>
      </c>
      <c r="X445" s="4"/>
      <c r="Y445" s="4"/>
      <c r="Z445" s="4"/>
    </row>
    <row r="446" customFormat="false" ht="15.75" hidden="false" customHeight="true" outlineLevel="0" collapsed="false">
      <c r="A446" s="55" t="n">
        <v>1986</v>
      </c>
      <c r="B446" s="55" t="s">
        <v>3005</v>
      </c>
      <c r="C446" s="55" t="s">
        <v>3006</v>
      </c>
      <c r="D446" s="55" t="s">
        <v>3007</v>
      </c>
      <c r="E446" s="55" t="s">
        <v>3007</v>
      </c>
      <c r="F446" s="55" t="s">
        <v>1194</v>
      </c>
      <c r="G446" s="55" t="s">
        <v>1195</v>
      </c>
      <c r="H446" s="55" t="s">
        <v>1248</v>
      </c>
      <c r="I446" s="55" t="s">
        <v>274</v>
      </c>
      <c r="J446" s="55" t="s">
        <v>3008</v>
      </c>
      <c r="K446" s="55" t="s">
        <v>3009</v>
      </c>
      <c r="L446" s="55" t="n">
        <v>1.125</v>
      </c>
      <c r="M446" s="55" t="n">
        <v>3.25</v>
      </c>
      <c r="N446" s="55" t="s">
        <v>118</v>
      </c>
      <c r="O446" s="55" t="s">
        <v>1270</v>
      </c>
      <c r="P446" s="55"/>
      <c r="Q446" s="55" t="s">
        <v>1262</v>
      </c>
      <c r="R446" s="55" t="n">
        <v>77</v>
      </c>
      <c r="S446" s="55" t="n">
        <v>148</v>
      </c>
      <c r="T446" s="55"/>
      <c r="U446" s="55" t="s">
        <v>3010</v>
      </c>
      <c r="V446" s="55" t="s">
        <v>3011</v>
      </c>
      <c r="W446" s="55"/>
      <c r="X446" s="4"/>
      <c r="Y446" s="4"/>
      <c r="Z446" s="4"/>
    </row>
    <row r="447" customFormat="false" ht="15.75" hidden="false" customHeight="true" outlineLevel="0" collapsed="false">
      <c r="A447" s="55" t="n">
        <v>1987</v>
      </c>
      <c r="B447" s="55" t="s">
        <v>3012</v>
      </c>
      <c r="C447" s="55" t="s">
        <v>3013</v>
      </c>
      <c r="D447" s="55" t="s">
        <v>3014</v>
      </c>
      <c r="E447" s="55" t="s">
        <v>3014</v>
      </c>
      <c r="F447" s="55" t="s">
        <v>1194</v>
      </c>
      <c r="G447" s="55" t="s">
        <v>1195</v>
      </c>
      <c r="H447" s="55" t="s">
        <v>1248</v>
      </c>
      <c r="I447" s="55" t="s">
        <v>274</v>
      </c>
      <c r="J447" s="55" t="s">
        <v>3015</v>
      </c>
      <c r="K447" s="55" t="s">
        <v>3016</v>
      </c>
      <c r="L447" s="55" t="n">
        <v>1.0625</v>
      </c>
      <c r="M447" s="55" t="n">
        <v>3.5</v>
      </c>
      <c r="N447" s="55" t="s">
        <v>3017</v>
      </c>
      <c r="O447" s="55" t="s">
        <v>116</v>
      </c>
      <c r="P447" s="55"/>
      <c r="Q447" s="55" t="s">
        <v>1262</v>
      </c>
      <c r="R447" s="55" t="n">
        <v>38</v>
      </c>
      <c r="S447" s="55" t="n">
        <v>73</v>
      </c>
      <c r="T447" s="55"/>
      <c r="U447" s="55" t="s">
        <v>3013</v>
      </c>
      <c r="V447" s="55" t="s">
        <v>3018</v>
      </c>
      <c r="W447" s="55"/>
      <c r="X447" s="4"/>
      <c r="Y447" s="4"/>
      <c r="Z447" s="4"/>
    </row>
    <row r="448" customFormat="false" ht="15.75" hidden="false" customHeight="true" outlineLevel="0" collapsed="false">
      <c r="A448" s="55" t="n">
        <v>1988</v>
      </c>
      <c r="B448" s="55" t="s">
        <v>1320</v>
      </c>
      <c r="C448" s="55" t="s">
        <v>1321</v>
      </c>
      <c r="D448" s="55" t="s">
        <v>1322</v>
      </c>
      <c r="E448" s="55"/>
      <c r="F448" s="55" t="s">
        <v>1194</v>
      </c>
      <c r="G448" s="55" t="s">
        <v>1194</v>
      </c>
      <c r="H448" s="55" t="s">
        <v>1235</v>
      </c>
      <c r="I448" s="55"/>
      <c r="J448" s="55" t="s">
        <v>1323</v>
      </c>
      <c r="K448" s="55" t="s">
        <v>1324</v>
      </c>
      <c r="L448" s="55" t="n">
        <v>3.5</v>
      </c>
      <c r="M448" s="55" t="n">
        <v>42</v>
      </c>
      <c r="N448" s="55" t="s">
        <v>1325</v>
      </c>
      <c r="O448" s="55" t="s">
        <v>1278</v>
      </c>
      <c r="P448" s="55"/>
      <c r="Q448" s="55"/>
      <c r="R448" s="55" t="n">
        <v>13</v>
      </c>
      <c r="S448" s="55" t="n">
        <v>225</v>
      </c>
      <c r="T448" s="55"/>
      <c r="U448" s="55"/>
      <c r="V448" s="55"/>
      <c r="W448" s="58" t="s">
        <v>1307</v>
      </c>
      <c r="X448" s="4"/>
      <c r="Y448" s="4"/>
      <c r="Z448" s="4"/>
    </row>
    <row r="449" customFormat="false" ht="15.75" hidden="false" customHeight="true" outlineLevel="0" collapsed="false">
      <c r="A449" s="55" t="n">
        <v>1989</v>
      </c>
      <c r="B449" s="55"/>
      <c r="C449" s="55" t="s">
        <v>1066</v>
      </c>
      <c r="D449" s="55" t="s">
        <v>2698</v>
      </c>
      <c r="E449" s="55" t="s">
        <v>2698</v>
      </c>
      <c r="F449" s="55" t="s">
        <v>1194</v>
      </c>
      <c r="G449" s="55" t="s">
        <v>1195</v>
      </c>
      <c r="H449" s="55" t="s">
        <v>1448</v>
      </c>
      <c r="I449" s="55" t="s">
        <v>1061</v>
      </c>
      <c r="J449" s="55" t="s">
        <v>2699</v>
      </c>
      <c r="K449" s="55"/>
      <c r="L449" s="55"/>
      <c r="M449" s="55"/>
      <c r="N449" s="55"/>
      <c r="O449" s="57"/>
      <c r="P449" s="55"/>
      <c r="Q449" s="55"/>
      <c r="R449" s="55" t="n">
        <v>0</v>
      </c>
      <c r="S449" s="55" t="n">
        <v>280</v>
      </c>
      <c r="T449" s="55"/>
      <c r="U449" s="55" t="s">
        <v>1066</v>
      </c>
      <c r="V449" s="55" t="s">
        <v>2700</v>
      </c>
      <c r="W449" s="55" t="s">
        <v>2694</v>
      </c>
      <c r="X449" s="4"/>
      <c r="Y449" s="4"/>
      <c r="Z449" s="4"/>
    </row>
    <row r="450" customFormat="false" ht="15.75" hidden="false" customHeight="true" outlineLevel="0" collapsed="false">
      <c r="A450" s="55" t="n">
        <v>2002</v>
      </c>
      <c r="B450" s="55"/>
      <c r="C450" s="55" t="s">
        <v>637</v>
      </c>
      <c r="D450" s="55" t="s">
        <v>2627</v>
      </c>
      <c r="E450" s="55" t="s">
        <v>2627</v>
      </c>
      <c r="F450" s="55" t="s">
        <v>1194</v>
      </c>
      <c r="G450" s="55" t="s">
        <v>1195</v>
      </c>
      <c r="H450" s="55" t="s">
        <v>1248</v>
      </c>
      <c r="I450" s="55" t="s">
        <v>638</v>
      </c>
      <c r="J450" s="55" t="s">
        <v>2628</v>
      </c>
      <c r="K450" s="55"/>
      <c r="L450" s="55"/>
      <c r="M450" s="55"/>
      <c r="N450" s="55"/>
      <c r="O450" s="57"/>
      <c r="P450" s="55"/>
      <c r="Q450" s="55"/>
      <c r="R450" s="55" t="n">
        <v>15</v>
      </c>
      <c r="S450" s="55" t="n">
        <v>122</v>
      </c>
      <c r="T450" s="55"/>
      <c r="U450" s="55" t="s">
        <v>637</v>
      </c>
      <c r="V450" s="55" t="s">
        <v>2629</v>
      </c>
      <c r="W450" s="55" t="s">
        <v>2614</v>
      </c>
      <c r="X450" s="4"/>
      <c r="Y450" s="4"/>
      <c r="Z450" s="4"/>
    </row>
    <row r="451" customFormat="false" ht="15.75" hidden="false" customHeight="true" outlineLevel="0" collapsed="false">
      <c r="A451" s="55" t="n">
        <v>2003</v>
      </c>
      <c r="B451" s="55"/>
      <c r="C451" s="55" t="s">
        <v>1128</v>
      </c>
      <c r="D451" s="55" t="s">
        <v>2630</v>
      </c>
      <c r="E451" s="55" t="s">
        <v>2630</v>
      </c>
      <c r="F451" s="55" t="s">
        <v>1194</v>
      </c>
      <c r="G451" s="55" t="s">
        <v>1195</v>
      </c>
      <c r="H451" s="55" t="s">
        <v>1235</v>
      </c>
      <c r="I451" s="55"/>
      <c r="J451" s="55" t="s">
        <v>2631</v>
      </c>
      <c r="K451" s="55"/>
      <c r="L451" s="55"/>
      <c r="M451" s="55"/>
      <c r="N451" s="55"/>
      <c r="O451" s="57"/>
      <c r="P451" s="55"/>
      <c r="Q451" s="55"/>
      <c r="R451" s="55" t="n">
        <v>16</v>
      </c>
      <c r="S451" s="55" t="n">
        <v>76</v>
      </c>
      <c r="T451" s="55"/>
      <c r="U451" s="55" t="s">
        <v>1128</v>
      </c>
      <c r="V451" s="55" t="s">
        <v>2632</v>
      </c>
      <c r="W451" s="55" t="s">
        <v>2614</v>
      </c>
      <c r="X451" s="4"/>
      <c r="Y451" s="4"/>
      <c r="Z451" s="4"/>
    </row>
    <row r="452" customFormat="false" ht="15.75" hidden="false" customHeight="true" outlineLevel="0" collapsed="false">
      <c r="A452" s="59" t="n">
        <v>2004</v>
      </c>
      <c r="B452" s="59" t="s">
        <v>1382</v>
      </c>
      <c r="C452" s="59" t="s">
        <v>1383</v>
      </c>
      <c r="D452" s="59" t="s">
        <v>1384</v>
      </c>
      <c r="E452" s="59" t="s">
        <v>1384</v>
      </c>
      <c r="F452" s="59" t="s">
        <v>1194</v>
      </c>
      <c r="G452" s="59" t="s">
        <v>1195</v>
      </c>
      <c r="H452" s="59" t="s">
        <v>1235</v>
      </c>
      <c r="I452" s="59"/>
      <c r="J452" s="59" t="s">
        <v>1385</v>
      </c>
      <c r="K452" s="59" t="s">
        <v>1386</v>
      </c>
      <c r="L452" s="59"/>
      <c r="M452" s="59"/>
      <c r="N452" s="59" t="s">
        <v>1387</v>
      </c>
      <c r="O452" s="59" t="s">
        <v>1388</v>
      </c>
      <c r="P452" s="59"/>
      <c r="Q452" s="59"/>
      <c r="R452" s="59" t="n">
        <v>8</v>
      </c>
      <c r="S452" s="59" t="n">
        <v>63</v>
      </c>
      <c r="T452" s="59"/>
      <c r="U452" s="59" t="s">
        <v>1383</v>
      </c>
      <c r="V452" s="59" t="s">
        <v>1389</v>
      </c>
      <c r="W452" s="59" t="s">
        <v>3019</v>
      </c>
      <c r="X452" s="4"/>
      <c r="Y452" s="4"/>
      <c r="Z452" s="4"/>
    </row>
    <row r="453" customFormat="false" ht="15.75" hidden="false" customHeight="true" outlineLevel="0" collapsed="false">
      <c r="A453" s="55" t="n">
        <v>2005</v>
      </c>
      <c r="B453" s="55" t="s">
        <v>1390</v>
      </c>
      <c r="C453" s="55" t="s">
        <v>1391</v>
      </c>
      <c r="D453" s="55" t="s">
        <v>1392</v>
      </c>
      <c r="E453" s="55" t="s">
        <v>1392</v>
      </c>
      <c r="F453" s="55" t="s">
        <v>1194</v>
      </c>
      <c r="G453" s="55" t="s">
        <v>1195</v>
      </c>
      <c r="H453" s="55" t="s">
        <v>1235</v>
      </c>
      <c r="I453" s="55"/>
      <c r="J453" s="55" t="s">
        <v>1393</v>
      </c>
      <c r="K453" s="55" t="s">
        <v>1394</v>
      </c>
      <c r="L453" s="55"/>
      <c r="M453" s="55"/>
      <c r="N453" s="55" t="s">
        <v>1395</v>
      </c>
      <c r="O453" s="55" t="s">
        <v>1388</v>
      </c>
      <c r="P453" s="55"/>
      <c r="Q453" s="55"/>
      <c r="R453" s="55" t="n">
        <v>13</v>
      </c>
      <c r="S453" s="55" t="n">
        <v>61</v>
      </c>
      <c r="T453" s="55"/>
      <c r="U453" s="55" t="s">
        <v>1391</v>
      </c>
      <c r="V453" s="55" t="s">
        <v>1396</v>
      </c>
      <c r="W453" s="55" t="s">
        <v>1374</v>
      </c>
      <c r="X453" s="4"/>
      <c r="Y453" s="4"/>
      <c r="Z453" s="4"/>
    </row>
    <row r="454" customFormat="false" ht="15.75" hidden="false" customHeight="true" outlineLevel="0" collapsed="false">
      <c r="A454" s="55" t="n">
        <v>2006</v>
      </c>
      <c r="B454" s="55" t="s">
        <v>1470</v>
      </c>
      <c r="C454" s="55" t="s">
        <v>1471</v>
      </c>
      <c r="D454" s="55" t="s">
        <v>1472</v>
      </c>
      <c r="E454" s="55"/>
      <c r="F454" s="55" t="s">
        <v>1194</v>
      </c>
      <c r="G454" s="55" t="s">
        <v>1194</v>
      </c>
      <c r="H454" s="55" t="s">
        <v>1235</v>
      </c>
      <c r="I454" s="55"/>
      <c r="J454" s="55" t="s">
        <v>1473</v>
      </c>
      <c r="K454" s="55"/>
      <c r="L454" s="55"/>
      <c r="M454" s="55"/>
      <c r="N454" s="55" t="s">
        <v>1474</v>
      </c>
      <c r="O454" s="55" t="s">
        <v>129</v>
      </c>
      <c r="P454" s="55"/>
      <c r="Q454" s="55" t="s">
        <v>1475</v>
      </c>
      <c r="R454" s="55" t="n">
        <v>7</v>
      </c>
      <c r="S454" s="55" t="n">
        <v>50</v>
      </c>
      <c r="T454" s="55"/>
      <c r="U454" s="55"/>
      <c r="V454" s="55"/>
      <c r="W454" s="58" t="s">
        <v>1476</v>
      </c>
      <c r="X454" s="4"/>
      <c r="Y454" s="4"/>
      <c r="Z454" s="4"/>
    </row>
    <row r="455" customFormat="false" ht="15.75" hidden="false" customHeight="true" outlineLevel="0" collapsed="false">
      <c r="A455" s="55" t="n">
        <v>2007</v>
      </c>
      <c r="B455" s="55" t="s">
        <v>1136</v>
      </c>
      <c r="C455" s="55" t="s">
        <v>1137</v>
      </c>
      <c r="D455" s="55" t="s">
        <v>2727</v>
      </c>
      <c r="E455" s="55"/>
      <c r="F455" s="55" t="s">
        <v>1194</v>
      </c>
      <c r="G455" s="55" t="s">
        <v>1194</v>
      </c>
      <c r="H455" s="55" t="s">
        <v>1235</v>
      </c>
      <c r="I455" s="55"/>
      <c r="J455" s="55" t="s">
        <v>2728</v>
      </c>
      <c r="K455" s="55"/>
      <c r="L455" s="55"/>
      <c r="M455" s="55"/>
      <c r="N455" s="55"/>
      <c r="O455" s="57"/>
      <c r="P455" s="55"/>
      <c r="Q455" s="55"/>
      <c r="R455" s="55" t="n">
        <v>7</v>
      </c>
      <c r="S455" s="55" t="n">
        <v>6</v>
      </c>
      <c r="T455" s="55"/>
      <c r="U455" s="55"/>
      <c r="V455" s="55"/>
      <c r="W455" s="58" t="s">
        <v>2706</v>
      </c>
      <c r="X455" s="4"/>
      <c r="Y455" s="4"/>
      <c r="Z455" s="4"/>
    </row>
    <row r="456" customFormat="false" ht="15.75" hidden="false" customHeight="true" outlineLevel="0" collapsed="false">
      <c r="A456" s="55" t="n">
        <v>2008</v>
      </c>
      <c r="B456" s="55" t="s">
        <v>1493</v>
      </c>
      <c r="C456" s="55" t="s">
        <v>1494</v>
      </c>
      <c r="D456" s="55" t="s">
        <v>1495</v>
      </c>
      <c r="E456" s="55"/>
      <c r="F456" s="55" t="s">
        <v>1194</v>
      </c>
      <c r="G456" s="55" t="s">
        <v>1194</v>
      </c>
      <c r="H456" s="55" t="s">
        <v>1235</v>
      </c>
      <c r="I456" s="55"/>
      <c r="J456" s="55" t="s">
        <v>1496</v>
      </c>
      <c r="K456" s="55"/>
      <c r="L456" s="55"/>
      <c r="M456" s="55"/>
      <c r="N456" s="55" t="s">
        <v>1474</v>
      </c>
      <c r="O456" s="55" t="s">
        <v>129</v>
      </c>
      <c r="P456" s="55"/>
      <c r="Q456" s="55" t="s">
        <v>1475</v>
      </c>
      <c r="R456" s="55" t="n">
        <v>6</v>
      </c>
      <c r="S456" s="55" t="n">
        <v>59</v>
      </c>
      <c r="T456" s="55"/>
      <c r="U456" s="55"/>
      <c r="V456" s="55"/>
      <c r="W456" s="58" t="s">
        <v>1476</v>
      </c>
      <c r="X456" s="4"/>
      <c r="Y456" s="4"/>
      <c r="Z456" s="4"/>
    </row>
    <row r="457" customFormat="false" ht="15.75" hidden="false" customHeight="true" outlineLevel="0" collapsed="false">
      <c r="A457" s="55" t="n">
        <v>2009</v>
      </c>
      <c r="B457" s="55" t="s">
        <v>1138</v>
      </c>
      <c r="C457" s="55" t="s">
        <v>1139</v>
      </c>
      <c r="D457" s="55" t="s">
        <v>2729</v>
      </c>
      <c r="E457" s="55"/>
      <c r="F457" s="55" t="s">
        <v>1194</v>
      </c>
      <c r="G457" s="55" t="s">
        <v>1194</v>
      </c>
      <c r="H457" s="55" t="s">
        <v>1235</v>
      </c>
      <c r="I457" s="55"/>
      <c r="J457" s="55" t="s">
        <v>2730</v>
      </c>
      <c r="K457" s="55"/>
      <c r="L457" s="55"/>
      <c r="M457" s="55"/>
      <c r="N457" s="55"/>
      <c r="O457" s="57"/>
      <c r="P457" s="55"/>
      <c r="Q457" s="55"/>
      <c r="R457" s="55" t="n">
        <v>6</v>
      </c>
      <c r="S457" s="55" t="n">
        <v>74</v>
      </c>
      <c r="T457" s="55"/>
      <c r="U457" s="55"/>
      <c r="V457" s="55"/>
      <c r="W457" s="58" t="s">
        <v>2706</v>
      </c>
      <c r="X457" s="4"/>
      <c r="Y457" s="4"/>
      <c r="Z457" s="4"/>
    </row>
    <row r="458" customFormat="false" ht="15.75" hidden="false" customHeight="true" outlineLevel="0" collapsed="false">
      <c r="A458" s="55" t="n">
        <v>2010</v>
      </c>
      <c r="B458" s="55" t="s">
        <v>1477</v>
      </c>
      <c r="C458" s="55" t="s">
        <v>1478</v>
      </c>
      <c r="D458" s="55" t="s">
        <v>1479</v>
      </c>
      <c r="E458" s="55"/>
      <c r="F458" s="55" t="s">
        <v>1194</v>
      </c>
      <c r="G458" s="55" t="s">
        <v>1194</v>
      </c>
      <c r="H458" s="55" t="s">
        <v>1235</v>
      </c>
      <c r="I458" s="55"/>
      <c r="J458" s="55" t="s">
        <v>1480</v>
      </c>
      <c r="K458" s="55"/>
      <c r="L458" s="55"/>
      <c r="M458" s="55"/>
      <c r="N458" s="55" t="s">
        <v>1474</v>
      </c>
      <c r="O458" s="55" t="s">
        <v>129</v>
      </c>
      <c r="P458" s="55"/>
      <c r="Q458" s="55" t="s">
        <v>1475</v>
      </c>
      <c r="R458" s="55" t="n">
        <v>7</v>
      </c>
      <c r="S458" s="55" t="n">
        <v>46</v>
      </c>
      <c r="T458" s="55"/>
      <c r="U458" s="55"/>
      <c r="V458" s="55"/>
      <c r="W458" s="58" t="s">
        <v>1476</v>
      </c>
      <c r="X458" s="4"/>
      <c r="Y458" s="4"/>
      <c r="Z458" s="4"/>
    </row>
    <row r="459" customFormat="false" ht="15.75" hidden="false" customHeight="true" outlineLevel="0" collapsed="false">
      <c r="A459" s="55" t="n">
        <v>2011</v>
      </c>
      <c r="B459" s="55" t="s">
        <v>1489</v>
      </c>
      <c r="C459" s="55" t="s">
        <v>1490</v>
      </c>
      <c r="D459" s="55" t="s">
        <v>1491</v>
      </c>
      <c r="E459" s="55"/>
      <c r="F459" s="55" t="s">
        <v>1194</v>
      </c>
      <c r="G459" s="55" t="s">
        <v>1194</v>
      </c>
      <c r="H459" s="55" t="s">
        <v>1235</v>
      </c>
      <c r="I459" s="55"/>
      <c r="J459" s="55" t="s">
        <v>1492</v>
      </c>
      <c r="K459" s="55"/>
      <c r="L459" s="55"/>
      <c r="M459" s="55"/>
      <c r="N459" s="55" t="s">
        <v>1474</v>
      </c>
      <c r="O459" s="55" t="s">
        <v>129</v>
      </c>
      <c r="P459" s="55"/>
      <c r="Q459" s="55" t="s">
        <v>1475</v>
      </c>
      <c r="R459" s="55" t="n">
        <v>20</v>
      </c>
      <c r="S459" s="55" t="n">
        <v>99</v>
      </c>
      <c r="T459" s="55"/>
      <c r="U459" s="55"/>
      <c r="V459" s="55"/>
      <c r="W459" s="58" t="s">
        <v>1476</v>
      </c>
      <c r="X459" s="4"/>
      <c r="Y459" s="4"/>
      <c r="Z459" s="4"/>
    </row>
    <row r="460" customFormat="false" ht="15.75" hidden="false" customHeight="true" outlineLevel="0" collapsed="false">
      <c r="A460" s="59" t="n">
        <v>2012</v>
      </c>
      <c r="B460" s="59" t="s">
        <v>1142</v>
      </c>
      <c r="C460" s="59" t="s">
        <v>1143</v>
      </c>
      <c r="D460" s="59" t="s">
        <v>2731</v>
      </c>
      <c r="E460" s="59"/>
      <c r="F460" s="59" t="s">
        <v>1194</v>
      </c>
      <c r="G460" s="59" t="s">
        <v>1194</v>
      </c>
      <c r="H460" s="59" t="s">
        <v>1235</v>
      </c>
      <c r="I460" s="59"/>
      <c r="J460" s="59" t="s">
        <v>2732</v>
      </c>
      <c r="K460" s="59"/>
      <c r="L460" s="59"/>
      <c r="M460" s="59"/>
      <c r="N460" s="59"/>
      <c r="O460" s="59"/>
      <c r="P460" s="59"/>
      <c r="Q460" s="59"/>
      <c r="R460" s="59" t="n">
        <v>4</v>
      </c>
      <c r="S460" s="59" t="n">
        <v>129</v>
      </c>
      <c r="T460" s="59"/>
      <c r="U460" s="59"/>
      <c r="V460" s="59"/>
      <c r="W460" s="59" t="s">
        <v>3020</v>
      </c>
      <c r="X460" s="4"/>
      <c r="Y460" s="4"/>
      <c r="Z460" s="4"/>
    </row>
    <row r="461" customFormat="false" ht="15.75" hidden="false" customHeight="true" outlineLevel="0" collapsed="false">
      <c r="A461" s="59" t="n">
        <v>2013</v>
      </c>
      <c r="B461" s="59" t="s">
        <v>1144</v>
      </c>
      <c r="C461" s="59" t="s">
        <v>1145</v>
      </c>
      <c r="D461" s="59" t="s">
        <v>2733</v>
      </c>
      <c r="E461" s="59"/>
      <c r="F461" s="59" t="s">
        <v>1194</v>
      </c>
      <c r="G461" s="59" t="s">
        <v>1194</v>
      </c>
      <c r="H461" s="59" t="s">
        <v>1235</v>
      </c>
      <c r="I461" s="59"/>
      <c r="J461" s="59" t="s">
        <v>2734</v>
      </c>
      <c r="K461" s="59"/>
      <c r="L461" s="59"/>
      <c r="M461" s="59"/>
      <c r="N461" s="59"/>
      <c r="O461" s="59"/>
      <c r="P461" s="59"/>
      <c r="Q461" s="59"/>
      <c r="R461" s="59" t="n">
        <v>3</v>
      </c>
      <c r="S461" s="59" t="n">
        <v>60</v>
      </c>
      <c r="T461" s="59"/>
      <c r="U461" s="59"/>
      <c r="V461" s="59"/>
      <c r="W461" s="59" t="s">
        <v>3020</v>
      </c>
      <c r="X461" s="4"/>
      <c r="Y461" s="4"/>
      <c r="Z461" s="4"/>
    </row>
    <row r="462" customFormat="false" ht="15.75" hidden="false" customHeight="true" outlineLevel="0" collapsed="false">
      <c r="A462" s="55" t="n">
        <v>2014</v>
      </c>
      <c r="B462" s="55" t="s">
        <v>1146</v>
      </c>
      <c r="C462" s="55" t="s">
        <v>1148</v>
      </c>
      <c r="D462" s="55" t="s">
        <v>2735</v>
      </c>
      <c r="E462" s="55"/>
      <c r="F462" s="55" t="s">
        <v>1194</v>
      </c>
      <c r="G462" s="55" t="s">
        <v>1194</v>
      </c>
      <c r="H462" s="55" t="s">
        <v>1235</v>
      </c>
      <c r="I462" s="55"/>
      <c r="J462" s="55" t="s">
        <v>2736</v>
      </c>
      <c r="K462" s="55"/>
      <c r="L462" s="55"/>
      <c r="M462" s="55"/>
      <c r="N462" s="55"/>
      <c r="O462" s="57"/>
      <c r="P462" s="55"/>
      <c r="Q462" s="55"/>
      <c r="R462" s="55" t="n">
        <v>8</v>
      </c>
      <c r="S462" s="55" t="n">
        <v>111</v>
      </c>
      <c r="T462" s="55"/>
      <c r="U462" s="55"/>
      <c r="V462" s="55"/>
      <c r="W462" s="58" t="s">
        <v>2706</v>
      </c>
      <c r="X462" s="4"/>
      <c r="Y462" s="4"/>
      <c r="Z462" s="4"/>
    </row>
    <row r="463" customFormat="false" ht="15.75" hidden="false" customHeight="true" outlineLevel="0" collapsed="false">
      <c r="A463" s="59" t="n">
        <v>2015</v>
      </c>
      <c r="B463" s="59" t="s">
        <v>1146</v>
      </c>
      <c r="C463" s="59" t="s">
        <v>1147</v>
      </c>
      <c r="D463" s="59" t="s">
        <v>2737</v>
      </c>
      <c r="E463" s="59"/>
      <c r="F463" s="59" t="s">
        <v>1194</v>
      </c>
      <c r="G463" s="59" t="s">
        <v>1194</v>
      </c>
      <c r="H463" s="59" t="s">
        <v>1235</v>
      </c>
      <c r="I463" s="59"/>
      <c r="J463" s="59" t="s">
        <v>2738</v>
      </c>
      <c r="K463" s="59"/>
      <c r="L463" s="59"/>
      <c r="M463" s="59"/>
      <c r="N463" s="59"/>
      <c r="O463" s="59"/>
      <c r="P463" s="59"/>
      <c r="Q463" s="59"/>
      <c r="R463" s="59" t="n">
        <v>5</v>
      </c>
      <c r="S463" s="59" t="n">
        <v>38</v>
      </c>
      <c r="T463" s="59"/>
      <c r="U463" s="59"/>
      <c r="V463" s="59"/>
      <c r="W463" s="59" t="s">
        <v>3020</v>
      </c>
      <c r="X463" s="4"/>
      <c r="Y463" s="4"/>
      <c r="Z463" s="4"/>
    </row>
    <row r="464" customFormat="false" ht="15.75" hidden="false" customHeight="true" outlineLevel="0" collapsed="false">
      <c r="A464" s="55" t="n">
        <v>2016</v>
      </c>
      <c r="B464" s="55" t="s">
        <v>1153</v>
      </c>
      <c r="C464" s="55" t="s">
        <v>1154</v>
      </c>
      <c r="D464" s="55" t="s">
        <v>2739</v>
      </c>
      <c r="E464" s="55"/>
      <c r="F464" s="55" t="s">
        <v>1194</v>
      </c>
      <c r="G464" s="55" t="s">
        <v>1194</v>
      </c>
      <c r="H464" s="55" t="s">
        <v>1235</v>
      </c>
      <c r="I464" s="55"/>
      <c r="J464" s="55" t="s">
        <v>2740</v>
      </c>
      <c r="K464" s="55"/>
      <c r="L464" s="55"/>
      <c r="M464" s="55"/>
      <c r="N464" s="55"/>
      <c r="O464" s="57"/>
      <c r="P464" s="55"/>
      <c r="Q464" s="55"/>
      <c r="R464" s="55" t="n">
        <v>10</v>
      </c>
      <c r="S464" s="55" t="n">
        <v>187</v>
      </c>
      <c r="T464" s="55"/>
      <c r="U464" s="55"/>
      <c r="V464" s="55"/>
      <c r="W464" s="58" t="s">
        <v>2706</v>
      </c>
      <c r="X464" s="4"/>
      <c r="Y464" s="4"/>
      <c r="Z464" s="4"/>
    </row>
    <row r="465" customFormat="false" ht="15.75" hidden="false" customHeight="true" outlineLevel="0" collapsed="false">
      <c r="A465" s="55" t="n">
        <v>2017</v>
      </c>
      <c r="B465" s="55" t="s">
        <v>1155</v>
      </c>
      <c r="C465" s="55" t="s">
        <v>1156</v>
      </c>
      <c r="D465" s="55" t="s">
        <v>2747</v>
      </c>
      <c r="E465" s="55"/>
      <c r="F465" s="55" t="s">
        <v>1194</v>
      </c>
      <c r="G465" s="55" t="s">
        <v>1194</v>
      </c>
      <c r="H465" s="55" t="s">
        <v>1235</v>
      </c>
      <c r="I465" s="55"/>
      <c r="J465" s="55" t="s">
        <v>2748</v>
      </c>
      <c r="K465" s="55"/>
      <c r="L465" s="55"/>
      <c r="M465" s="55"/>
      <c r="N465" s="55"/>
      <c r="O465" s="57"/>
      <c r="P465" s="55"/>
      <c r="Q465" s="55"/>
      <c r="R465" s="55" t="n">
        <v>31</v>
      </c>
      <c r="S465" s="55" t="n">
        <v>24</v>
      </c>
      <c r="T465" s="55"/>
      <c r="U465" s="55"/>
      <c r="V465" s="55"/>
      <c r="W465" s="58" t="s">
        <v>2706</v>
      </c>
      <c r="X465" s="4"/>
      <c r="Y465" s="4"/>
      <c r="Z465" s="4"/>
    </row>
    <row r="466" customFormat="false" ht="15.75" hidden="false" customHeight="true" outlineLevel="0" collapsed="false">
      <c r="A466" s="55" t="n">
        <v>2018</v>
      </c>
      <c r="B466" s="55" t="s">
        <v>1157</v>
      </c>
      <c r="C466" s="55" t="s">
        <v>1158</v>
      </c>
      <c r="D466" s="55" t="s">
        <v>2743</v>
      </c>
      <c r="E466" s="55"/>
      <c r="F466" s="55" t="s">
        <v>1194</v>
      </c>
      <c r="G466" s="55" t="s">
        <v>1194</v>
      </c>
      <c r="H466" s="55" t="s">
        <v>1235</v>
      </c>
      <c r="I466" s="55"/>
      <c r="J466" s="55" t="s">
        <v>2744</v>
      </c>
      <c r="K466" s="55"/>
      <c r="L466" s="55"/>
      <c r="M466" s="55"/>
      <c r="N466" s="55"/>
      <c r="O466" s="57"/>
      <c r="P466" s="55"/>
      <c r="Q466" s="55"/>
      <c r="R466" s="55" t="n">
        <v>8</v>
      </c>
      <c r="S466" s="55" t="n">
        <v>115</v>
      </c>
      <c r="T466" s="55"/>
      <c r="U466" s="55"/>
      <c r="V466" s="55"/>
      <c r="W466" s="58" t="s">
        <v>2706</v>
      </c>
      <c r="X466" s="4"/>
      <c r="Y466" s="4"/>
      <c r="Z466" s="4"/>
    </row>
    <row r="467" customFormat="false" ht="15.75" hidden="false" customHeight="true" outlineLevel="0" collapsed="false">
      <c r="A467" s="55" t="n">
        <v>2019</v>
      </c>
      <c r="B467" s="55" t="s">
        <v>1159</v>
      </c>
      <c r="C467" s="55" t="s">
        <v>1160</v>
      </c>
      <c r="D467" s="55" t="s">
        <v>2745</v>
      </c>
      <c r="E467" s="55"/>
      <c r="F467" s="55" t="s">
        <v>1194</v>
      </c>
      <c r="G467" s="55" t="s">
        <v>1194</v>
      </c>
      <c r="H467" s="55" t="s">
        <v>1235</v>
      </c>
      <c r="I467" s="55"/>
      <c r="J467" s="55" t="s">
        <v>2746</v>
      </c>
      <c r="K467" s="55"/>
      <c r="L467" s="55"/>
      <c r="M467" s="55"/>
      <c r="N467" s="55"/>
      <c r="O467" s="57"/>
      <c r="P467" s="55"/>
      <c r="Q467" s="55"/>
      <c r="R467" s="55" t="n">
        <v>7</v>
      </c>
      <c r="S467" s="55" t="n">
        <v>53</v>
      </c>
      <c r="T467" s="55"/>
      <c r="U467" s="55"/>
      <c r="V467" s="55"/>
      <c r="W467" s="58" t="s">
        <v>2706</v>
      </c>
      <c r="X467" s="4"/>
      <c r="Y467" s="4"/>
      <c r="Z467" s="4"/>
    </row>
    <row r="468" customFormat="false" ht="15.75" hidden="false" customHeight="true" outlineLevel="0" collapsed="false">
      <c r="A468" s="55" t="n">
        <v>2020</v>
      </c>
      <c r="B468" s="55" t="s">
        <v>1161</v>
      </c>
      <c r="C468" s="55" t="s">
        <v>1162</v>
      </c>
      <c r="D468" s="55" t="s">
        <v>2759</v>
      </c>
      <c r="E468" s="55"/>
      <c r="F468" s="55" t="s">
        <v>1194</v>
      </c>
      <c r="G468" s="55" t="s">
        <v>1194</v>
      </c>
      <c r="H468" s="55" t="s">
        <v>1235</v>
      </c>
      <c r="I468" s="55"/>
      <c r="J468" s="55" t="s">
        <v>2760</v>
      </c>
      <c r="K468" s="55"/>
      <c r="L468" s="55"/>
      <c r="M468" s="55"/>
      <c r="N468" s="55"/>
      <c r="O468" s="57"/>
      <c r="P468" s="55"/>
      <c r="Q468" s="55"/>
      <c r="R468" s="55" t="n">
        <v>3</v>
      </c>
      <c r="S468" s="55" t="n">
        <v>97</v>
      </c>
      <c r="T468" s="55"/>
      <c r="U468" s="55"/>
      <c r="V468" s="55"/>
      <c r="W468" s="58" t="s">
        <v>2706</v>
      </c>
      <c r="X468" s="4"/>
      <c r="Y468" s="4"/>
      <c r="Z468" s="4"/>
    </row>
    <row r="469" customFormat="false" ht="15.75" hidden="false" customHeight="true" outlineLevel="0" collapsed="false">
      <c r="A469" s="55" t="n">
        <v>2021</v>
      </c>
      <c r="B469" s="55" t="s">
        <v>1163</v>
      </c>
      <c r="C469" s="55" t="s">
        <v>1164</v>
      </c>
      <c r="D469" s="55" t="s">
        <v>2749</v>
      </c>
      <c r="E469" s="55"/>
      <c r="F469" s="55" t="s">
        <v>1194</v>
      </c>
      <c r="G469" s="55" t="s">
        <v>1194</v>
      </c>
      <c r="H469" s="55" t="s">
        <v>1235</v>
      </c>
      <c r="I469" s="55"/>
      <c r="J469" s="55" t="s">
        <v>2750</v>
      </c>
      <c r="K469" s="55"/>
      <c r="L469" s="55"/>
      <c r="M469" s="55"/>
      <c r="N469" s="55"/>
      <c r="O469" s="57"/>
      <c r="P469" s="55"/>
      <c r="Q469" s="55"/>
      <c r="R469" s="55" t="n">
        <v>31</v>
      </c>
      <c r="S469" s="55" t="n">
        <v>37</v>
      </c>
      <c r="T469" s="55"/>
      <c r="U469" s="55"/>
      <c r="V469" s="55"/>
      <c r="W469" s="58" t="s">
        <v>2706</v>
      </c>
      <c r="X469" s="4"/>
      <c r="Y469" s="4"/>
      <c r="Z469" s="4"/>
    </row>
    <row r="470" customFormat="false" ht="15.75" hidden="false" customHeight="true" outlineLevel="0" collapsed="false">
      <c r="A470" s="55" t="n">
        <v>2022</v>
      </c>
      <c r="B470" s="55" t="s">
        <v>1132</v>
      </c>
      <c r="C470" s="55" t="s">
        <v>1133</v>
      </c>
      <c r="D470" s="55" t="s">
        <v>2751</v>
      </c>
      <c r="E470" s="55"/>
      <c r="F470" s="55" t="s">
        <v>1194</v>
      </c>
      <c r="G470" s="55" t="s">
        <v>1194</v>
      </c>
      <c r="H470" s="55" t="s">
        <v>1235</v>
      </c>
      <c r="I470" s="55"/>
      <c r="J470" s="55" t="s">
        <v>2752</v>
      </c>
      <c r="K470" s="55"/>
      <c r="L470" s="55"/>
      <c r="M470" s="55"/>
      <c r="N470" s="55"/>
      <c r="O470" s="57"/>
      <c r="P470" s="55"/>
      <c r="Q470" s="55"/>
      <c r="R470" s="55" t="n">
        <v>10</v>
      </c>
      <c r="S470" s="55" t="n">
        <v>48</v>
      </c>
      <c r="T470" s="55"/>
      <c r="U470" s="55"/>
      <c r="V470" s="55"/>
      <c r="W470" s="58" t="s">
        <v>2706</v>
      </c>
      <c r="X470" s="4"/>
      <c r="Y470" s="4"/>
      <c r="Z470" s="4"/>
    </row>
    <row r="471" customFormat="false" ht="15.75" hidden="false" customHeight="true" outlineLevel="0" collapsed="false">
      <c r="A471" s="59" t="n">
        <v>2023</v>
      </c>
      <c r="B471" s="59" t="s">
        <v>1134</v>
      </c>
      <c r="C471" s="59" t="s">
        <v>1135</v>
      </c>
      <c r="D471" s="59" t="s">
        <v>2765</v>
      </c>
      <c r="E471" s="59" t="s">
        <v>2766</v>
      </c>
      <c r="F471" s="59" t="s">
        <v>1195</v>
      </c>
      <c r="G471" s="59" t="s">
        <v>1195</v>
      </c>
      <c r="H471" s="59" t="s">
        <v>1235</v>
      </c>
      <c r="I471" s="59"/>
      <c r="J471" s="59" t="s">
        <v>2767</v>
      </c>
      <c r="K471" s="59"/>
      <c r="L471" s="59"/>
      <c r="M471" s="59"/>
      <c r="N471" s="59"/>
      <c r="O471" s="59"/>
      <c r="P471" s="59"/>
      <c r="Q471" s="59"/>
      <c r="R471" s="59" t="n">
        <v>12</v>
      </c>
      <c r="S471" s="59" t="n">
        <v>18</v>
      </c>
      <c r="T471" s="59"/>
      <c r="U471" s="59" t="s">
        <v>2768</v>
      </c>
      <c r="V471" s="59" t="s">
        <v>2769</v>
      </c>
      <c r="W471" s="59" t="s">
        <v>3021</v>
      </c>
      <c r="X471" s="4"/>
      <c r="Y471" s="4"/>
      <c r="Z471" s="4"/>
    </row>
    <row r="472" customFormat="false" ht="15.75" hidden="false" customHeight="true" outlineLevel="0" collapsed="false">
      <c r="A472" s="55" t="n">
        <v>2024</v>
      </c>
      <c r="B472" s="55" t="s">
        <v>1130</v>
      </c>
      <c r="C472" s="55" t="s">
        <v>1131</v>
      </c>
      <c r="D472" s="55" t="s">
        <v>2590</v>
      </c>
      <c r="E472" s="55" t="s">
        <v>2590</v>
      </c>
      <c r="F472" s="55" t="s">
        <v>1194</v>
      </c>
      <c r="G472" s="55" t="s">
        <v>1195</v>
      </c>
      <c r="H472" s="55" t="s">
        <v>1235</v>
      </c>
      <c r="I472" s="55"/>
      <c r="J472" s="55" t="s">
        <v>2591</v>
      </c>
      <c r="K472" s="55"/>
      <c r="L472" s="55"/>
      <c r="M472" s="55"/>
      <c r="N472" s="55"/>
      <c r="O472" s="57"/>
      <c r="P472" s="55"/>
      <c r="Q472" s="55"/>
      <c r="R472" s="55" t="n">
        <v>11</v>
      </c>
      <c r="S472" s="55" t="n">
        <v>28</v>
      </c>
      <c r="T472" s="55"/>
      <c r="U472" s="55" t="s">
        <v>1131</v>
      </c>
      <c r="V472" s="55" t="s">
        <v>2592</v>
      </c>
      <c r="W472" s="55" t="s">
        <v>2575</v>
      </c>
      <c r="X472" s="4"/>
      <c r="Y472" s="4"/>
      <c r="Z472" s="4"/>
    </row>
    <row r="473" customFormat="false" ht="15.75" hidden="false" customHeight="true" outlineLevel="0" collapsed="false">
      <c r="A473" s="55" t="n">
        <v>2025</v>
      </c>
      <c r="B473" s="55"/>
      <c r="C473" s="55" t="s">
        <v>1125</v>
      </c>
      <c r="D473" s="55" t="s">
        <v>2681</v>
      </c>
      <c r="E473" s="55" t="s">
        <v>2682</v>
      </c>
      <c r="F473" s="55" t="s">
        <v>1195</v>
      </c>
      <c r="G473" s="55" t="s">
        <v>1195</v>
      </c>
      <c r="H473" s="55" t="s">
        <v>1235</v>
      </c>
      <c r="I473" s="55"/>
      <c r="J473" s="55" t="s">
        <v>2683</v>
      </c>
      <c r="K473" s="55"/>
      <c r="L473" s="55"/>
      <c r="M473" s="55"/>
      <c r="N473" s="55"/>
      <c r="O473" s="57"/>
      <c r="P473" s="55"/>
      <c r="Q473" s="55"/>
      <c r="R473" s="55" t="n">
        <v>6</v>
      </c>
      <c r="S473" s="55" t="n">
        <v>72</v>
      </c>
      <c r="T473" s="55"/>
      <c r="U473" s="55" t="s">
        <v>1125</v>
      </c>
      <c r="V473" s="55" t="s">
        <v>2684</v>
      </c>
      <c r="W473" s="55" t="s">
        <v>2672</v>
      </c>
      <c r="X473" s="4"/>
      <c r="Y473" s="4"/>
      <c r="Z473" s="4"/>
    </row>
    <row r="474" customFormat="false" ht="15.75" hidden="false" customHeight="true" outlineLevel="0" collapsed="false">
      <c r="A474" s="59" t="n">
        <v>2026</v>
      </c>
      <c r="B474" s="59" t="s">
        <v>1149</v>
      </c>
      <c r="C474" s="59" t="s">
        <v>1150</v>
      </c>
      <c r="D474" s="59" t="s">
        <v>2570</v>
      </c>
      <c r="E474" s="59"/>
      <c r="F474" s="59" t="s">
        <v>1194</v>
      </c>
      <c r="G474" s="59" t="s">
        <v>1194</v>
      </c>
      <c r="H474" s="59" t="s">
        <v>1235</v>
      </c>
      <c r="I474" s="59"/>
      <c r="J474" s="59" t="s">
        <v>2571</v>
      </c>
      <c r="K474" s="59" t="s">
        <v>1151</v>
      </c>
      <c r="L474" s="59"/>
      <c r="M474" s="59"/>
      <c r="N474" s="59" t="s">
        <v>1152</v>
      </c>
      <c r="O474" s="59"/>
      <c r="P474" s="59"/>
      <c r="Q474" s="59" t="s">
        <v>1444</v>
      </c>
      <c r="R474" s="59" t="n">
        <v>8</v>
      </c>
      <c r="S474" s="59" t="n">
        <v>237</v>
      </c>
      <c r="T474" s="59"/>
      <c r="U474" s="59"/>
      <c r="V474" s="59"/>
      <c r="W474" s="59" t="s">
        <v>3022</v>
      </c>
      <c r="X474" s="4"/>
      <c r="Y474" s="4"/>
      <c r="Z474" s="4"/>
    </row>
    <row r="475" customFormat="false" ht="15.75" hidden="false" customHeight="true" outlineLevel="0" collapsed="false">
      <c r="A475" s="55" t="n">
        <v>2027</v>
      </c>
      <c r="B475" s="55" t="s">
        <v>1485</v>
      </c>
      <c r="C475" s="55" t="s">
        <v>1486</v>
      </c>
      <c r="D475" s="55" t="s">
        <v>1487</v>
      </c>
      <c r="E475" s="55"/>
      <c r="F475" s="55" t="s">
        <v>1194</v>
      </c>
      <c r="G475" s="55" t="s">
        <v>1194</v>
      </c>
      <c r="H475" s="55" t="s">
        <v>1235</v>
      </c>
      <c r="I475" s="55"/>
      <c r="J475" s="55" t="s">
        <v>1488</v>
      </c>
      <c r="K475" s="55"/>
      <c r="L475" s="55"/>
      <c r="M475" s="55"/>
      <c r="N475" s="55" t="s">
        <v>1387</v>
      </c>
      <c r="O475" s="55" t="s">
        <v>1388</v>
      </c>
      <c r="P475" s="55"/>
      <c r="Q475" s="55"/>
      <c r="R475" s="55" t="n">
        <v>31</v>
      </c>
      <c r="S475" s="55" t="n">
        <v>62</v>
      </c>
      <c r="T475" s="55"/>
      <c r="U475" s="55"/>
      <c r="V475" s="55"/>
      <c r="W475" s="58" t="s">
        <v>1476</v>
      </c>
      <c r="X475" s="4"/>
      <c r="Y475" s="4"/>
      <c r="Z475" s="4"/>
    </row>
    <row r="476" customFormat="false" ht="15.75" hidden="false" customHeight="true" outlineLevel="0" collapsed="false">
      <c r="A476" s="55" t="n">
        <v>2028</v>
      </c>
      <c r="B476" s="55" t="s">
        <v>1140</v>
      </c>
      <c r="C476" s="55" t="s">
        <v>1141</v>
      </c>
      <c r="D476" s="55" t="s">
        <v>2753</v>
      </c>
      <c r="E476" s="55"/>
      <c r="F476" s="55" t="s">
        <v>1194</v>
      </c>
      <c r="G476" s="55" t="s">
        <v>1194</v>
      </c>
      <c r="H476" s="55" t="s">
        <v>1235</v>
      </c>
      <c r="I476" s="55"/>
      <c r="J476" s="55" t="s">
        <v>2754</v>
      </c>
      <c r="K476" s="55"/>
      <c r="L476" s="55"/>
      <c r="M476" s="55"/>
      <c r="N476" s="55"/>
      <c r="O476" s="57"/>
      <c r="P476" s="55"/>
      <c r="Q476" s="55"/>
      <c r="R476" s="55" t="n">
        <v>3</v>
      </c>
      <c r="S476" s="55" t="n">
        <v>125</v>
      </c>
      <c r="T476" s="55"/>
      <c r="U476" s="55"/>
      <c r="V476" s="55"/>
      <c r="W476" s="58" t="s">
        <v>2706</v>
      </c>
      <c r="X476" s="4"/>
      <c r="Y476" s="4"/>
      <c r="Z476" s="4"/>
    </row>
    <row r="477" customFormat="false" ht="15.75" hidden="false" customHeight="true" outlineLevel="0" collapsed="false">
      <c r="A477" s="55" t="n">
        <v>2029</v>
      </c>
      <c r="B477" s="55" t="s">
        <v>1095</v>
      </c>
      <c r="C477" s="55" t="s">
        <v>1096</v>
      </c>
      <c r="D477" s="55" t="s">
        <v>2755</v>
      </c>
      <c r="E477" s="55"/>
      <c r="F477" s="55" t="s">
        <v>1194</v>
      </c>
      <c r="G477" s="55" t="s">
        <v>1194</v>
      </c>
      <c r="H477" s="55" t="s">
        <v>1448</v>
      </c>
      <c r="I477" s="55" t="s">
        <v>1091</v>
      </c>
      <c r="J477" s="55" t="s">
        <v>2756</v>
      </c>
      <c r="K477" s="55"/>
      <c r="L477" s="55"/>
      <c r="M477" s="55"/>
      <c r="N477" s="55"/>
      <c r="O477" s="57"/>
      <c r="P477" s="55"/>
      <c r="Q477" s="55"/>
      <c r="R477" s="55" t="n">
        <v>5</v>
      </c>
      <c r="S477" s="55" t="n">
        <v>29</v>
      </c>
      <c r="T477" s="55"/>
      <c r="U477" s="55"/>
      <c r="V477" s="55"/>
      <c r="W477" s="58" t="s">
        <v>2706</v>
      </c>
      <c r="X477" s="4"/>
      <c r="Y477" s="4"/>
      <c r="Z477" s="4"/>
    </row>
    <row r="478" customFormat="false" ht="15.75" hidden="false" customHeight="true" outlineLevel="0" collapsed="false">
      <c r="A478" s="55" t="n">
        <v>2030</v>
      </c>
      <c r="B478" s="55" t="s">
        <v>1036</v>
      </c>
      <c r="C478" s="55" t="s">
        <v>1037</v>
      </c>
      <c r="D478" s="55" t="s">
        <v>2757</v>
      </c>
      <c r="E478" s="55"/>
      <c r="F478" s="55" t="s">
        <v>1194</v>
      </c>
      <c r="G478" s="55" t="s">
        <v>1194</v>
      </c>
      <c r="H478" s="55" t="s">
        <v>1448</v>
      </c>
      <c r="I478" s="55" t="s">
        <v>1038</v>
      </c>
      <c r="J478" s="55" t="s">
        <v>2758</v>
      </c>
      <c r="K478" s="55"/>
      <c r="L478" s="55"/>
      <c r="M478" s="55"/>
      <c r="N478" s="55"/>
      <c r="O478" s="57"/>
      <c r="P478" s="55"/>
      <c r="Q478" s="55"/>
      <c r="R478" s="55" t="n">
        <v>8</v>
      </c>
      <c r="S478" s="55" t="n">
        <v>49</v>
      </c>
      <c r="T478" s="55"/>
      <c r="U478" s="55"/>
      <c r="V478" s="55"/>
      <c r="W478" s="58" t="s">
        <v>2706</v>
      </c>
      <c r="X478" s="4"/>
      <c r="Y478" s="4"/>
      <c r="Z478" s="4"/>
    </row>
    <row r="479" customFormat="false" ht="15.75" hidden="false" customHeight="true" outlineLevel="0" collapsed="false">
      <c r="A479" s="55" t="n">
        <v>2031</v>
      </c>
      <c r="B479" s="55" t="s">
        <v>1039</v>
      </c>
      <c r="C479" s="55" t="s">
        <v>1040</v>
      </c>
      <c r="D479" s="55" t="s">
        <v>2763</v>
      </c>
      <c r="E479" s="55"/>
      <c r="F479" s="55" t="s">
        <v>1194</v>
      </c>
      <c r="G479" s="55" t="s">
        <v>1194</v>
      </c>
      <c r="H479" s="55" t="s">
        <v>1448</v>
      </c>
      <c r="I479" s="55" t="s">
        <v>1038</v>
      </c>
      <c r="J479" s="55" t="s">
        <v>2764</v>
      </c>
      <c r="K479" s="55"/>
      <c r="L479" s="55"/>
      <c r="M479" s="55"/>
      <c r="N479" s="55"/>
      <c r="O479" s="57"/>
      <c r="P479" s="55"/>
      <c r="Q479" s="55"/>
      <c r="R479" s="55" t="n">
        <v>8</v>
      </c>
      <c r="S479" s="55" t="n">
        <v>24</v>
      </c>
      <c r="T479" s="55"/>
      <c r="U479" s="55"/>
      <c r="V479" s="55"/>
      <c r="W479" s="58" t="s">
        <v>2706</v>
      </c>
      <c r="X479" s="4"/>
      <c r="Y479" s="4"/>
      <c r="Z479" s="4"/>
    </row>
    <row r="480" customFormat="false" ht="15.75" hidden="false" customHeight="true" outlineLevel="0" collapsed="false">
      <c r="A480" s="55" t="n">
        <v>2032</v>
      </c>
      <c r="B480" s="55" t="s">
        <v>1041</v>
      </c>
      <c r="C480" s="55" t="s">
        <v>1042</v>
      </c>
      <c r="D480" s="55" t="s">
        <v>2761</v>
      </c>
      <c r="E480" s="55"/>
      <c r="F480" s="55" t="s">
        <v>1194</v>
      </c>
      <c r="G480" s="55" t="s">
        <v>1194</v>
      </c>
      <c r="H480" s="55" t="s">
        <v>1448</v>
      </c>
      <c r="I480" s="55" t="s">
        <v>1038</v>
      </c>
      <c r="J480" s="55" t="s">
        <v>2762</v>
      </c>
      <c r="K480" s="55"/>
      <c r="L480" s="55"/>
      <c r="M480" s="55"/>
      <c r="N480" s="55"/>
      <c r="O480" s="57"/>
      <c r="P480" s="55"/>
      <c r="Q480" s="55"/>
      <c r="R480" s="55" t="n">
        <v>8</v>
      </c>
      <c r="S480" s="55" t="n">
        <v>7</v>
      </c>
      <c r="T480" s="55"/>
      <c r="U480" s="55"/>
      <c r="V480" s="55"/>
      <c r="W480" s="58" t="s">
        <v>2706</v>
      </c>
      <c r="X480" s="4"/>
      <c r="Y480" s="4"/>
      <c r="Z480" s="4"/>
    </row>
    <row r="481" customFormat="false" ht="15.75" hidden="false" customHeight="true" outlineLevel="0" collapsed="false">
      <c r="A481" s="55" t="n">
        <v>2033</v>
      </c>
      <c r="B481" s="55" t="s">
        <v>1043</v>
      </c>
      <c r="C481" s="55" t="s">
        <v>1044</v>
      </c>
      <c r="D481" s="55" t="s">
        <v>2779</v>
      </c>
      <c r="E481" s="55" t="s">
        <v>2780</v>
      </c>
      <c r="F481" s="55" t="s">
        <v>1195</v>
      </c>
      <c r="G481" s="55" t="s">
        <v>1195</v>
      </c>
      <c r="H481" s="55" t="s">
        <v>1448</v>
      </c>
      <c r="I481" s="55" t="s">
        <v>1038</v>
      </c>
      <c r="J481" s="55" t="s">
        <v>2781</v>
      </c>
      <c r="K481" s="55"/>
      <c r="L481" s="55"/>
      <c r="M481" s="55"/>
      <c r="N481" s="55"/>
      <c r="O481" s="57"/>
      <c r="P481" s="55"/>
      <c r="Q481" s="55"/>
      <c r="R481" s="55" t="n">
        <v>8</v>
      </c>
      <c r="S481" s="55" t="n">
        <v>10</v>
      </c>
      <c r="T481" s="55"/>
      <c r="U481" s="55" t="s">
        <v>1044</v>
      </c>
      <c r="V481" s="55" t="s">
        <v>2782</v>
      </c>
      <c r="W481" s="55" t="s">
        <v>2770</v>
      </c>
      <c r="X481" s="4"/>
      <c r="Y481" s="4"/>
      <c r="Z481" s="4"/>
    </row>
    <row r="482" customFormat="false" ht="15.75" hidden="false" customHeight="true" outlineLevel="0" collapsed="false">
      <c r="A482" s="55" t="n">
        <v>2034</v>
      </c>
      <c r="B482" s="55" t="s">
        <v>1045</v>
      </c>
      <c r="C482" s="55" t="s">
        <v>1046</v>
      </c>
      <c r="D482" s="55" t="s">
        <v>2721</v>
      </c>
      <c r="E482" s="55"/>
      <c r="F482" s="55" t="s">
        <v>1194</v>
      </c>
      <c r="G482" s="55" t="s">
        <v>1194</v>
      </c>
      <c r="H482" s="55" t="s">
        <v>1448</v>
      </c>
      <c r="I482" s="55" t="s">
        <v>1038</v>
      </c>
      <c r="J482" s="55" t="s">
        <v>2722</v>
      </c>
      <c r="K482" s="55"/>
      <c r="L482" s="55"/>
      <c r="M482" s="55"/>
      <c r="N482" s="55"/>
      <c r="O482" s="57"/>
      <c r="P482" s="55"/>
      <c r="Q482" s="55"/>
      <c r="R482" s="55" t="n">
        <v>13</v>
      </c>
      <c r="S482" s="55" t="n">
        <v>62</v>
      </c>
      <c r="T482" s="55"/>
      <c r="U482" s="55"/>
      <c r="V482" s="55"/>
      <c r="W482" s="58" t="s">
        <v>2706</v>
      </c>
      <c r="X482" s="4"/>
      <c r="Y482" s="4"/>
      <c r="Z482" s="4"/>
    </row>
    <row r="483" customFormat="false" ht="15.75" hidden="false" customHeight="true" outlineLevel="0" collapsed="false">
      <c r="A483" s="55" t="n">
        <v>2035</v>
      </c>
      <c r="B483" s="55" t="s">
        <v>1097</v>
      </c>
      <c r="C483" s="55" t="s">
        <v>1098</v>
      </c>
      <c r="D483" s="55" t="s">
        <v>2723</v>
      </c>
      <c r="E483" s="55"/>
      <c r="F483" s="55" t="s">
        <v>1194</v>
      </c>
      <c r="G483" s="55" t="s">
        <v>1194</v>
      </c>
      <c r="H483" s="55" t="s">
        <v>1448</v>
      </c>
      <c r="I483" s="55" t="s">
        <v>1091</v>
      </c>
      <c r="J483" s="55" t="s">
        <v>2724</v>
      </c>
      <c r="K483" s="55"/>
      <c r="L483" s="55"/>
      <c r="M483" s="55"/>
      <c r="N483" s="55"/>
      <c r="O483" s="57"/>
      <c r="P483" s="55"/>
      <c r="Q483" s="55"/>
      <c r="R483" s="55" t="n">
        <v>5</v>
      </c>
      <c r="S483" s="55" t="n">
        <v>26</v>
      </c>
      <c r="T483" s="55"/>
      <c r="U483" s="55"/>
      <c r="V483" s="55"/>
      <c r="W483" s="58" t="s">
        <v>2706</v>
      </c>
      <c r="X483" s="4"/>
      <c r="Y483" s="4"/>
      <c r="Z483" s="4"/>
    </row>
    <row r="484" customFormat="false" ht="15.75" hidden="false" customHeight="true" outlineLevel="0" collapsed="false">
      <c r="A484" s="55" t="n">
        <v>2036</v>
      </c>
      <c r="B484" s="55" t="s">
        <v>1047</v>
      </c>
      <c r="C484" s="55" t="s">
        <v>1048</v>
      </c>
      <c r="D484" s="55" t="s">
        <v>2741</v>
      </c>
      <c r="E484" s="55"/>
      <c r="F484" s="55" t="s">
        <v>1194</v>
      </c>
      <c r="G484" s="55" t="s">
        <v>1194</v>
      </c>
      <c r="H484" s="55" t="s">
        <v>1448</v>
      </c>
      <c r="I484" s="55" t="s">
        <v>1038</v>
      </c>
      <c r="J484" s="55" t="s">
        <v>2742</v>
      </c>
      <c r="K484" s="55"/>
      <c r="L484" s="55"/>
      <c r="M484" s="55"/>
      <c r="N484" s="55"/>
      <c r="O484" s="57"/>
      <c r="P484" s="55"/>
      <c r="Q484" s="55"/>
      <c r="R484" s="55" t="n">
        <v>5</v>
      </c>
      <c r="S484" s="55" t="n">
        <v>29</v>
      </c>
      <c r="T484" s="55"/>
      <c r="U484" s="55"/>
      <c r="V484" s="55"/>
      <c r="W484" s="58" t="s">
        <v>2706</v>
      </c>
      <c r="X484" s="4"/>
      <c r="Y484" s="4"/>
      <c r="Z484" s="4"/>
    </row>
    <row r="485" customFormat="false" ht="15.75" hidden="false" customHeight="true" outlineLevel="0" collapsed="false">
      <c r="A485" s="55" t="n">
        <v>2037</v>
      </c>
      <c r="B485" s="55" t="s">
        <v>1082</v>
      </c>
      <c r="C485" s="55" t="s">
        <v>1083</v>
      </c>
      <c r="D485" s="55" t="s">
        <v>2593</v>
      </c>
      <c r="E485" s="55" t="s">
        <v>2593</v>
      </c>
      <c r="F485" s="55" t="s">
        <v>1194</v>
      </c>
      <c r="G485" s="55" t="s">
        <v>1195</v>
      </c>
      <c r="H485" s="55" t="s">
        <v>1448</v>
      </c>
      <c r="I485" s="55" t="s">
        <v>1080</v>
      </c>
      <c r="J485" s="55" t="s">
        <v>2594</v>
      </c>
      <c r="K485" s="55"/>
      <c r="L485" s="55"/>
      <c r="M485" s="55"/>
      <c r="N485" s="55"/>
      <c r="O485" s="57"/>
      <c r="P485" s="55"/>
      <c r="Q485" s="55"/>
      <c r="R485" s="55" t="n">
        <v>8</v>
      </c>
      <c r="S485" s="55" t="n">
        <v>13</v>
      </c>
      <c r="T485" s="55"/>
      <c r="U485" s="55" t="s">
        <v>1083</v>
      </c>
      <c r="V485" s="55" t="s">
        <v>2595</v>
      </c>
      <c r="W485" s="55" t="s">
        <v>2575</v>
      </c>
      <c r="X485" s="4"/>
      <c r="Y485" s="4"/>
      <c r="Z485" s="4"/>
    </row>
    <row r="486" customFormat="false" ht="15.75" hidden="false" customHeight="true" outlineLevel="0" collapsed="false">
      <c r="A486" s="55" t="n">
        <v>2038</v>
      </c>
      <c r="B486" s="55" t="s">
        <v>1084</v>
      </c>
      <c r="C486" s="55" t="s">
        <v>1085</v>
      </c>
      <c r="D486" s="55" t="s">
        <v>2596</v>
      </c>
      <c r="E486" s="55" t="s">
        <v>2596</v>
      </c>
      <c r="F486" s="55" t="s">
        <v>1194</v>
      </c>
      <c r="G486" s="55" t="s">
        <v>1195</v>
      </c>
      <c r="H486" s="55" t="s">
        <v>1448</v>
      </c>
      <c r="I486" s="55" t="s">
        <v>1080</v>
      </c>
      <c r="J486" s="55" t="s">
        <v>2597</v>
      </c>
      <c r="K486" s="55"/>
      <c r="L486" s="55"/>
      <c r="M486" s="55"/>
      <c r="N486" s="55"/>
      <c r="O486" s="57"/>
      <c r="P486" s="55"/>
      <c r="Q486" s="55"/>
      <c r="R486" s="55" t="n">
        <v>6</v>
      </c>
      <c r="S486" s="55" t="n">
        <v>4</v>
      </c>
      <c r="T486" s="55"/>
      <c r="U486" s="55" t="s">
        <v>1085</v>
      </c>
      <c r="V486" s="55" t="s">
        <v>2598</v>
      </c>
      <c r="W486" s="55" t="s">
        <v>2575</v>
      </c>
      <c r="X486" s="4"/>
      <c r="Y486" s="4"/>
      <c r="Z486" s="4"/>
    </row>
    <row r="487" customFormat="false" ht="15.75" hidden="false" customHeight="true" outlineLevel="0" collapsed="false">
      <c r="A487" s="55" t="n">
        <v>2039</v>
      </c>
      <c r="B487" s="55" t="s">
        <v>1086</v>
      </c>
      <c r="C487" s="55" t="s">
        <v>1087</v>
      </c>
      <c r="D487" s="55" t="s">
        <v>2599</v>
      </c>
      <c r="E487" s="55" t="s">
        <v>2599</v>
      </c>
      <c r="F487" s="55" t="s">
        <v>1194</v>
      </c>
      <c r="G487" s="55" t="s">
        <v>1195</v>
      </c>
      <c r="H487" s="55" t="s">
        <v>1448</v>
      </c>
      <c r="I487" s="55" t="s">
        <v>1080</v>
      </c>
      <c r="J487" s="55" t="s">
        <v>2600</v>
      </c>
      <c r="K487" s="55"/>
      <c r="L487" s="55"/>
      <c r="M487" s="55"/>
      <c r="N487" s="55"/>
      <c r="O487" s="57"/>
      <c r="P487" s="55"/>
      <c r="Q487" s="55"/>
      <c r="R487" s="55" t="n">
        <v>4</v>
      </c>
      <c r="S487" s="55" t="n">
        <v>11</v>
      </c>
      <c r="T487" s="55"/>
      <c r="U487" s="55" t="s">
        <v>1087</v>
      </c>
      <c r="V487" s="55" t="s">
        <v>2601</v>
      </c>
      <c r="W487" s="55" t="s">
        <v>2575</v>
      </c>
      <c r="X487" s="4"/>
      <c r="Y487" s="4"/>
      <c r="Z487" s="4"/>
    </row>
    <row r="488" customFormat="false" ht="15.75" hidden="false" customHeight="true" outlineLevel="0" collapsed="false">
      <c r="A488" s="55" t="n">
        <v>2040</v>
      </c>
      <c r="B488" s="55"/>
      <c r="C488" s="55" t="s">
        <v>1079</v>
      </c>
      <c r="D488" s="55" t="s">
        <v>2615</v>
      </c>
      <c r="E488" s="55" t="s">
        <v>2615</v>
      </c>
      <c r="F488" s="55" t="s">
        <v>1194</v>
      </c>
      <c r="G488" s="55" t="s">
        <v>1195</v>
      </c>
      <c r="H488" s="55" t="s">
        <v>1448</v>
      </c>
      <c r="I488" s="55" t="s">
        <v>1080</v>
      </c>
      <c r="J488" s="55" t="s">
        <v>2616</v>
      </c>
      <c r="K488" s="55"/>
      <c r="L488" s="55"/>
      <c r="M488" s="55"/>
      <c r="N488" s="55"/>
      <c r="O488" s="57"/>
      <c r="P488" s="55"/>
      <c r="Q488" s="55"/>
      <c r="R488" s="55" t="n">
        <v>4</v>
      </c>
      <c r="S488" s="55" t="n">
        <v>9</v>
      </c>
      <c r="T488" s="55"/>
      <c r="U488" s="55" t="s">
        <v>1079</v>
      </c>
      <c r="V488" s="55" t="s">
        <v>2617</v>
      </c>
      <c r="W488" s="55" t="s">
        <v>2614</v>
      </c>
      <c r="X488" s="4"/>
      <c r="Y488" s="4"/>
      <c r="Z488" s="4"/>
    </row>
    <row r="489" customFormat="false" ht="15.75" hidden="false" customHeight="true" outlineLevel="0" collapsed="false">
      <c r="A489" s="55" t="n">
        <v>2041</v>
      </c>
      <c r="B489" s="55" t="s">
        <v>1054</v>
      </c>
      <c r="C489" s="55" t="s">
        <v>1055</v>
      </c>
      <c r="D489" s="55" t="s">
        <v>2602</v>
      </c>
      <c r="E489" s="55" t="s">
        <v>2602</v>
      </c>
      <c r="F489" s="55" t="s">
        <v>1194</v>
      </c>
      <c r="G489" s="55" t="s">
        <v>1195</v>
      </c>
      <c r="H489" s="55" t="s">
        <v>1448</v>
      </c>
      <c r="I489" s="55" t="s">
        <v>1050</v>
      </c>
      <c r="J489" s="55" t="s">
        <v>2603</v>
      </c>
      <c r="K489" s="55"/>
      <c r="L489" s="55"/>
      <c r="M489" s="55"/>
      <c r="N489" s="55"/>
      <c r="O489" s="57"/>
      <c r="P489" s="55"/>
      <c r="Q489" s="55"/>
      <c r="R489" s="55" t="n">
        <v>7</v>
      </c>
      <c r="S489" s="55" t="n">
        <v>11</v>
      </c>
      <c r="T489" s="55"/>
      <c r="U489" s="55" t="s">
        <v>1055</v>
      </c>
      <c r="V489" s="55" t="s">
        <v>2604</v>
      </c>
      <c r="W489" s="55" t="s">
        <v>2575</v>
      </c>
      <c r="X489" s="4"/>
      <c r="Y489" s="4"/>
      <c r="Z489" s="4"/>
    </row>
    <row r="490" customFormat="false" ht="15.75" hidden="false" customHeight="true" outlineLevel="0" collapsed="false">
      <c r="A490" s="55" t="n">
        <v>2042</v>
      </c>
      <c r="B490" s="55"/>
      <c r="C490" s="55" t="s">
        <v>1053</v>
      </c>
      <c r="D490" s="55" t="s">
        <v>2611</v>
      </c>
      <c r="E490" s="55" t="s">
        <v>2611</v>
      </c>
      <c r="F490" s="55" t="s">
        <v>1194</v>
      </c>
      <c r="G490" s="55" t="s">
        <v>1195</v>
      </c>
      <c r="H490" s="55" t="s">
        <v>1448</v>
      </c>
      <c r="I490" s="55" t="s">
        <v>1050</v>
      </c>
      <c r="J490" s="55" t="s">
        <v>2612</v>
      </c>
      <c r="K490" s="55"/>
      <c r="L490" s="55"/>
      <c r="M490" s="55"/>
      <c r="N490" s="55"/>
      <c r="O490" s="57"/>
      <c r="P490" s="55"/>
      <c r="Q490" s="55"/>
      <c r="R490" s="55" t="n">
        <v>5</v>
      </c>
      <c r="S490" s="55" t="n">
        <v>41</v>
      </c>
      <c r="T490" s="55"/>
      <c r="U490" s="55" t="s">
        <v>1053</v>
      </c>
      <c r="V490" s="55" t="s">
        <v>2613</v>
      </c>
      <c r="W490" s="55" t="s">
        <v>2614</v>
      </c>
      <c r="X490" s="4"/>
      <c r="Y490" s="4"/>
      <c r="Z490" s="4"/>
    </row>
    <row r="491" customFormat="false" ht="15.75" hidden="false" customHeight="true" outlineLevel="0" collapsed="false">
      <c r="A491" s="55" t="n">
        <v>2043</v>
      </c>
      <c r="B491" s="55"/>
      <c r="C491" s="55" t="s">
        <v>1051</v>
      </c>
      <c r="D491" s="55" t="s">
        <v>2621</v>
      </c>
      <c r="E491" s="55" t="s">
        <v>2621</v>
      </c>
      <c r="F491" s="55" t="s">
        <v>1194</v>
      </c>
      <c r="G491" s="55" t="s">
        <v>1195</v>
      </c>
      <c r="H491" s="55" t="s">
        <v>1448</v>
      </c>
      <c r="I491" s="55" t="s">
        <v>1050</v>
      </c>
      <c r="J491" s="55" t="s">
        <v>2622</v>
      </c>
      <c r="K491" s="55"/>
      <c r="L491" s="55"/>
      <c r="M491" s="55"/>
      <c r="N491" s="55"/>
      <c r="O491" s="57"/>
      <c r="P491" s="55"/>
      <c r="Q491" s="55"/>
      <c r="R491" s="55" t="n">
        <v>5</v>
      </c>
      <c r="S491" s="55" t="n">
        <v>19</v>
      </c>
      <c r="T491" s="55"/>
      <c r="U491" s="55" t="s">
        <v>1051</v>
      </c>
      <c r="V491" s="55" t="s">
        <v>2623</v>
      </c>
      <c r="W491" s="55" t="s">
        <v>2614</v>
      </c>
      <c r="X491" s="4"/>
      <c r="Y491" s="4"/>
      <c r="Z491" s="4"/>
    </row>
    <row r="492" customFormat="false" ht="15.75" hidden="false" customHeight="true" outlineLevel="0" collapsed="false">
      <c r="A492" s="55" t="n">
        <v>2044</v>
      </c>
      <c r="B492" s="55"/>
      <c r="C492" s="55" t="s">
        <v>1052</v>
      </c>
      <c r="D492" s="55" t="s">
        <v>2618</v>
      </c>
      <c r="E492" s="55" t="s">
        <v>2618</v>
      </c>
      <c r="F492" s="55" t="s">
        <v>1194</v>
      </c>
      <c r="G492" s="55" t="s">
        <v>1195</v>
      </c>
      <c r="H492" s="55" t="s">
        <v>1448</v>
      </c>
      <c r="I492" s="55" t="s">
        <v>1050</v>
      </c>
      <c r="J492" s="55" t="s">
        <v>2619</v>
      </c>
      <c r="K492" s="55"/>
      <c r="L492" s="55"/>
      <c r="M492" s="55"/>
      <c r="N492" s="55"/>
      <c r="O492" s="57"/>
      <c r="P492" s="55"/>
      <c r="Q492" s="55"/>
      <c r="R492" s="55" t="n">
        <v>6</v>
      </c>
      <c r="S492" s="55" t="n">
        <v>12</v>
      </c>
      <c r="T492" s="55"/>
      <c r="U492" s="55" t="s">
        <v>1052</v>
      </c>
      <c r="V492" s="55" t="s">
        <v>2620</v>
      </c>
      <c r="W492" s="55" t="s">
        <v>2614</v>
      </c>
      <c r="X492" s="4"/>
      <c r="Y492" s="4"/>
      <c r="Z492" s="4"/>
    </row>
    <row r="493" customFormat="false" ht="15.75" hidden="false" customHeight="true" outlineLevel="0" collapsed="false">
      <c r="A493" s="55" t="n">
        <v>2045</v>
      </c>
      <c r="B493" s="55"/>
      <c r="C493" s="55" t="s">
        <v>1062</v>
      </c>
      <c r="D493" s="55" t="s">
        <v>2665</v>
      </c>
      <c r="E493" s="55"/>
      <c r="F493" s="55" t="s">
        <v>1194</v>
      </c>
      <c r="G493" s="55" t="s">
        <v>1194</v>
      </c>
      <c r="H493" s="55" t="s">
        <v>1448</v>
      </c>
      <c r="I493" s="55" t="s">
        <v>1061</v>
      </c>
      <c r="J493" s="55" t="s">
        <v>2666</v>
      </c>
      <c r="K493" s="55"/>
      <c r="L493" s="55"/>
      <c r="M493" s="55"/>
      <c r="N493" s="55"/>
      <c r="O493" s="57"/>
      <c r="P493" s="55"/>
      <c r="Q493" s="55"/>
      <c r="R493" s="55" t="n">
        <v>8</v>
      </c>
      <c r="S493" s="55" t="n">
        <v>58</v>
      </c>
      <c r="T493" s="55"/>
      <c r="U493" s="55"/>
      <c r="V493" s="55"/>
      <c r="W493" s="58" t="s">
        <v>2667</v>
      </c>
      <c r="X493" s="4"/>
      <c r="Y493" s="4"/>
      <c r="Z493" s="4"/>
    </row>
    <row r="494" customFormat="false" ht="15.75" hidden="false" customHeight="true" outlineLevel="0" collapsed="false">
      <c r="A494" s="55" t="n">
        <v>2046</v>
      </c>
      <c r="B494" s="55"/>
      <c r="C494" s="55" t="s">
        <v>1063</v>
      </c>
      <c r="D494" s="55" t="s">
        <v>2665</v>
      </c>
      <c r="E494" s="55"/>
      <c r="F494" s="55" t="s">
        <v>1194</v>
      </c>
      <c r="G494" s="55" t="s">
        <v>1194</v>
      </c>
      <c r="H494" s="55" t="s">
        <v>1448</v>
      </c>
      <c r="I494" s="55" t="s">
        <v>1061</v>
      </c>
      <c r="J494" s="55" t="s">
        <v>2666</v>
      </c>
      <c r="K494" s="55"/>
      <c r="L494" s="55"/>
      <c r="M494" s="55"/>
      <c r="N494" s="55"/>
      <c r="O494" s="57"/>
      <c r="P494" s="55"/>
      <c r="Q494" s="55"/>
      <c r="R494" s="55" t="n">
        <v>10</v>
      </c>
      <c r="S494" s="55" t="n">
        <v>18</v>
      </c>
      <c r="T494" s="55"/>
      <c r="U494" s="55"/>
      <c r="V494" s="55"/>
      <c r="W494" s="58" t="s">
        <v>2667</v>
      </c>
      <c r="X494" s="4"/>
      <c r="Y494" s="4"/>
      <c r="Z494" s="4"/>
    </row>
    <row r="495" customFormat="false" ht="15.75" hidden="false" customHeight="true" outlineLevel="0" collapsed="false">
      <c r="A495" s="55" t="n">
        <v>2047</v>
      </c>
      <c r="B495" s="55"/>
      <c r="C495" s="55" t="s">
        <v>1072</v>
      </c>
      <c r="D495" s="55" t="s">
        <v>2649</v>
      </c>
      <c r="E495" s="55"/>
      <c r="F495" s="55" t="s">
        <v>1194</v>
      </c>
      <c r="G495" s="55" t="s">
        <v>1194</v>
      </c>
      <c r="H495" s="55" t="s">
        <v>1448</v>
      </c>
      <c r="I495" s="55" t="s">
        <v>1061</v>
      </c>
      <c r="J495" s="55" t="s">
        <v>2650</v>
      </c>
      <c r="K495" s="55"/>
      <c r="L495" s="55"/>
      <c r="M495" s="55"/>
      <c r="N495" s="55"/>
      <c r="O495" s="57"/>
      <c r="P495" s="55"/>
      <c r="Q495" s="55"/>
      <c r="R495" s="55" t="n">
        <v>8</v>
      </c>
      <c r="S495" s="55" t="n">
        <v>16</v>
      </c>
      <c r="T495" s="55"/>
      <c r="U495" s="55"/>
      <c r="V495" s="55"/>
      <c r="W495" s="58" t="s">
        <v>2644</v>
      </c>
      <c r="X495" s="4"/>
      <c r="Y495" s="4"/>
      <c r="Z495" s="4"/>
    </row>
    <row r="496" customFormat="false" ht="15.75" hidden="false" customHeight="true" outlineLevel="0" collapsed="false">
      <c r="A496" s="55" t="n">
        <v>2048</v>
      </c>
      <c r="B496" s="55"/>
      <c r="C496" s="55" t="s">
        <v>1071</v>
      </c>
      <c r="D496" s="55" t="s">
        <v>2653</v>
      </c>
      <c r="E496" s="55"/>
      <c r="F496" s="55" t="s">
        <v>1194</v>
      </c>
      <c r="G496" s="55" t="s">
        <v>1194</v>
      </c>
      <c r="H496" s="55" t="s">
        <v>1448</v>
      </c>
      <c r="I496" s="55" t="s">
        <v>1061</v>
      </c>
      <c r="J496" s="55" t="s">
        <v>2654</v>
      </c>
      <c r="K496" s="55"/>
      <c r="L496" s="55"/>
      <c r="M496" s="55"/>
      <c r="N496" s="55"/>
      <c r="O496" s="57"/>
      <c r="P496" s="55"/>
      <c r="Q496" s="55"/>
      <c r="R496" s="55" t="n">
        <v>9</v>
      </c>
      <c r="S496" s="55" t="n">
        <v>52</v>
      </c>
      <c r="T496" s="55"/>
      <c r="U496" s="55"/>
      <c r="V496" s="55"/>
      <c r="W496" s="58" t="s">
        <v>2644</v>
      </c>
      <c r="X496" s="4"/>
      <c r="Y496" s="4"/>
      <c r="Z496" s="4"/>
    </row>
    <row r="497" customFormat="false" ht="15.75" hidden="false" customHeight="true" outlineLevel="0" collapsed="false">
      <c r="A497" s="55" t="n">
        <v>2049</v>
      </c>
      <c r="B497" s="55"/>
      <c r="C497" s="55" t="s">
        <v>1065</v>
      </c>
      <c r="D497" s="55" t="s">
        <v>2645</v>
      </c>
      <c r="E497" s="55"/>
      <c r="F497" s="55" t="s">
        <v>1194</v>
      </c>
      <c r="G497" s="55" t="s">
        <v>1194</v>
      </c>
      <c r="H497" s="55" t="s">
        <v>1448</v>
      </c>
      <c r="I497" s="55" t="s">
        <v>1061</v>
      </c>
      <c r="J497" s="55" t="s">
        <v>2646</v>
      </c>
      <c r="K497" s="55"/>
      <c r="L497" s="55"/>
      <c r="M497" s="55"/>
      <c r="N497" s="55"/>
      <c r="O497" s="57"/>
      <c r="P497" s="55"/>
      <c r="Q497" s="55"/>
      <c r="R497" s="55" t="n">
        <v>8</v>
      </c>
      <c r="S497" s="55" t="n">
        <v>24</v>
      </c>
      <c r="T497" s="55"/>
      <c r="U497" s="55"/>
      <c r="V497" s="55"/>
      <c r="W497" s="58" t="s">
        <v>2644</v>
      </c>
      <c r="X497" s="4"/>
      <c r="Y497" s="4"/>
      <c r="Z497" s="4"/>
    </row>
    <row r="498" customFormat="false" ht="15.75" hidden="false" customHeight="true" outlineLevel="0" collapsed="false">
      <c r="A498" s="55" t="n">
        <v>2050</v>
      </c>
      <c r="B498" s="55"/>
      <c r="C498" s="55" t="s">
        <v>1064</v>
      </c>
      <c r="D498" s="55" t="s">
        <v>2655</v>
      </c>
      <c r="E498" s="55"/>
      <c r="F498" s="55" t="s">
        <v>1194</v>
      </c>
      <c r="G498" s="55" t="s">
        <v>1194</v>
      </c>
      <c r="H498" s="55" t="s">
        <v>1448</v>
      </c>
      <c r="I498" s="55" t="s">
        <v>1061</v>
      </c>
      <c r="J498" s="55" t="s">
        <v>2656</v>
      </c>
      <c r="K498" s="55"/>
      <c r="L498" s="55"/>
      <c r="M498" s="55"/>
      <c r="N498" s="55"/>
      <c r="O498" s="57"/>
      <c r="P498" s="55"/>
      <c r="Q498" s="55"/>
      <c r="R498" s="55" t="n">
        <v>9</v>
      </c>
      <c r="S498" s="55" t="n">
        <v>15</v>
      </c>
      <c r="T498" s="55"/>
      <c r="U498" s="55"/>
      <c r="V498" s="55"/>
      <c r="W498" s="58" t="s">
        <v>2644</v>
      </c>
      <c r="X498" s="4"/>
      <c r="Y498" s="4"/>
      <c r="Z498" s="4"/>
    </row>
    <row r="499" customFormat="false" ht="15.75" hidden="false" customHeight="true" outlineLevel="0" collapsed="false">
      <c r="A499" s="55" t="n">
        <v>2051</v>
      </c>
      <c r="B499" s="55"/>
      <c r="C499" s="55" t="s">
        <v>1060</v>
      </c>
      <c r="D499" s="55" t="s">
        <v>2657</v>
      </c>
      <c r="E499" s="55"/>
      <c r="F499" s="55" t="s">
        <v>1194</v>
      </c>
      <c r="G499" s="55" t="s">
        <v>1194</v>
      </c>
      <c r="H499" s="55" t="s">
        <v>1448</v>
      </c>
      <c r="I499" s="55" t="s">
        <v>1061</v>
      </c>
      <c r="J499" s="55" t="s">
        <v>2658</v>
      </c>
      <c r="K499" s="55"/>
      <c r="L499" s="55"/>
      <c r="M499" s="55"/>
      <c r="N499" s="55"/>
      <c r="O499" s="57"/>
      <c r="P499" s="55"/>
      <c r="Q499" s="55"/>
      <c r="R499" s="55" t="n">
        <v>9</v>
      </c>
      <c r="S499" s="55" t="n">
        <v>49</v>
      </c>
      <c r="T499" s="55"/>
      <c r="U499" s="55"/>
      <c r="V499" s="55"/>
      <c r="W499" s="58" t="s">
        <v>2644</v>
      </c>
      <c r="X499" s="4"/>
      <c r="Y499" s="4"/>
      <c r="Z499" s="4"/>
    </row>
    <row r="500" customFormat="false" ht="15.75" hidden="false" customHeight="true" outlineLevel="0" collapsed="false">
      <c r="A500" s="55" t="n">
        <v>2052</v>
      </c>
      <c r="B500" s="55"/>
      <c r="C500" s="55" t="s">
        <v>1070</v>
      </c>
      <c r="D500" s="55" t="s">
        <v>2659</v>
      </c>
      <c r="E500" s="55"/>
      <c r="F500" s="55" t="s">
        <v>1194</v>
      </c>
      <c r="G500" s="55" t="s">
        <v>1194</v>
      </c>
      <c r="H500" s="55" t="s">
        <v>1448</v>
      </c>
      <c r="I500" s="55" t="s">
        <v>1061</v>
      </c>
      <c r="J500" s="55" t="s">
        <v>2660</v>
      </c>
      <c r="K500" s="55"/>
      <c r="L500" s="55"/>
      <c r="M500" s="55"/>
      <c r="N500" s="55"/>
      <c r="O500" s="57"/>
      <c r="P500" s="55"/>
      <c r="Q500" s="55"/>
      <c r="R500" s="55" t="n">
        <v>11</v>
      </c>
      <c r="S500" s="55" t="n">
        <v>8</v>
      </c>
      <c r="T500" s="55"/>
      <c r="U500" s="55"/>
      <c r="V500" s="55"/>
      <c r="W500" s="58" t="s">
        <v>2644</v>
      </c>
      <c r="X500" s="4"/>
      <c r="Y500" s="4"/>
      <c r="Z500" s="4"/>
    </row>
    <row r="501" customFormat="false" ht="15.75" hidden="false" customHeight="true" outlineLevel="0" collapsed="false">
      <c r="A501" s="55" t="n">
        <v>2053</v>
      </c>
      <c r="B501" s="55"/>
      <c r="C501" s="55" t="s">
        <v>1069</v>
      </c>
      <c r="D501" s="55" t="s">
        <v>2661</v>
      </c>
      <c r="E501" s="55"/>
      <c r="F501" s="55" t="s">
        <v>1194</v>
      </c>
      <c r="G501" s="55" t="s">
        <v>1194</v>
      </c>
      <c r="H501" s="55" t="s">
        <v>1448</v>
      </c>
      <c r="I501" s="55" t="s">
        <v>1061</v>
      </c>
      <c r="J501" s="55" t="s">
        <v>2662</v>
      </c>
      <c r="K501" s="55"/>
      <c r="L501" s="55"/>
      <c r="M501" s="55"/>
      <c r="N501" s="55"/>
      <c r="O501" s="57"/>
      <c r="P501" s="55"/>
      <c r="Q501" s="55"/>
      <c r="R501" s="55" t="n">
        <v>12</v>
      </c>
      <c r="S501" s="55" t="n">
        <v>28</v>
      </c>
      <c r="T501" s="55"/>
      <c r="U501" s="55"/>
      <c r="V501" s="55"/>
      <c r="W501" s="58" t="s">
        <v>2644</v>
      </c>
      <c r="X501" s="4"/>
      <c r="Y501" s="4"/>
      <c r="Z501" s="4"/>
    </row>
    <row r="502" customFormat="false" ht="15.75" hidden="false" customHeight="true" outlineLevel="0" collapsed="false">
      <c r="A502" s="55" t="n">
        <v>2054</v>
      </c>
      <c r="B502" s="55"/>
      <c r="C502" s="55" t="s">
        <v>1090</v>
      </c>
      <c r="D502" s="55" t="s">
        <v>2668</v>
      </c>
      <c r="E502" s="55" t="s">
        <v>2669</v>
      </c>
      <c r="F502" s="55" t="s">
        <v>1195</v>
      </c>
      <c r="G502" s="55" t="s">
        <v>1195</v>
      </c>
      <c r="H502" s="55" t="s">
        <v>1448</v>
      </c>
      <c r="I502" s="55" t="s">
        <v>1091</v>
      </c>
      <c r="J502" s="55" t="s">
        <v>2670</v>
      </c>
      <c r="K502" s="55"/>
      <c r="L502" s="55"/>
      <c r="M502" s="55"/>
      <c r="N502" s="55"/>
      <c r="O502" s="57"/>
      <c r="P502" s="55"/>
      <c r="Q502" s="55"/>
      <c r="R502" s="55" t="n">
        <v>6</v>
      </c>
      <c r="S502" s="55" t="n">
        <v>57</v>
      </c>
      <c r="T502" s="55"/>
      <c r="U502" s="55" t="s">
        <v>1090</v>
      </c>
      <c r="V502" s="55" t="s">
        <v>2671</v>
      </c>
      <c r="W502" s="55" t="s">
        <v>2672</v>
      </c>
      <c r="X502" s="4"/>
      <c r="Y502" s="4"/>
      <c r="Z502" s="4"/>
    </row>
    <row r="503" customFormat="false" ht="15.75" hidden="false" customHeight="true" outlineLevel="0" collapsed="false">
      <c r="A503" s="55" t="n">
        <v>2055</v>
      </c>
      <c r="B503" s="55"/>
      <c r="C503" s="55" t="s">
        <v>1092</v>
      </c>
      <c r="D503" s="55" t="s">
        <v>2633</v>
      </c>
      <c r="E503" s="55" t="s">
        <v>2633</v>
      </c>
      <c r="F503" s="55" t="s">
        <v>1194</v>
      </c>
      <c r="G503" s="55" t="s">
        <v>1195</v>
      </c>
      <c r="H503" s="55" t="s">
        <v>1448</v>
      </c>
      <c r="I503" s="55" t="s">
        <v>1091</v>
      </c>
      <c r="J503" s="55" t="s">
        <v>2634</v>
      </c>
      <c r="K503" s="55"/>
      <c r="L503" s="55"/>
      <c r="M503" s="55"/>
      <c r="N503" s="55"/>
      <c r="O503" s="57"/>
      <c r="P503" s="55"/>
      <c r="Q503" s="55"/>
      <c r="R503" s="55" t="n">
        <v>10</v>
      </c>
      <c r="S503" s="55" t="n">
        <v>11</v>
      </c>
      <c r="T503" s="55"/>
      <c r="U503" s="55" t="s">
        <v>1092</v>
      </c>
      <c r="V503" s="55" t="s">
        <v>2635</v>
      </c>
      <c r="W503" s="55" t="s">
        <v>2614</v>
      </c>
      <c r="X503" s="4"/>
      <c r="Y503" s="4"/>
      <c r="Z503" s="4"/>
    </row>
    <row r="504" customFormat="false" ht="15.75" hidden="false" customHeight="true" outlineLevel="0" collapsed="false">
      <c r="A504" s="55" t="n">
        <v>2056</v>
      </c>
      <c r="B504" s="55"/>
      <c r="C504" s="55" t="s">
        <v>1094</v>
      </c>
      <c r="D504" s="55" t="s">
        <v>2624</v>
      </c>
      <c r="E504" s="55" t="s">
        <v>2624</v>
      </c>
      <c r="F504" s="55" t="s">
        <v>1194</v>
      </c>
      <c r="G504" s="55" t="s">
        <v>1195</v>
      </c>
      <c r="H504" s="55" t="s">
        <v>1448</v>
      </c>
      <c r="I504" s="55" t="s">
        <v>1091</v>
      </c>
      <c r="J504" s="55" t="s">
        <v>2625</v>
      </c>
      <c r="K504" s="55"/>
      <c r="L504" s="55"/>
      <c r="M504" s="55"/>
      <c r="N504" s="55"/>
      <c r="O504" s="57"/>
      <c r="P504" s="55"/>
      <c r="Q504" s="55"/>
      <c r="R504" s="55" t="n">
        <v>11</v>
      </c>
      <c r="S504" s="55" t="n">
        <v>13</v>
      </c>
      <c r="T504" s="55"/>
      <c r="U504" s="55" t="s">
        <v>1094</v>
      </c>
      <c r="V504" s="55" t="s">
        <v>2626</v>
      </c>
      <c r="W504" s="55" t="s">
        <v>2614</v>
      </c>
      <c r="X504" s="4"/>
      <c r="Y504" s="4"/>
      <c r="Z504" s="4"/>
    </row>
    <row r="505" customFormat="false" ht="15.75" hidden="false" customHeight="true" outlineLevel="0" collapsed="false">
      <c r="A505" s="55" t="n">
        <v>2057</v>
      </c>
      <c r="B505" s="55"/>
      <c r="C505" s="55" t="s">
        <v>1093</v>
      </c>
      <c r="D505" s="55" t="s">
        <v>2677</v>
      </c>
      <c r="E505" s="55" t="s">
        <v>2678</v>
      </c>
      <c r="F505" s="55" t="s">
        <v>1195</v>
      </c>
      <c r="G505" s="55" t="s">
        <v>1195</v>
      </c>
      <c r="H505" s="55" t="s">
        <v>1448</v>
      </c>
      <c r="I505" s="55" t="s">
        <v>1091</v>
      </c>
      <c r="J505" s="55" t="s">
        <v>2679</v>
      </c>
      <c r="K505" s="55"/>
      <c r="L505" s="55"/>
      <c r="M505" s="55"/>
      <c r="N505" s="55"/>
      <c r="O505" s="57"/>
      <c r="P505" s="55"/>
      <c r="Q505" s="55"/>
      <c r="R505" s="55" t="n">
        <v>11</v>
      </c>
      <c r="S505" s="55" t="n">
        <v>22</v>
      </c>
      <c r="T505" s="55"/>
      <c r="U505" s="55" t="s">
        <v>1093</v>
      </c>
      <c r="V505" s="55" t="s">
        <v>2680</v>
      </c>
      <c r="W505" s="55" t="s">
        <v>2672</v>
      </c>
      <c r="X505" s="4"/>
      <c r="Y505" s="4"/>
      <c r="Z505" s="4"/>
    </row>
    <row r="506" customFormat="false" ht="15.75" hidden="false" customHeight="true" outlineLevel="0" collapsed="false">
      <c r="A506" s="55" t="n">
        <v>2058</v>
      </c>
      <c r="B506" s="55"/>
      <c r="C506" s="55" t="s">
        <v>1068</v>
      </c>
      <c r="D506" s="55" t="s">
        <v>2647</v>
      </c>
      <c r="E506" s="55"/>
      <c r="F506" s="55" t="s">
        <v>1194</v>
      </c>
      <c r="G506" s="55" t="s">
        <v>1194</v>
      </c>
      <c r="H506" s="55" t="s">
        <v>1448</v>
      </c>
      <c r="I506" s="55" t="s">
        <v>1061</v>
      </c>
      <c r="J506" s="55" t="s">
        <v>2648</v>
      </c>
      <c r="K506" s="55"/>
      <c r="L506" s="55"/>
      <c r="M506" s="55"/>
      <c r="N506" s="55"/>
      <c r="O506" s="57"/>
      <c r="P506" s="55"/>
      <c r="Q506" s="55"/>
      <c r="R506" s="55" t="n">
        <v>9</v>
      </c>
      <c r="S506" s="55" t="n">
        <v>30</v>
      </c>
      <c r="T506" s="55"/>
      <c r="U506" s="55"/>
      <c r="V506" s="55"/>
      <c r="W506" s="58" t="s">
        <v>2644</v>
      </c>
      <c r="X506" s="4"/>
      <c r="Y506" s="4"/>
      <c r="Z506" s="4"/>
    </row>
    <row r="507" customFormat="false" ht="15.75" hidden="false" customHeight="true" outlineLevel="0" collapsed="false">
      <c r="A507" s="55" t="n">
        <v>2059</v>
      </c>
      <c r="B507" s="55"/>
      <c r="C507" s="55" t="s">
        <v>1067</v>
      </c>
      <c r="D507" s="55" t="s">
        <v>2651</v>
      </c>
      <c r="E507" s="55"/>
      <c r="F507" s="55" t="s">
        <v>1194</v>
      </c>
      <c r="G507" s="55" t="s">
        <v>1194</v>
      </c>
      <c r="H507" s="55" t="s">
        <v>1448</v>
      </c>
      <c r="I507" s="55" t="s">
        <v>1061</v>
      </c>
      <c r="J507" s="55" t="s">
        <v>2652</v>
      </c>
      <c r="K507" s="55"/>
      <c r="L507" s="55"/>
      <c r="M507" s="55"/>
      <c r="N507" s="55"/>
      <c r="O507" s="57"/>
      <c r="P507" s="55"/>
      <c r="Q507" s="55"/>
      <c r="R507" s="55" t="n">
        <v>9</v>
      </c>
      <c r="S507" s="55" t="n">
        <v>41</v>
      </c>
      <c r="T507" s="55"/>
      <c r="U507" s="55"/>
      <c r="V507" s="55"/>
      <c r="W507" s="58" t="s">
        <v>2644</v>
      </c>
      <c r="X507" s="4"/>
      <c r="Y507" s="4"/>
      <c r="Z507" s="4"/>
    </row>
    <row r="508" customFormat="false" ht="15.75" hidden="false" customHeight="true" outlineLevel="0" collapsed="false">
      <c r="A508" s="55" t="n">
        <v>2060</v>
      </c>
      <c r="B508" s="55" t="s">
        <v>1099</v>
      </c>
      <c r="C508" s="55" t="s">
        <v>1100</v>
      </c>
      <c r="D508" s="55" t="s">
        <v>2608</v>
      </c>
      <c r="E508" s="55" t="s">
        <v>2608</v>
      </c>
      <c r="F508" s="55" t="s">
        <v>1194</v>
      </c>
      <c r="G508" s="55" t="s">
        <v>1195</v>
      </c>
      <c r="H508" s="55" t="s">
        <v>1448</v>
      </c>
      <c r="I508" s="55" t="s">
        <v>1091</v>
      </c>
      <c r="J508" s="55" t="s">
        <v>2609</v>
      </c>
      <c r="K508" s="55"/>
      <c r="L508" s="55"/>
      <c r="M508" s="55"/>
      <c r="N508" s="55"/>
      <c r="O508" s="57"/>
      <c r="P508" s="55"/>
      <c r="Q508" s="55"/>
      <c r="R508" s="55" t="n">
        <v>7</v>
      </c>
      <c r="S508" s="55" t="n">
        <v>7</v>
      </c>
      <c r="T508" s="55"/>
      <c r="U508" s="55" t="s">
        <v>1100</v>
      </c>
      <c r="V508" s="55" t="s">
        <v>2610</v>
      </c>
      <c r="W508" s="55" t="s">
        <v>2575</v>
      </c>
      <c r="X508" s="4"/>
      <c r="Y508" s="4"/>
      <c r="Z508" s="4"/>
    </row>
    <row r="509" customFormat="false" ht="15.75" hidden="false" customHeight="true" outlineLevel="0" collapsed="false">
      <c r="A509" s="55" t="n">
        <v>2061</v>
      </c>
      <c r="B509" s="55" t="s">
        <v>1101</v>
      </c>
      <c r="C509" s="55" t="s">
        <v>1102</v>
      </c>
      <c r="D509" s="55" t="s">
        <v>2576</v>
      </c>
      <c r="E509" s="55" t="s">
        <v>2576</v>
      </c>
      <c r="F509" s="55" t="s">
        <v>1194</v>
      </c>
      <c r="G509" s="55" t="s">
        <v>1195</v>
      </c>
      <c r="H509" s="55" t="s">
        <v>1448</v>
      </c>
      <c r="I509" s="55" t="s">
        <v>1091</v>
      </c>
      <c r="J509" s="55" t="s">
        <v>2577</v>
      </c>
      <c r="K509" s="55"/>
      <c r="L509" s="55"/>
      <c r="M509" s="55"/>
      <c r="N509" s="55"/>
      <c r="O509" s="57"/>
      <c r="P509" s="55"/>
      <c r="Q509" s="55"/>
      <c r="R509" s="55" t="n">
        <v>6</v>
      </c>
      <c r="S509" s="55" t="n">
        <v>4</v>
      </c>
      <c r="T509" s="55"/>
      <c r="U509" s="55" t="s">
        <v>1102</v>
      </c>
      <c r="V509" s="55" t="s">
        <v>2578</v>
      </c>
      <c r="W509" s="55" t="s">
        <v>2575</v>
      </c>
      <c r="X509" s="4"/>
      <c r="Y509" s="4"/>
      <c r="Z509" s="4"/>
    </row>
    <row r="510" customFormat="false" ht="15.75" hidden="false" customHeight="true" outlineLevel="0" collapsed="false">
      <c r="A510" s="55" t="n">
        <v>2062</v>
      </c>
      <c r="B510" s="55" t="s">
        <v>1123</v>
      </c>
      <c r="C510" s="55" t="s">
        <v>1124</v>
      </c>
      <c r="D510" s="55" t="s">
        <v>2572</v>
      </c>
      <c r="E510" s="55" t="s">
        <v>2572</v>
      </c>
      <c r="F510" s="55" t="s">
        <v>1194</v>
      </c>
      <c r="G510" s="55" t="s">
        <v>1195</v>
      </c>
      <c r="H510" s="55" t="s">
        <v>1448</v>
      </c>
      <c r="I510" s="55" t="s">
        <v>1091</v>
      </c>
      <c r="J510" s="55" t="s">
        <v>2573</v>
      </c>
      <c r="K510" s="55"/>
      <c r="L510" s="55"/>
      <c r="M510" s="55"/>
      <c r="N510" s="55"/>
      <c r="O510" s="57"/>
      <c r="P510" s="55"/>
      <c r="Q510" s="55"/>
      <c r="R510" s="55" t="n">
        <v>6</v>
      </c>
      <c r="S510" s="55" t="n">
        <v>40</v>
      </c>
      <c r="T510" s="55"/>
      <c r="U510" s="55" t="s">
        <v>1124</v>
      </c>
      <c r="V510" s="55" t="s">
        <v>2574</v>
      </c>
      <c r="W510" s="55" t="s">
        <v>2575</v>
      </c>
      <c r="X510" s="4"/>
      <c r="Y510" s="4"/>
      <c r="Z510" s="4"/>
    </row>
    <row r="511" customFormat="false" ht="15.75" hidden="false" customHeight="true" outlineLevel="0" collapsed="false">
      <c r="A511" s="55" t="n">
        <v>2063</v>
      </c>
      <c r="B511" s="55" t="s">
        <v>1103</v>
      </c>
      <c r="C511" s="55" t="s">
        <v>1104</v>
      </c>
      <c r="D511" s="55" t="s">
        <v>2775</v>
      </c>
      <c r="E511" s="55" t="s">
        <v>2776</v>
      </c>
      <c r="F511" s="55" t="s">
        <v>1195</v>
      </c>
      <c r="G511" s="55" t="s">
        <v>1195</v>
      </c>
      <c r="H511" s="55" t="s">
        <v>1448</v>
      </c>
      <c r="I511" s="55" t="s">
        <v>1091</v>
      </c>
      <c r="J511" s="55" t="s">
        <v>2777</v>
      </c>
      <c r="K511" s="55"/>
      <c r="L511" s="55"/>
      <c r="M511" s="55"/>
      <c r="N511" s="55"/>
      <c r="O511" s="57"/>
      <c r="P511" s="55"/>
      <c r="Q511" s="55"/>
      <c r="R511" s="55" t="n">
        <v>9</v>
      </c>
      <c r="S511" s="55" t="n">
        <v>34</v>
      </c>
      <c r="T511" s="55"/>
      <c r="U511" s="55" t="s">
        <v>1104</v>
      </c>
      <c r="V511" s="55" t="s">
        <v>2778</v>
      </c>
      <c r="W511" s="55" t="s">
        <v>2770</v>
      </c>
      <c r="X511" s="4"/>
      <c r="Y511" s="4"/>
      <c r="Z511" s="4"/>
    </row>
    <row r="512" customFormat="false" ht="15.75" hidden="false" customHeight="true" outlineLevel="0" collapsed="false">
      <c r="A512" s="55" t="n">
        <v>2064</v>
      </c>
      <c r="B512" s="55" t="s">
        <v>1105</v>
      </c>
      <c r="C512" s="55" t="s">
        <v>1106</v>
      </c>
      <c r="D512" s="55" t="s">
        <v>2707</v>
      </c>
      <c r="E512" s="55"/>
      <c r="F512" s="55" t="s">
        <v>1194</v>
      </c>
      <c r="G512" s="55" t="s">
        <v>1194</v>
      </c>
      <c r="H512" s="55" t="s">
        <v>1448</v>
      </c>
      <c r="I512" s="55" t="s">
        <v>1091</v>
      </c>
      <c r="J512" s="55" t="s">
        <v>2708</v>
      </c>
      <c r="K512" s="55"/>
      <c r="L512" s="55"/>
      <c r="M512" s="55"/>
      <c r="N512" s="55"/>
      <c r="O512" s="57"/>
      <c r="P512" s="55"/>
      <c r="Q512" s="55"/>
      <c r="R512" s="55" t="n">
        <v>6</v>
      </c>
      <c r="S512" s="55" t="n">
        <v>5</v>
      </c>
      <c r="T512" s="55"/>
      <c r="U512" s="55"/>
      <c r="V512" s="55"/>
      <c r="W512" s="58" t="s">
        <v>2706</v>
      </c>
      <c r="X512" s="4"/>
      <c r="Y512" s="4"/>
      <c r="Z512" s="4"/>
    </row>
    <row r="513" customFormat="false" ht="15.75" hidden="false" customHeight="true" outlineLevel="0" collapsed="false">
      <c r="A513" s="55" t="n">
        <v>2065</v>
      </c>
      <c r="B513" s="55" t="s">
        <v>1445</v>
      </c>
      <c r="C513" s="55" t="s">
        <v>1446</v>
      </c>
      <c r="D513" s="55" t="s">
        <v>1447</v>
      </c>
      <c r="E513" s="55" t="s">
        <v>1447</v>
      </c>
      <c r="F513" s="55" t="s">
        <v>1194</v>
      </c>
      <c r="G513" s="55" t="s">
        <v>1195</v>
      </c>
      <c r="H513" s="55" t="s">
        <v>1448</v>
      </c>
      <c r="I513" s="55" t="s">
        <v>1091</v>
      </c>
      <c r="J513" s="55" t="s">
        <v>1449</v>
      </c>
      <c r="K513" s="55"/>
      <c r="L513" s="55"/>
      <c r="M513" s="55"/>
      <c r="N513" s="55" t="s">
        <v>1450</v>
      </c>
      <c r="O513" s="55" t="s">
        <v>130</v>
      </c>
      <c r="P513" s="55"/>
      <c r="Q513" s="55"/>
      <c r="R513" s="55" t="n">
        <v>2</v>
      </c>
      <c r="S513" s="55" t="n">
        <v>5</v>
      </c>
      <c r="T513" s="55"/>
      <c r="U513" s="55" t="s">
        <v>1446</v>
      </c>
      <c r="V513" s="55" t="s">
        <v>1451</v>
      </c>
      <c r="W513" s="55" t="s">
        <v>1452</v>
      </c>
      <c r="X513" s="4"/>
      <c r="Y513" s="4"/>
      <c r="Z513" s="4"/>
    </row>
    <row r="514" customFormat="false" ht="15.75" hidden="false" customHeight="true" outlineLevel="0" collapsed="false">
      <c r="A514" s="55" t="n">
        <v>2066</v>
      </c>
      <c r="B514" s="55" t="s">
        <v>1107</v>
      </c>
      <c r="C514" s="55" t="s">
        <v>1108</v>
      </c>
      <c r="D514" s="55" t="s">
        <v>2709</v>
      </c>
      <c r="E514" s="55"/>
      <c r="F514" s="55" t="s">
        <v>1194</v>
      </c>
      <c r="G514" s="55" t="s">
        <v>1194</v>
      </c>
      <c r="H514" s="55" t="s">
        <v>1448</v>
      </c>
      <c r="I514" s="55" t="s">
        <v>1091</v>
      </c>
      <c r="J514" s="55" t="s">
        <v>2710</v>
      </c>
      <c r="K514" s="55"/>
      <c r="L514" s="55"/>
      <c r="M514" s="55"/>
      <c r="N514" s="55"/>
      <c r="O514" s="57"/>
      <c r="P514" s="55"/>
      <c r="Q514" s="55"/>
      <c r="R514" s="55" t="n">
        <v>9</v>
      </c>
      <c r="S514" s="55" t="n">
        <v>13</v>
      </c>
      <c r="T514" s="55"/>
      <c r="U514" s="55"/>
      <c r="V514" s="55"/>
      <c r="W514" s="58" t="s">
        <v>2706</v>
      </c>
      <c r="X514" s="4"/>
      <c r="Y514" s="4"/>
      <c r="Z514" s="4"/>
    </row>
    <row r="515" customFormat="false" ht="15.75" hidden="false" customHeight="true" outlineLevel="0" collapsed="false">
      <c r="A515" s="55" t="n">
        <v>2067</v>
      </c>
      <c r="B515" s="55" t="s">
        <v>1109</v>
      </c>
      <c r="C515" s="55" t="s">
        <v>1110</v>
      </c>
      <c r="D515" s="55" t="s">
        <v>2713</v>
      </c>
      <c r="E515" s="55"/>
      <c r="F515" s="55" t="s">
        <v>1194</v>
      </c>
      <c r="G515" s="55" t="s">
        <v>1194</v>
      </c>
      <c r="H515" s="55" t="s">
        <v>1448</v>
      </c>
      <c r="I515" s="55" t="s">
        <v>1091</v>
      </c>
      <c r="J515" s="55" t="s">
        <v>2714</v>
      </c>
      <c r="K515" s="55"/>
      <c r="L515" s="55"/>
      <c r="M515" s="55"/>
      <c r="N515" s="55"/>
      <c r="O515" s="57"/>
      <c r="P515" s="55"/>
      <c r="Q515" s="55"/>
      <c r="R515" s="55" t="n">
        <v>7</v>
      </c>
      <c r="S515" s="55" t="n">
        <v>4</v>
      </c>
      <c r="T515" s="55"/>
      <c r="U515" s="55"/>
      <c r="V515" s="55"/>
      <c r="W515" s="58" t="s">
        <v>2706</v>
      </c>
      <c r="X515" s="4"/>
      <c r="Y515" s="4"/>
      <c r="Z515" s="4"/>
    </row>
    <row r="516" customFormat="false" ht="15.75" hidden="false" customHeight="true" outlineLevel="0" collapsed="false">
      <c r="A516" s="55" t="n">
        <v>2068</v>
      </c>
      <c r="B516" s="55" t="s">
        <v>1111</v>
      </c>
      <c r="C516" s="55" t="s">
        <v>1112</v>
      </c>
      <c r="D516" s="55" t="s">
        <v>2715</v>
      </c>
      <c r="E516" s="55"/>
      <c r="F516" s="55" t="s">
        <v>1194</v>
      </c>
      <c r="G516" s="55" t="s">
        <v>1194</v>
      </c>
      <c r="H516" s="55" t="s">
        <v>1448</v>
      </c>
      <c r="I516" s="55" t="s">
        <v>1091</v>
      </c>
      <c r="J516" s="55" t="s">
        <v>2716</v>
      </c>
      <c r="K516" s="55"/>
      <c r="L516" s="55"/>
      <c r="M516" s="55"/>
      <c r="N516" s="55"/>
      <c r="O516" s="57"/>
      <c r="P516" s="55"/>
      <c r="Q516" s="55"/>
      <c r="R516" s="55" t="n">
        <v>6</v>
      </c>
      <c r="S516" s="55" t="n">
        <v>13</v>
      </c>
      <c r="T516" s="55"/>
      <c r="U516" s="55"/>
      <c r="V516" s="55"/>
      <c r="W516" s="58" t="s">
        <v>2706</v>
      </c>
      <c r="X516" s="4"/>
      <c r="Y516" s="4"/>
      <c r="Z516" s="4"/>
    </row>
    <row r="517" customFormat="false" ht="15.75" hidden="false" customHeight="true" outlineLevel="0" collapsed="false">
      <c r="A517" s="55" t="n">
        <v>2069</v>
      </c>
      <c r="B517" s="55" t="s">
        <v>1113</v>
      </c>
      <c r="C517" s="55" t="s">
        <v>1114</v>
      </c>
      <c r="D517" s="55" t="s">
        <v>2704</v>
      </c>
      <c r="E517" s="55"/>
      <c r="F517" s="55" t="s">
        <v>1194</v>
      </c>
      <c r="G517" s="55" t="s">
        <v>1194</v>
      </c>
      <c r="H517" s="55" t="s">
        <v>1448</v>
      </c>
      <c r="I517" s="55" t="s">
        <v>1091</v>
      </c>
      <c r="J517" s="55" t="s">
        <v>2705</v>
      </c>
      <c r="K517" s="55"/>
      <c r="L517" s="55"/>
      <c r="M517" s="55"/>
      <c r="N517" s="55"/>
      <c r="O517" s="57"/>
      <c r="P517" s="55"/>
      <c r="Q517" s="55"/>
      <c r="R517" s="55" t="n">
        <v>8</v>
      </c>
      <c r="S517" s="55" t="n">
        <v>34</v>
      </c>
      <c r="T517" s="55"/>
      <c r="U517" s="55"/>
      <c r="V517" s="55"/>
      <c r="W517" s="58" t="s">
        <v>2706</v>
      </c>
      <c r="X517" s="4"/>
      <c r="Y517" s="4"/>
      <c r="Z517" s="4"/>
    </row>
    <row r="518" customFormat="false" ht="15.75" hidden="false" customHeight="true" outlineLevel="0" collapsed="false">
      <c r="A518" s="55" t="n">
        <v>2070</v>
      </c>
      <c r="B518" s="55" t="s">
        <v>1115</v>
      </c>
      <c r="C518" s="55" t="s">
        <v>1116</v>
      </c>
      <c r="D518" s="55" t="s">
        <v>2717</v>
      </c>
      <c r="E518" s="55"/>
      <c r="F518" s="55" t="s">
        <v>1194</v>
      </c>
      <c r="G518" s="55" t="s">
        <v>1194</v>
      </c>
      <c r="H518" s="55" t="s">
        <v>1448</v>
      </c>
      <c r="I518" s="55" t="s">
        <v>1091</v>
      </c>
      <c r="J518" s="55" t="s">
        <v>2718</v>
      </c>
      <c r="K518" s="55"/>
      <c r="L518" s="55"/>
      <c r="M518" s="55"/>
      <c r="N518" s="55"/>
      <c r="O518" s="57"/>
      <c r="P518" s="55"/>
      <c r="Q518" s="55"/>
      <c r="R518" s="55" t="n">
        <v>11</v>
      </c>
      <c r="S518" s="55" t="n">
        <v>41</v>
      </c>
      <c r="T518" s="55"/>
      <c r="U518" s="55"/>
      <c r="V518" s="55"/>
      <c r="W518" s="58" t="s">
        <v>2706</v>
      </c>
      <c r="X518" s="4"/>
      <c r="Y518" s="4"/>
      <c r="Z518" s="4"/>
    </row>
    <row r="519" customFormat="false" ht="15.75" hidden="false" customHeight="true" outlineLevel="0" collapsed="false">
      <c r="A519" s="55" t="n">
        <v>2071</v>
      </c>
      <c r="B519" s="55" t="s">
        <v>1117</v>
      </c>
      <c r="C519" s="55" t="s">
        <v>1118</v>
      </c>
      <c r="D519" s="55" t="s">
        <v>2711</v>
      </c>
      <c r="E519" s="55"/>
      <c r="F519" s="55" t="s">
        <v>1194</v>
      </c>
      <c r="G519" s="55" t="s">
        <v>1194</v>
      </c>
      <c r="H519" s="55" t="s">
        <v>1448</v>
      </c>
      <c r="I519" s="55" t="s">
        <v>1091</v>
      </c>
      <c r="J519" s="55" t="s">
        <v>2712</v>
      </c>
      <c r="K519" s="55"/>
      <c r="L519" s="55"/>
      <c r="M519" s="55"/>
      <c r="N519" s="55"/>
      <c r="O519" s="57"/>
      <c r="P519" s="55"/>
      <c r="Q519" s="55"/>
      <c r="R519" s="55" t="n">
        <v>4</v>
      </c>
      <c r="S519" s="55" t="n">
        <v>11</v>
      </c>
      <c r="T519" s="55"/>
      <c r="U519" s="55"/>
      <c r="V519" s="55"/>
      <c r="W519" s="58" t="s">
        <v>2706</v>
      </c>
      <c r="X519" s="4"/>
      <c r="Y519" s="4"/>
      <c r="Z519" s="4"/>
    </row>
    <row r="520" customFormat="false" ht="15.75" hidden="false" customHeight="true" outlineLevel="0" collapsed="false">
      <c r="A520" s="55" t="n">
        <v>2072</v>
      </c>
      <c r="B520" s="55" t="s">
        <v>1119</v>
      </c>
      <c r="C520" s="55" t="s">
        <v>1120</v>
      </c>
      <c r="D520" s="55" t="s">
        <v>2719</v>
      </c>
      <c r="E520" s="55"/>
      <c r="F520" s="55" t="s">
        <v>1194</v>
      </c>
      <c r="G520" s="55" t="s">
        <v>1194</v>
      </c>
      <c r="H520" s="55" t="s">
        <v>1448</v>
      </c>
      <c r="I520" s="55" t="s">
        <v>1091</v>
      </c>
      <c r="J520" s="55" t="s">
        <v>2720</v>
      </c>
      <c r="K520" s="55"/>
      <c r="L520" s="55"/>
      <c r="M520" s="55"/>
      <c r="N520" s="55"/>
      <c r="O520" s="57"/>
      <c r="P520" s="55"/>
      <c r="Q520" s="55"/>
      <c r="R520" s="55" t="n">
        <v>12</v>
      </c>
      <c r="S520" s="55" t="n">
        <v>49</v>
      </c>
      <c r="T520" s="55"/>
      <c r="U520" s="55"/>
      <c r="V520" s="55"/>
      <c r="W520" s="58" t="s">
        <v>2706</v>
      </c>
      <c r="X520" s="4"/>
      <c r="Y520" s="4"/>
      <c r="Z520" s="4"/>
    </row>
    <row r="521" customFormat="false" ht="15.75" hidden="false" customHeight="true" outlineLevel="0" collapsed="false">
      <c r="A521" s="55" t="n">
        <v>2073</v>
      </c>
      <c r="B521" s="55" t="s">
        <v>1056</v>
      </c>
      <c r="C521" s="55" t="s">
        <v>1057</v>
      </c>
      <c r="D521" s="55" t="s">
        <v>2584</v>
      </c>
      <c r="E521" s="55" t="s">
        <v>2584</v>
      </c>
      <c r="F521" s="55" t="s">
        <v>1194</v>
      </c>
      <c r="G521" s="55" t="s">
        <v>1195</v>
      </c>
      <c r="H521" s="55" t="s">
        <v>1448</v>
      </c>
      <c r="I521" s="55" t="s">
        <v>1050</v>
      </c>
      <c r="J521" s="55" t="s">
        <v>2585</v>
      </c>
      <c r="K521" s="55"/>
      <c r="L521" s="55"/>
      <c r="M521" s="55"/>
      <c r="N521" s="55"/>
      <c r="O521" s="57"/>
      <c r="P521" s="55"/>
      <c r="Q521" s="55"/>
      <c r="R521" s="55" t="n">
        <v>10</v>
      </c>
      <c r="S521" s="55" t="n">
        <v>33</v>
      </c>
      <c r="T521" s="55"/>
      <c r="U521" s="55" t="s">
        <v>1057</v>
      </c>
      <c r="V521" s="55" t="s">
        <v>2586</v>
      </c>
      <c r="W521" s="55" t="s">
        <v>2575</v>
      </c>
      <c r="X521" s="4"/>
      <c r="Y521" s="4"/>
      <c r="Z521" s="4"/>
    </row>
    <row r="522" customFormat="false" ht="15.75" hidden="false" customHeight="true" outlineLevel="0" collapsed="false">
      <c r="A522" s="55" t="n">
        <v>2074</v>
      </c>
      <c r="B522" s="55" t="s">
        <v>1058</v>
      </c>
      <c r="C522" s="55" t="s">
        <v>1059</v>
      </c>
      <c r="D522" s="55" t="s">
        <v>2579</v>
      </c>
      <c r="E522" s="55" t="s">
        <v>2579</v>
      </c>
      <c r="F522" s="55" t="s">
        <v>1194</v>
      </c>
      <c r="G522" s="55" t="s">
        <v>1195</v>
      </c>
      <c r="H522" s="55" t="s">
        <v>1448</v>
      </c>
      <c r="I522" s="55" t="s">
        <v>1050</v>
      </c>
      <c r="J522" s="55" t="s">
        <v>2580</v>
      </c>
      <c r="K522" s="55"/>
      <c r="L522" s="55"/>
      <c r="M522" s="55"/>
      <c r="N522" s="55"/>
      <c r="O522" s="57"/>
      <c r="P522" s="55"/>
      <c r="Q522" s="55"/>
      <c r="R522" s="55" t="n">
        <v>7</v>
      </c>
      <c r="S522" s="55" t="n">
        <v>49</v>
      </c>
      <c r="T522" s="55"/>
      <c r="U522" s="55" t="s">
        <v>1059</v>
      </c>
      <c r="V522" s="55" t="s">
        <v>2581</v>
      </c>
      <c r="W522" s="55" t="s">
        <v>2575</v>
      </c>
      <c r="X522" s="4"/>
      <c r="Y522" s="4"/>
      <c r="Z522" s="4"/>
    </row>
    <row r="523" customFormat="false" ht="15.75" hidden="false" customHeight="true" outlineLevel="0" collapsed="false">
      <c r="A523" s="55" t="n">
        <v>2075</v>
      </c>
      <c r="B523" s="55"/>
      <c r="C523" s="55" t="s">
        <v>1049</v>
      </c>
      <c r="D523" s="55" t="s">
        <v>2636</v>
      </c>
      <c r="E523" s="55" t="s">
        <v>2636</v>
      </c>
      <c r="F523" s="55" t="s">
        <v>1194</v>
      </c>
      <c r="G523" s="55" t="s">
        <v>1195</v>
      </c>
      <c r="H523" s="55" t="s">
        <v>1448</v>
      </c>
      <c r="I523" s="55" t="s">
        <v>1050</v>
      </c>
      <c r="J523" s="55" t="s">
        <v>2637</v>
      </c>
      <c r="K523" s="55"/>
      <c r="L523" s="55"/>
      <c r="M523" s="55"/>
      <c r="N523" s="55"/>
      <c r="O523" s="57"/>
      <c r="P523" s="55"/>
      <c r="Q523" s="55"/>
      <c r="R523" s="55" t="n">
        <v>7</v>
      </c>
      <c r="S523" s="55" t="n">
        <v>24</v>
      </c>
      <c r="T523" s="55"/>
      <c r="U523" s="55" t="s">
        <v>1049</v>
      </c>
      <c r="V523" s="55" t="s">
        <v>2638</v>
      </c>
      <c r="W523" s="55" t="s">
        <v>2614</v>
      </c>
      <c r="X523" s="4"/>
      <c r="Y523" s="4"/>
      <c r="Z523" s="4"/>
    </row>
    <row r="524" customFormat="false" ht="15.75" hidden="false" customHeight="true" outlineLevel="0" collapsed="false">
      <c r="A524" s="55" t="n">
        <v>2076</v>
      </c>
      <c r="B524" s="55" t="s">
        <v>1121</v>
      </c>
      <c r="C524" s="55" t="s">
        <v>1122</v>
      </c>
      <c r="D524" s="55" t="s">
        <v>2771</v>
      </c>
      <c r="E524" s="55" t="s">
        <v>2772</v>
      </c>
      <c r="F524" s="55" t="s">
        <v>1195</v>
      </c>
      <c r="G524" s="55" t="s">
        <v>1195</v>
      </c>
      <c r="H524" s="55" t="s">
        <v>1448</v>
      </c>
      <c r="I524" s="55" t="s">
        <v>1091</v>
      </c>
      <c r="J524" s="55" t="s">
        <v>2773</v>
      </c>
      <c r="K524" s="55"/>
      <c r="L524" s="55"/>
      <c r="M524" s="55"/>
      <c r="N524" s="55"/>
      <c r="O524" s="57"/>
      <c r="P524" s="55"/>
      <c r="Q524" s="55"/>
      <c r="R524" s="55" t="n">
        <v>9</v>
      </c>
      <c r="S524" s="55" t="n">
        <v>29</v>
      </c>
      <c r="T524" s="55"/>
      <c r="U524" s="55" t="s">
        <v>1122</v>
      </c>
      <c r="V524" s="55" t="s">
        <v>2774</v>
      </c>
      <c r="W524" s="55" t="s">
        <v>2770</v>
      </c>
      <c r="X524" s="4"/>
      <c r="Y524" s="4"/>
      <c r="Z524" s="4"/>
    </row>
    <row r="525" customFormat="false" ht="15.75" hidden="false" customHeight="true" outlineLevel="0" collapsed="false">
      <c r="A525" s="55" t="n">
        <v>2077</v>
      </c>
      <c r="B525" s="55" t="s">
        <v>1088</v>
      </c>
      <c r="C525" s="55" t="s">
        <v>1089</v>
      </c>
      <c r="D525" s="55" t="s">
        <v>2587</v>
      </c>
      <c r="E525" s="55" t="s">
        <v>2587</v>
      </c>
      <c r="F525" s="55" t="s">
        <v>1194</v>
      </c>
      <c r="G525" s="55" t="s">
        <v>1195</v>
      </c>
      <c r="H525" s="55" t="s">
        <v>1448</v>
      </c>
      <c r="I525" s="55" t="s">
        <v>1080</v>
      </c>
      <c r="J525" s="55" t="s">
        <v>2588</v>
      </c>
      <c r="K525" s="55"/>
      <c r="L525" s="55"/>
      <c r="M525" s="55"/>
      <c r="N525" s="55"/>
      <c r="O525" s="57"/>
      <c r="P525" s="55"/>
      <c r="Q525" s="55"/>
      <c r="R525" s="55" t="n">
        <v>11</v>
      </c>
      <c r="S525" s="55" t="n">
        <v>10</v>
      </c>
      <c r="T525" s="55"/>
      <c r="U525" s="55" t="s">
        <v>1089</v>
      </c>
      <c r="V525" s="55" t="s">
        <v>2589</v>
      </c>
      <c r="W525" s="55" t="s">
        <v>2575</v>
      </c>
      <c r="X525" s="4"/>
      <c r="Y525" s="4"/>
      <c r="Z525" s="4"/>
    </row>
    <row r="526" customFormat="false" ht="15.75" hidden="false" customHeight="true" outlineLevel="0" collapsed="false">
      <c r="A526" s="55" t="n">
        <v>2078</v>
      </c>
      <c r="B526" s="55"/>
      <c r="C526" s="55" t="s">
        <v>1081</v>
      </c>
      <c r="D526" s="55" t="s">
        <v>2639</v>
      </c>
      <c r="E526" s="55" t="s">
        <v>2639</v>
      </c>
      <c r="F526" s="55" t="s">
        <v>1194</v>
      </c>
      <c r="G526" s="55" t="s">
        <v>1195</v>
      </c>
      <c r="H526" s="55" t="s">
        <v>1448</v>
      </c>
      <c r="I526" s="55" t="s">
        <v>1080</v>
      </c>
      <c r="J526" s="55" t="s">
        <v>2640</v>
      </c>
      <c r="K526" s="55"/>
      <c r="L526" s="55"/>
      <c r="M526" s="55"/>
      <c r="N526" s="55"/>
      <c r="O526" s="57"/>
      <c r="P526" s="55"/>
      <c r="Q526" s="55"/>
      <c r="R526" s="55" t="n">
        <v>11</v>
      </c>
      <c r="S526" s="55" t="n">
        <v>7</v>
      </c>
      <c r="T526" s="55"/>
      <c r="U526" s="55" t="s">
        <v>1081</v>
      </c>
      <c r="V526" s="55" t="s">
        <v>2641</v>
      </c>
      <c r="W526" s="55" t="s">
        <v>2614</v>
      </c>
      <c r="X526" s="4"/>
      <c r="Y526" s="4"/>
      <c r="Z526" s="4"/>
    </row>
    <row r="527" customFormat="false" ht="15.75" hidden="false" customHeight="true" outlineLevel="0" collapsed="false">
      <c r="A527" s="55" t="n">
        <v>2079</v>
      </c>
      <c r="B527" s="55"/>
      <c r="C527" s="55" t="s">
        <v>1129</v>
      </c>
      <c r="D527" s="55" t="s">
        <v>2663</v>
      </c>
      <c r="E527" s="55"/>
      <c r="F527" s="55" t="s">
        <v>1194</v>
      </c>
      <c r="G527" s="55" t="s">
        <v>1194</v>
      </c>
      <c r="H527" s="55" t="s">
        <v>1235</v>
      </c>
      <c r="I527" s="55"/>
      <c r="J527" s="55" t="s">
        <v>2664</v>
      </c>
      <c r="K527" s="55"/>
      <c r="L527" s="55"/>
      <c r="M527" s="55"/>
      <c r="N527" s="55"/>
      <c r="O527" s="57"/>
      <c r="P527" s="55"/>
      <c r="Q527" s="55"/>
      <c r="R527" s="55" t="n">
        <v>12</v>
      </c>
      <c r="S527" s="55" t="n">
        <v>123</v>
      </c>
      <c r="T527" s="55"/>
      <c r="U527" s="55"/>
      <c r="V527" s="55"/>
      <c r="W527" s="58" t="s">
        <v>2644</v>
      </c>
      <c r="X527" s="4"/>
      <c r="Y527" s="4"/>
      <c r="Z527" s="4"/>
    </row>
    <row r="528" customFormat="false" ht="15.75" hidden="false" customHeight="true" outlineLevel="0" collapsed="false">
      <c r="A528" s="55" t="n">
        <v>2080</v>
      </c>
      <c r="B528" s="55"/>
      <c r="C528" s="55" t="s">
        <v>1453</v>
      </c>
      <c r="D528" s="55" t="s">
        <v>1454</v>
      </c>
      <c r="E528" s="55"/>
      <c r="F528" s="55" t="s">
        <v>1194</v>
      </c>
      <c r="G528" s="55" t="s">
        <v>1194</v>
      </c>
      <c r="H528" s="55" t="s">
        <v>1235</v>
      </c>
      <c r="I528" s="55"/>
      <c r="J528" s="55" t="s">
        <v>1455</v>
      </c>
      <c r="K528" s="55"/>
      <c r="L528" s="55"/>
      <c r="M528" s="55"/>
      <c r="N528" s="55" t="s">
        <v>1325</v>
      </c>
      <c r="O528" s="55" t="s">
        <v>1278</v>
      </c>
      <c r="P528" s="55"/>
      <c r="Q528" s="55"/>
      <c r="R528" s="55" t="n">
        <v>5</v>
      </c>
      <c r="S528" s="55" t="n">
        <v>79</v>
      </c>
      <c r="T528" s="55"/>
      <c r="U528" s="55"/>
      <c r="V528" s="55"/>
      <c r="W528" s="58" t="s">
        <v>1456</v>
      </c>
      <c r="X528" s="4"/>
      <c r="Y528" s="4"/>
      <c r="Z528" s="4"/>
    </row>
    <row r="529" customFormat="false" ht="15.75" hidden="false" customHeight="true" outlineLevel="0" collapsed="false">
      <c r="A529" s="55" t="n">
        <v>2081</v>
      </c>
      <c r="B529" s="55" t="s">
        <v>1481</v>
      </c>
      <c r="C529" s="55" t="s">
        <v>1482</v>
      </c>
      <c r="D529" s="55" t="s">
        <v>1483</v>
      </c>
      <c r="E529" s="55"/>
      <c r="F529" s="55" t="s">
        <v>1194</v>
      </c>
      <c r="G529" s="55" t="s">
        <v>1194</v>
      </c>
      <c r="H529" s="55" t="s">
        <v>1235</v>
      </c>
      <c r="I529" s="55"/>
      <c r="J529" s="55" t="s">
        <v>1484</v>
      </c>
      <c r="K529" s="55"/>
      <c r="L529" s="55"/>
      <c r="M529" s="55"/>
      <c r="N529" s="55" t="s">
        <v>1387</v>
      </c>
      <c r="O529" s="55" t="s">
        <v>1388</v>
      </c>
      <c r="P529" s="55"/>
      <c r="Q529" s="55"/>
      <c r="R529" s="55" t="n">
        <v>5</v>
      </c>
      <c r="S529" s="55" t="n">
        <v>189</v>
      </c>
      <c r="T529" s="55"/>
      <c r="U529" s="55"/>
      <c r="V529" s="55"/>
      <c r="W529" s="58" t="s">
        <v>1476</v>
      </c>
      <c r="X529" s="4"/>
      <c r="Y529" s="4"/>
      <c r="Z529" s="4"/>
    </row>
    <row r="530" customFormat="false" ht="15.75" hidden="false" customHeight="true" outlineLevel="0" collapsed="false">
      <c r="A530" s="55" t="n">
        <v>2082</v>
      </c>
      <c r="B530" s="55" t="s">
        <v>3023</v>
      </c>
      <c r="C530" s="55" t="s">
        <v>3024</v>
      </c>
      <c r="D530" s="55" t="s">
        <v>3025</v>
      </c>
      <c r="E530" s="55" t="s">
        <v>3025</v>
      </c>
      <c r="F530" s="55" t="s">
        <v>1194</v>
      </c>
      <c r="G530" s="55" t="s">
        <v>1195</v>
      </c>
      <c r="H530" s="55" t="s">
        <v>1248</v>
      </c>
      <c r="I530" s="55" t="s">
        <v>139</v>
      </c>
      <c r="J530" s="55" t="s">
        <v>3026</v>
      </c>
      <c r="K530" s="55" t="s">
        <v>3027</v>
      </c>
      <c r="L530" s="55" t="n">
        <v>1.5</v>
      </c>
      <c r="M530" s="55" t="n">
        <v>6.5</v>
      </c>
      <c r="N530" s="55" t="s">
        <v>1319</v>
      </c>
      <c r="O530" s="55" t="s">
        <v>1270</v>
      </c>
      <c r="P530" s="55"/>
      <c r="Q530" s="55" t="s">
        <v>1262</v>
      </c>
      <c r="R530" s="55" t="n">
        <v>10</v>
      </c>
      <c r="S530" s="55" t="n">
        <v>75</v>
      </c>
      <c r="T530" s="55"/>
      <c r="U530" s="55" t="s">
        <v>3024</v>
      </c>
      <c r="V530" s="55" t="s">
        <v>3028</v>
      </c>
      <c r="W530" s="55"/>
      <c r="X530" s="4"/>
      <c r="Y530" s="4"/>
      <c r="Z530" s="4"/>
    </row>
    <row r="531" customFormat="false" ht="15.75" hidden="false" customHeight="true" outlineLevel="0" collapsed="false">
      <c r="A531" s="55" t="n">
        <v>2083</v>
      </c>
      <c r="B531" s="55" t="s">
        <v>3029</v>
      </c>
      <c r="C531" s="55" t="s">
        <v>3030</v>
      </c>
      <c r="D531" s="55" t="s">
        <v>3031</v>
      </c>
      <c r="E531" s="55" t="s">
        <v>3031</v>
      </c>
      <c r="F531" s="55" t="s">
        <v>1194</v>
      </c>
      <c r="G531" s="55" t="s">
        <v>1195</v>
      </c>
      <c r="H531" s="55" t="s">
        <v>1248</v>
      </c>
      <c r="I531" s="55" t="s">
        <v>379</v>
      </c>
      <c r="J531" s="55" t="s">
        <v>3032</v>
      </c>
      <c r="K531" s="55" t="s">
        <v>3033</v>
      </c>
      <c r="L531" s="55" t="n">
        <v>0.875</v>
      </c>
      <c r="M531" s="55" t="n">
        <v>6.75</v>
      </c>
      <c r="N531" s="55" t="s">
        <v>1319</v>
      </c>
      <c r="O531" s="55" t="s">
        <v>1270</v>
      </c>
      <c r="P531" s="55"/>
      <c r="Q531" s="55" t="s">
        <v>1262</v>
      </c>
      <c r="R531" s="55" t="n">
        <v>18</v>
      </c>
      <c r="S531" s="55" t="n">
        <v>160</v>
      </c>
      <c r="T531" s="55"/>
      <c r="U531" s="55" t="s">
        <v>3030</v>
      </c>
      <c r="V531" s="55" t="s">
        <v>3034</v>
      </c>
      <c r="W531" s="55"/>
      <c r="X531" s="4"/>
      <c r="Y531" s="4"/>
      <c r="Z531" s="4"/>
    </row>
    <row r="532" customFormat="false" ht="15.75" hidden="false" customHeight="true" outlineLevel="0" collapsed="false">
      <c r="A532" s="55" t="n">
        <v>2084</v>
      </c>
      <c r="B532" s="55" t="s">
        <v>1347</v>
      </c>
      <c r="C532" s="55" t="s">
        <v>1348</v>
      </c>
      <c r="D532" s="55" t="s">
        <v>1349</v>
      </c>
      <c r="E532" s="55"/>
      <c r="F532" s="55" t="s">
        <v>1194</v>
      </c>
      <c r="G532" s="55" t="s">
        <v>1194</v>
      </c>
      <c r="H532" s="55" t="s">
        <v>1248</v>
      </c>
      <c r="I532" s="55" t="s">
        <v>274</v>
      </c>
      <c r="J532" s="55" t="s">
        <v>1350</v>
      </c>
      <c r="K532" s="55" t="s">
        <v>1351</v>
      </c>
      <c r="L532" s="55" t="n">
        <v>1.125</v>
      </c>
      <c r="M532" s="55" t="n">
        <v>3.5</v>
      </c>
      <c r="N532" s="55" t="s">
        <v>1352</v>
      </c>
      <c r="O532" s="55" t="s">
        <v>1298</v>
      </c>
      <c r="P532" s="55"/>
      <c r="Q532" s="55" t="s">
        <v>1262</v>
      </c>
      <c r="R532" s="55" t="n">
        <v>14</v>
      </c>
      <c r="S532" s="55" t="n">
        <v>78</v>
      </c>
      <c r="T532" s="55"/>
      <c r="U532" s="55"/>
      <c r="V532" s="55"/>
      <c r="W532" s="58" t="s">
        <v>1307</v>
      </c>
      <c r="X532" s="4"/>
      <c r="Y532" s="4"/>
      <c r="Z532" s="4"/>
    </row>
    <row r="533" customFormat="false" ht="15.75" hidden="false" customHeight="true" outlineLevel="0" collapsed="false">
      <c r="A533" s="55" t="n">
        <v>2085</v>
      </c>
      <c r="B533" s="55" t="s">
        <v>1353</v>
      </c>
      <c r="C533" s="55" t="s">
        <v>1354</v>
      </c>
      <c r="D533" s="55" t="s">
        <v>1355</v>
      </c>
      <c r="E533" s="55"/>
      <c r="F533" s="55" t="s">
        <v>1194</v>
      </c>
      <c r="G533" s="55" t="s">
        <v>1194</v>
      </c>
      <c r="H533" s="55" t="s">
        <v>1248</v>
      </c>
      <c r="I533" s="55" t="s">
        <v>172</v>
      </c>
      <c r="J533" s="55" t="s">
        <v>1356</v>
      </c>
      <c r="K533" s="55" t="s">
        <v>1357</v>
      </c>
      <c r="L533" s="55" t="n">
        <v>0.625</v>
      </c>
      <c r="M533" s="55" t="n">
        <v>7.25</v>
      </c>
      <c r="N533" s="55" t="s">
        <v>1352</v>
      </c>
      <c r="O533" s="55" t="s">
        <v>1298</v>
      </c>
      <c r="P533" s="55"/>
      <c r="Q533" s="55" t="s">
        <v>1262</v>
      </c>
      <c r="R533" s="55" t="n">
        <v>9</v>
      </c>
      <c r="S533" s="55" t="n">
        <v>62</v>
      </c>
      <c r="T533" s="55"/>
      <c r="U533" s="55"/>
      <c r="V533" s="55"/>
      <c r="W533" s="58" t="s">
        <v>1307</v>
      </c>
      <c r="X533" s="4"/>
      <c r="Y533" s="4"/>
      <c r="Z533" s="4"/>
    </row>
    <row r="534" customFormat="false" ht="15.75" hidden="false" customHeight="true" outlineLevel="0" collapsed="false">
      <c r="A534" s="55" t="n">
        <v>2086</v>
      </c>
      <c r="B534" s="55"/>
      <c r="C534" s="55" t="s">
        <v>884</v>
      </c>
      <c r="D534" s="55" t="s">
        <v>2701</v>
      </c>
      <c r="E534" s="55" t="s">
        <v>2701</v>
      </c>
      <c r="F534" s="55" t="s">
        <v>1194</v>
      </c>
      <c r="G534" s="55" t="s">
        <v>1195</v>
      </c>
      <c r="H534" s="55" t="s">
        <v>1196</v>
      </c>
      <c r="I534" s="55" t="s">
        <v>883</v>
      </c>
      <c r="J534" s="55" t="s">
        <v>2702</v>
      </c>
      <c r="K534" s="55"/>
      <c r="L534" s="55"/>
      <c r="M534" s="55"/>
      <c r="N534" s="55"/>
      <c r="O534" s="57"/>
      <c r="P534" s="55"/>
      <c r="Q534" s="55"/>
      <c r="R534" s="55" t="n">
        <v>0</v>
      </c>
      <c r="S534" s="55" t="n">
        <v>65</v>
      </c>
      <c r="T534" s="55"/>
      <c r="U534" s="55" t="s">
        <v>884</v>
      </c>
      <c r="V534" s="55" t="s">
        <v>2703</v>
      </c>
      <c r="W534" s="55" t="s">
        <v>2694</v>
      </c>
      <c r="X534" s="4"/>
      <c r="Y534" s="4"/>
      <c r="Z534" s="4"/>
    </row>
    <row r="535" customFormat="false" ht="15.75" hidden="false" customHeight="true" outlineLevel="0" collapsed="false">
      <c r="A535" s="55" t="n">
        <v>2087</v>
      </c>
      <c r="B535" s="55"/>
      <c r="C535" s="55" t="s">
        <v>882</v>
      </c>
      <c r="D535" s="55" t="s">
        <v>2673</v>
      </c>
      <c r="E535" s="55" t="s">
        <v>2674</v>
      </c>
      <c r="F535" s="55" t="s">
        <v>1195</v>
      </c>
      <c r="G535" s="55" t="s">
        <v>1195</v>
      </c>
      <c r="H535" s="55" t="s">
        <v>1196</v>
      </c>
      <c r="I535" s="55" t="s">
        <v>883</v>
      </c>
      <c r="J535" s="55" t="s">
        <v>2675</v>
      </c>
      <c r="K535" s="55"/>
      <c r="L535" s="55"/>
      <c r="M535" s="55"/>
      <c r="N535" s="55"/>
      <c r="O535" s="57"/>
      <c r="P535" s="55"/>
      <c r="Q535" s="55"/>
      <c r="R535" s="55" t="n">
        <v>22</v>
      </c>
      <c r="S535" s="55" t="n">
        <v>82</v>
      </c>
      <c r="T535" s="55"/>
      <c r="U535" s="55" t="s">
        <v>882</v>
      </c>
      <c r="V535" s="55" t="s">
        <v>2676</v>
      </c>
      <c r="W535" s="55" t="s">
        <v>2672</v>
      </c>
      <c r="X535" s="4"/>
      <c r="Y535" s="4"/>
      <c r="Z535" s="4"/>
    </row>
    <row r="536" customFormat="false" ht="15.75" hidden="false" customHeight="true" outlineLevel="0" collapsed="false">
      <c r="A536" s="55" t="n">
        <v>2088</v>
      </c>
      <c r="B536" s="55" t="s">
        <v>1264</v>
      </c>
      <c r="C536" s="55" t="s">
        <v>1265</v>
      </c>
      <c r="D536" s="55" t="s">
        <v>1266</v>
      </c>
      <c r="E536" s="55" t="s">
        <v>1266</v>
      </c>
      <c r="F536" s="55" t="s">
        <v>1194</v>
      </c>
      <c r="G536" s="55" t="s">
        <v>1195</v>
      </c>
      <c r="H536" s="55" t="s">
        <v>1248</v>
      </c>
      <c r="I536" s="55" t="s">
        <v>172</v>
      </c>
      <c r="J536" s="55" t="s">
        <v>1267</v>
      </c>
      <c r="K536" s="55" t="s">
        <v>1268</v>
      </c>
      <c r="L536" s="55" t="n">
        <v>0.75</v>
      </c>
      <c r="M536" s="55" t="n">
        <v>9.25</v>
      </c>
      <c r="N536" s="55" t="s">
        <v>1269</v>
      </c>
      <c r="O536" s="55" t="s">
        <v>1270</v>
      </c>
      <c r="P536" s="55"/>
      <c r="Q536" s="55" t="s">
        <v>1262</v>
      </c>
      <c r="R536" s="55" t="n">
        <v>0</v>
      </c>
      <c r="S536" s="55" t="n">
        <v>38</v>
      </c>
      <c r="T536" s="55"/>
      <c r="U536" s="55" t="s">
        <v>1265</v>
      </c>
      <c r="V536" s="55" t="s">
        <v>1271</v>
      </c>
      <c r="W536" s="55" t="s">
        <v>1252</v>
      </c>
      <c r="X536" s="4"/>
      <c r="Y536" s="4"/>
      <c r="Z536" s="4"/>
    </row>
    <row r="537" customFormat="false" ht="15.75" hidden="false" customHeight="true" outlineLevel="0" collapsed="false">
      <c r="A537" s="55" t="n">
        <v>2089</v>
      </c>
      <c r="B537" s="55" t="s">
        <v>3035</v>
      </c>
      <c r="C537" s="55" t="s">
        <v>3036</v>
      </c>
      <c r="D537" s="55" t="s">
        <v>3037</v>
      </c>
      <c r="E537" s="55" t="s">
        <v>3037</v>
      </c>
      <c r="F537" s="55" t="s">
        <v>1194</v>
      </c>
      <c r="G537" s="55" t="s">
        <v>1195</v>
      </c>
      <c r="H537" s="55" t="s">
        <v>1248</v>
      </c>
      <c r="I537" s="55" t="s">
        <v>172</v>
      </c>
      <c r="J537" s="55" t="s">
        <v>3038</v>
      </c>
      <c r="K537" s="55" t="s">
        <v>3039</v>
      </c>
      <c r="L537" s="55" t="n">
        <v>0.6875</v>
      </c>
      <c r="M537" s="55" t="n">
        <v>9.25</v>
      </c>
      <c r="N537" s="55" t="s">
        <v>116</v>
      </c>
      <c r="O537" s="55" t="s">
        <v>116</v>
      </c>
      <c r="P537" s="55"/>
      <c r="Q537" s="55"/>
      <c r="R537" s="55" t="n">
        <v>25</v>
      </c>
      <c r="S537" s="55" t="n">
        <v>54</v>
      </c>
      <c r="T537" s="55"/>
      <c r="U537" s="55" t="s">
        <v>3040</v>
      </c>
      <c r="V537" s="55" t="s">
        <v>3041</v>
      </c>
      <c r="W537" s="55"/>
      <c r="X537" s="4"/>
      <c r="Y537" s="4"/>
      <c r="Z537" s="4"/>
    </row>
    <row r="538" customFormat="false" ht="15.75" hidden="false" customHeight="true" outlineLevel="0" collapsed="false">
      <c r="A538" s="55" t="n">
        <v>2090</v>
      </c>
      <c r="B538" s="55" t="s">
        <v>1272</v>
      </c>
      <c r="C538" s="55" t="s">
        <v>1273</v>
      </c>
      <c r="D538" s="55" t="s">
        <v>1274</v>
      </c>
      <c r="E538" s="55" t="s">
        <v>1274</v>
      </c>
      <c r="F538" s="55" t="s">
        <v>1194</v>
      </c>
      <c r="G538" s="55" t="s">
        <v>1195</v>
      </c>
      <c r="H538" s="55" t="s">
        <v>1248</v>
      </c>
      <c r="I538" s="55" t="s">
        <v>599</v>
      </c>
      <c r="J538" s="55" t="s">
        <v>1275</v>
      </c>
      <c r="K538" s="55" t="s">
        <v>1276</v>
      </c>
      <c r="L538" s="55" t="n">
        <v>1.75</v>
      </c>
      <c r="M538" s="55" t="n">
        <v>2.5</v>
      </c>
      <c r="N538" s="55" t="s">
        <v>1277</v>
      </c>
      <c r="O538" s="55" t="s">
        <v>1278</v>
      </c>
      <c r="P538" s="55"/>
      <c r="Q538" s="55"/>
      <c r="R538" s="55" t="n">
        <v>0</v>
      </c>
      <c r="S538" s="55" t="n">
        <v>27</v>
      </c>
      <c r="T538" s="55"/>
      <c r="U538" s="55" t="s">
        <v>1273</v>
      </c>
      <c r="V538" s="55" t="s">
        <v>1279</v>
      </c>
      <c r="W538" s="55" t="s">
        <v>1252</v>
      </c>
      <c r="X538" s="4"/>
      <c r="Y538" s="4"/>
      <c r="Z538" s="4"/>
    </row>
    <row r="539" customFormat="false" ht="15.75" hidden="false" customHeight="true" outlineLevel="0" collapsed="false">
      <c r="A539" s="55" t="n">
        <v>2091</v>
      </c>
      <c r="B539" s="55" t="s">
        <v>1280</v>
      </c>
      <c r="C539" s="55" t="s">
        <v>1281</v>
      </c>
      <c r="D539" s="55" t="s">
        <v>1282</v>
      </c>
      <c r="E539" s="55" t="s">
        <v>1282</v>
      </c>
      <c r="F539" s="55" t="s">
        <v>1194</v>
      </c>
      <c r="G539" s="55" t="s">
        <v>1195</v>
      </c>
      <c r="H539" s="55" t="s">
        <v>1248</v>
      </c>
      <c r="I539" s="55" t="s">
        <v>145</v>
      </c>
      <c r="J539" s="55" t="s">
        <v>1283</v>
      </c>
      <c r="K539" s="55" t="s">
        <v>1284</v>
      </c>
      <c r="L539" s="55" t="n">
        <v>0.8125</v>
      </c>
      <c r="M539" s="55" t="n">
        <v>1.25</v>
      </c>
      <c r="N539" s="55" t="s">
        <v>116</v>
      </c>
      <c r="O539" s="55" t="s">
        <v>116</v>
      </c>
      <c r="P539" s="55"/>
      <c r="Q539" s="55"/>
      <c r="R539" s="55" t="n">
        <v>0</v>
      </c>
      <c r="S539" s="55" t="n">
        <v>16</v>
      </c>
      <c r="T539" s="55"/>
      <c r="U539" s="55" t="s">
        <v>1281</v>
      </c>
      <c r="V539" s="55" t="s">
        <v>1285</v>
      </c>
      <c r="W539" s="55" t="s">
        <v>1252</v>
      </c>
      <c r="X539" s="4"/>
      <c r="Y539" s="4"/>
      <c r="Z539" s="4"/>
    </row>
    <row r="540" customFormat="false" ht="15.75" hidden="false" customHeight="true" outlineLevel="0" collapsed="false">
      <c r="A540" s="55" t="n">
        <v>2092</v>
      </c>
      <c r="B540" s="55" t="s">
        <v>1258</v>
      </c>
      <c r="C540" s="55" t="s">
        <v>1259</v>
      </c>
      <c r="D540" s="55" t="s">
        <v>1260</v>
      </c>
      <c r="E540" s="55" t="s">
        <v>1260</v>
      </c>
      <c r="F540" s="55" t="s">
        <v>1194</v>
      </c>
      <c r="G540" s="55" t="s">
        <v>1195</v>
      </c>
      <c r="H540" s="55" t="s">
        <v>1248</v>
      </c>
      <c r="I540" s="55" t="s">
        <v>505</v>
      </c>
      <c r="J540" s="55" t="s">
        <v>1261</v>
      </c>
      <c r="K540" s="55" t="s">
        <v>509</v>
      </c>
      <c r="L540" s="55" t="n">
        <v>0.3125</v>
      </c>
      <c r="M540" s="55" t="n">
        <v>1.25</v>
      </c>
      <c r="N540" s="55" t="s">
        <v>118</v>
      </c>
      <c r="O540" s="55" t="s">
        <v>116</v>
      </c>
      <c r="P540" s="55"/>
      <c r="Q540" s="55" t="s">
        <v>1262</v>
      </c>
      <c r="R540" s="55" t="n">
        <v>0</v>
      </c>
      <c r="S540" s="55" t="n">
        <v>23</v>
      </c>
      <c r="T540" s="55"/>
      <c r="U540" s="55" t="s">
        <v>1259</v>
      </c>
      <c r="V540" s="55" t="s">
        <v>1263</v>
      </c>
      <c r="W540" s="55" t="s">
        <v>1252</v>
      </c>
      <c r="X540" s="4"/>
      <c r="Y540" s="4"/>
      <c r="Z540" s="4"/>
    </row>
    <row r="541" customFormat="false" ht="15.75" hidden="false" customHeight="true" outlineLevel="0" collapsed="false">
      <c r="A541" s="60"/>
      <c r="B541" s="60" t="s">
        <v>3042</v>
      </c>
      <c r="C541" s="61"/>
      <c r="D541" s="60"/>
      <c r="E541" s="60"/>
      <c r="F541" s="60" t="s">
        <v>1194</v>
      </c>
      <c r="G541" s="60" t="s">
        <v>1194</v>
      </c>
      <c r="H541" s="60" t="s">
        <v>3043</v>
      </c>
      <c r="I541" s="60" t="s">
        <v>3044</v>
      </c>
      <c r="J541" s="60"/>
      <c r="K541" s="60" t="s">
        <v>3045</v>
      </c>
      <c r="L541" s="60" t="n">
        <v>1.1875</v>
      </c>
      <c r="M541" s="60" t="n">
        <v>50</v>
      </c>
      <c r="N541" s="60" t="s">
        <v>3046</v>
      </c>
      <c r="O541" s="60"/>
      <c r="P541" s="60"/>
      <c r="Q541" s="60"/>
      <c r="R541" s="60" t="n">
        <v>7</v>
      </c>
      <c r="S541" s="60" t="n">
        <v>0</v>
      </c>
      <c r="T541" s="61"/>
      <c r="U541" s="60"/>
      <c r="V541" s="60"/>
      <c r="W541" s="60" t="s">
        <v>3047</v>
      </c>
      <c r="X541" s="4"/>
      <c r="Y541" s="4"/>
      <c r="Z541" s="4"/>
    </row>
    <row r="542" customFormat="false" ht="15.75" hidden="false" customHeight="true" outlineLevel="0" collapsed="false">
      <c r="A542" s="60"/>
      <c r="B542" s="60" t="s">
        <v>3048</v>
      </c>
      <c r="C542" s="61"/>
      <c r="D542" s="60"/>
      <c r="E542" s="60"/>
      <c r="F542" s="60" t="s">
        <v>1194</v>
      </c>
      <c r="G542" s="60" t="s">
        <v>1194</v>
      </c>
      <c r="H542" s="60" t="s">
        <v>3043</v>
      </c>
      <c r="I542" s="60" t="s">
        <v>3044</v>
      </c>
      <c r="J542" s="60"/>
      <c r="K542" s="60" t="s">
        <v>3049</v>
      </c>
      <c r="L542" s="60" t="n">
        <v>1.1875</v>
      </c>
      <c r="M542" s="60" t="n">
        <v>250</v>
      </c>
      <c r="N542" s="60" t="s">
        <v>3046</v>
      </c>
      <c r="O542" s="60"/>
      <c r="P542" s="60"/>
      <c r="Q542" s="60"/>
      <c r="R542" s="60" t="n">
        <v>7</v>
      </c>
      <c r="S542" s="60" t="n">
        <v>0</v>
      </c>
      <c r="T542" s="61"/>
      <c r="U542" s="60"/>
      <c r="V542" s="60"/>
      <c r="W542" s="60" t="s">
        <v>3047</v>
      </c>
      <c r="X542" s="4"/>
      <c r="Y542" s="4"/>
      <c r="Z542" s="4"/>
    </row>
    <row r="543" customFormat="false" ht="15.75" hidden="false" customHeight="true" outlineLevel="0" collapsed="false">
      <c r="A543" s="60"/>
      <c r="B543" s="60" t="s">
        <v>3050</v>
      </c>
      <c r="C543" s="61"/>
      <c r="D543" s="60"/>
      <c r="E543" s="60"/>
      <c r="F543" s="60" t="s">
        <v>1194</v>
      </c>
      <c r="G543" s="60" t="s">
        <v>1194</v>
      </c>
      <c r="H543" s="60" t="s">
        <v>3043</v>
      </c>
      <c r="I543" s="60" t="s">
        <v>3044</v>
      </c>
      <c r="J543" s="60"/>
      <c r="K543" s="60" t="s">
        <v>3045</v>
      </c>
      <c r="L543" s="60" t="n">
        <v>1.1875</v>
      </c>
      <c r="M543" s="60" t="n">
        <v>50</v>
      </c>
      <c r="N543" s="60" t="s">
        <v>3046</v>
      </c>
      <c r="O543" s="60"/>
      <c r="P543" s="60"/>
      <c r="Q543" s="60"/>
      <c r="R543" s="60" t="n">
        <v>7</v>
      </c>
      <c r="S543" s="60" t="n">
        <v>0</v>
      </c>
      <c r="T543" s="61"/>
      <c r="U543" s="60"/>
      <c r="V543" s="60"/>
      <c r="W543" s="60" t="s">
        <v>3047</v>
      </c>
      <c r="X543" s="4"/>
      <c r="Y543" s="4"/>
      <c r="Z543" s="4"/>
    </row>
    <row r="544" customFormat="false" ht="15.75" hidden="false" customHeight="true" outlineLevel="0" collapsed="false">
      <c r="A544" s="60"/>
      <c r="B544" s="60" t="s">
        <v>3051</v>
      </c>
      <c r="C544" s="61"/>
      <c r="D544" s="60"/>
      <c r="E544" s="60"/>
      <c r="F544" s="60" t="s">
        <v>1194</v>
      </c>
      <c r="G544" s="60" t="s">
        <v>1194</v>
      </c>
      <c r="H544" s="60" t="s">
        <v>3043</v>
      </c>
      <c r="I544" s="60" t="s">
        <v>3044</v>
      </c>
      <c r="J544" s="60"/>
      <c r="K544" s="60" t="s">
        <v>3045</v>
      </c>
      <c r="L544" s="60" t="n">
        <v>1.1875</v>
      </c>
      <c r="M544" s="60" t="n">
        <v>50</v>
      </c>
      <c r="N544" s="60" t="s">
        <v>3046</v>
      </c>
      <c r="O544" s="60"/>
      <c r="P544" s="60"/>
      <c r="Q544" s="60"/>
      <c r="R544" s="60" t="n">
        <v>7</v>
      </c>
      <c r="S544" s="60" t="n">
        <v>0</v>
      </c>
      <c r="T544" s="61"/>
      <c r="U544" s="60"/>
      <c r="V544" s="60"/>
      <c r="W544" s="60" t="s">
        <v>3047</v>
      </c>
      <c r="X544" s="4"/>
      <c r="Y544" s="4"/>
      <c r="Z544" s="4"/>
    </row>
    <row r="545" customFormat="false" ht="15.75" hidden="false" customHeight="true" outlineLevel="0" collapsed="false">
      <c r="A545" s="60"/>
      <c r="B545" s="60" t="s">
        <v>3052</v>
      </c>
      <c r="C545" s="61"/>
      <c r="D545" s="60"/>
      <c r="E545" s="60"/>
      <c r="F545" s="60" t="s">
        <v>1194</v>
      </c>
      <c r="G545" s="60" t="s">
        <v>1194</v>
      </c>
      <c r="H545" s="60" t="s">
        <v>3043</v>
      </c>
      <c r="I545" s="60" t="s">
        <v>3044</v>
      </c>
      <c r="J545" s="60"/>
      <c r="K545" s="60" t="s">
        <v>3045</v>
      </c>
      <c r="L545" s="60" t="n">
        <v>1.1875</v>
      </c>
      <c r="M545" s="60" t="n">
        <v>50</v>
      </c>
      <c r="N545" s="60" t="s">
        <v>3046</v>
      </c>
      <c r="O545" s="60"/>
      <c r="P545" s="60"/>
      <c r="Q545" s="60"/>
      <c r="R545" s="60" t="n">
        <v>8</v>
      </c>
      <c r="S545" s="60" t="n">
        <v>0</v>
      </c>
      <c r="T545" s="61"/>
      <c r="U545" s="60"/>
      <c r="V545" s="60"/>
      <c r="W545" s="60" t="s">
        <v>3047</v>
      </c>
      <c r="X545" s="4"/>
      <c r="Y545" s="4"/>
      <c r="Z545" s="4"/>
    </row>
    <row r="546" customFormat="false" ht="15.75" hidden="false" customHeight="true" outlineLevel="0" collapsed="false">
      <c r="A546" s="60"/>
      <c r="B546" s="60" t="s">
        <v>3053</v>
      </c>
      <c r="C546" s="61"/>
      <c r="D546" s="60"/>
      <c r="E546" s="60"/>
      <c r="F546" s="60" t="s">
        <v>1194</v>
      </c>
      <c r="G546" s="60" t="s">
        <v>1194</v>
      </c>
      <c r="H546" s="60" t="s">
        <v>3043</v>
      </c>
      <c r="I546" s="60" t="s">
        <v>3054</v>
      </c>
      <c r="J546" s="60"/>
      <c r="K546" s="60" t="s">
        <v>3055</v>
      </c>
      <c r="L546" s="60" t="n">
        <v>22.5</v>
      </c>
      <c r="M546" s="60" t="n">
        <v>108</v>
      </c>
      <c r="N546" s="60" t="s">
        <v>3046</v>
      </c>
      <c r="O546" s="60"/>
      <c r="P546" s="60"/>
      <c r="Q546" s="60"/>
      <c r="R546" s="60" t="n">
        <v>10</v>
      </c>
      <c r="S546" s="60" t="n">
        <v>0</v>
      </c>
      <c r="T546" s="61"/>
      <c r="U546" s="60"/>
      <c r="V546" s="60"/>
      <c r="W546" s="60" t="s">
        <v>3047</v>
      </c>
      <c r="X546" s="4"/>
      <c r="Y546" s="4"/>
      <c r="Z546" s="4"/>
    </row>
    <row r="547" customFormat="false" ht="15.75" hidden="false" customHeight="true" outlineLevel="0" collapsed="false">
      <c r="A547" s="60"/>
      <c r="B547" s="60" t="s">
        <v>3056</v>
      </c>
      <c r="C547" s="61"/>
      <c r="D547" s="60"/>
      <c r="E547" s="60"/>
      <c r="F547" s="60" t="s">
        <v>1194</v>
      </c>
      <c r="G547" s="60" t="s">
        <v>1194</v>
      </c>
      <c r="H547" s="60" t="s">
        <v>3043</v>
      </c>
      <c r="I547" s="60" t="s">
        <v>3054</v>
      </c>
      <c r="J547" s="60"/>
      <c r="K547" s="60" t="s">
        <v>3055</v>
      </c>
      <c r="L547" s="60" t="n">
        <v>22.5</v>
      </c>
      <c r="M547" s="60" t="n">
        <v>108</v>
      </c>
      <c r="N547" s="60" t="s">
        <v>3046</v>
      </c>
      <c r="O547" s="60"/>
      <c r="P547" s="60"/>
      <c r="Q547" s="60"/>
      <c r="R547" s="60" t="n">
        <v>10</v>
      </c>
      <c r="S547" s="60" t="n">
        <v>0</v>
      </c>
      <c r="T547" s="61"/>
      <c r="U547" s="60"/>
      <c r="V547" s="60"/>
      <c r="W547" s="60" t="s">
        <v>3047</v>
      </c>
      <c r="X547" s="4"/>
      <c r="Y547" s="4"/>
      <c r="Z547" s="4"/>
    </row>
    <row r="548" customFormat="false" ht="15.75" hidden="false" customHeight="true" outlineLevel="0" collapsed="false">
      <c r="A548" s="60"/>
      <c r="B548" s="60" t="s">
        <v>3057</v>
      </c>
      <c r="C548" s="61"/>
      <c r="D548" s="60"/>
      <c r="E548" s="60"/>
      <c r="F548" s="60" t="s">
        <v>1194</v>
      </c>
      <c r="G548" s="60" t="s">
        <v>1194</v>
      </c>
      <c r="H548" s="60" t="s">
        <v>3043</v>
      </c>
      <c r="I548" s="60" t="s">
        <v>3054</v>
      </c>
      <c r="J548" s="60"/>
      <c r="K548" s="60" t="s">
        <v>3055</v>
      </c>
      <c r="L548" s="60" t="n">
        <v>22.5</v>
      </c>
      <c r="M548" s="60" t="n">
        <v>108</v>
      </c>
      <c r="N548" s="60" t="s">
        <v>3046</v>
      </c>
      <c r="O548" s="60"/>
      <c r="P548" s="60"/>
      <c r="Q548" s="60"/>
      <c r="R548" s="60" t="n">
        <v>18</v>
      </c>
      <c r="S548" s="60" t="n">
        <v>0</v>
      </c>
      <c r="T548" s="61"/>
      <c r="U548" s="60"/>
      <c r="V548" s="60"/>
      <c r="W548" s="60" t="s">
        <v>3047</v>
      </c>
      <c r="X548" s="4"/>
      <c r="Y548" s="4"/>
      <c r="Z548" s="4"/>
    </row>
    <row r="549" customFormat="false" ht="15.75" hidden="false" customHeight="true" outlineLevel="0" collapsed="false">
      <c r="A549" s="60"/>
      <c r="B549" s="60" t="s">
        <v>3058</v>
      </c>
      <c r="C549" s="61"/>
      <c r="D549" s="60"/>
      <c r="E549" s="60"/>
      <c r="F549" s="60" t="s">
        <v>1194</v>
      </c>
      <c r="G549" s="60" t="s">
        <v>1194</v>
      </c>
      <c r="H549" s="60" t="s">
        <v>3043</v>
      </c>
      <c r="I549" s="60" t="s">
        <v>3054</v>
      </c>
      <c r="J549" s="60"/>
      <c r="K549" s="60" t="s">
        <v>3055</v>
      </c>
      <c r="L549" s="60" t="n">
        <v>22.5</v>
      </c>
      <c r="M549" s="60" t="n">
        <v>108</v>
      </c>
      <c r="N549" s="60" t="s">
        <v>3046</v>
      </c>
      <c r="O549" s="60"/>
      <c r="P549" s="60"/>
      <c r="Q549" s="60"/>
      <c r="R549" s="60" t="n">
        <v>9</v>
      </c>
      <c r="S549" s="60" t="n">
        <v>0</v>
      </c>
      <c r="T549" s="61"/>
      <c r="U549" s="60"/>
      <c r="V549" s="60"/>
      <c r="W549" s="60" t="s">
        <v>3047</v>
      </c>
      <c r="X549" s="4"/>
      <c r="Y549" s="4"/>
      <c r="Z549" s="4"/>
    </row>
    <row r="550" customFormat="false" ht="15.75" hidden="false" customHeight="true" outlineLevel="0" collapsed="false">
      <c r="A550" s="60"/>
      <c r="B550" s="60" t="s">
        <v>3059</v>
      </c>
      <c r="C550" s="61"/>
      <c r="D550" s="60"/>
      <c r="E550" s="60"/>
      <c r="F550" s="60" t="s">
        <v>1194</v>
      </c>
      <c r="G550" s="60" t="s">
        <v>1194</v>
      </c>
      <c r="H550" s="60" t="s">
        <v>3043</v>
      </c>
      <c r="I550" s="60" t="s">
        <v>3054</v>
      </c>
      <c r="J550" s="60"/>
      <c r="K550" s="60" t="s">
        <v>3055</v>
      </c>
      <c r="L550" s="60" t="n">
        <v>22.5</v>
      </c>
      <c r="M550" s="60" t="n">
        <v>108</v>
      </c>
      <c r="N550" s="60" t="s">
        <v>3046</v>
      </c>
      <c r="O550" s="60"/>
      <c r="P550" s="60"/>
      <c r="Q550" s="60"/>
      <c r="R550" s="60" t="n">
        <v>10</v>
      </c>
      <c r="S550" s="60" t="n">
        <v>0</v>
      </c>
      <c r="T550" s="61"/>
      <c r="U550" s="60"/>
      <c r="V550" s="60"/>
      <c r="W550" s="60" t="s">
        <v>3047</v>
      </c>
      <c r="X550" s="4"/>
      <c r="Y550" s="4"/>
      <c r="Z550" s="4"/>
    </row>
    <row r="551" customFormat="false" ht="15.75" hidden="false" customHeight="true" outlineLevel="0" collapsed="false">
      <c r="A551" s="60"/>
      <c r="B551" s="60" t="s">
        <v>3060</v>
      </c>
      <c r="C551" s="61"/>
      <c r="D551" s="60"/>
      <c r="E551" s="60"/>
      <c r="F551" s="60" t="s">
        <v>1194</v>
      </c>
      <c r="G551" s="60" t="s">
        <v>1194</v>
      </c>
      <c r="H551" s="60" t="s">
        <v>3043</v>
      </c>
      <c r="I551" s="60" t="s">
        <v>3061</v>
      </c>
      <c r="J551" s="60"/>
      <c r="K551" s="60" t="s">
        <v>3062</v>
      </c>
      <c r="L551" s="60" t="n">
        <v>0.625</v>
      </c>
      <c r="M551" s="60" t="n">
        <v>12</v>
      </c>
      <c r="N551" s="60" t="s">
        <v>3046</v>
      </c>
      <c r="O551" s="60"/>
      <c r="P551" s="60"/>
      <c r="Q551" s="60"/>
      <c r="R551" s="60" t="n">
        <v>7</v>
      </c>
      <c r="S551" s="60" t="n">
        <v>0</v>
      </c>
      <c r="T551" s="61"/>
      <c r="U551" s="60"/>
      <c r="V551" s="60"/>
      <c r="W551" s="60" t="s">
        <v>3047</v>
      </c>
      <c r="X551" s="4"/>
      <c r="Y551" s="4"/>
      <c r="Z551" s="4"/>
    </row>
    <row r="552" customFormat="false" ht="15.75" hidden="false" customHeight="true" outlineLevel="0" collapsed="false">
      <c r="A552" s="60"/>
      <c r="B552" s="60" t="s">
        <v>3063</v>
      </c>
      <c r="C552" s="61"/>
      <c r="D552" s="60"/>
      <c r="E552" s="60"/>
      <c r="F552" s="60" t="s">
        <v>1194</v>
      </c>
      <c r="G552" s="60" t="s">
        <v>1194</v>
      </c>
      <c r="H552" s="60" t="s">
        <v>3043</v>
      </c>
      <c r="I552" s="60" t="s">
        <v>3061</v>
      </c>
      <c r="J552" s="60"/>
      <c r="K552" s="60" t="s">
        <v>3064</v>
      </c>
      <c r="L552" s="60" t="n">
        <v>0.625</v>
      </c>
      <c r="M552" s="60" t="n">
        <v>16</v>
      </c>
      <c r="N552" s="60" t="s">
        <v>3046</v>
      </c>
      <c r="O552" s="60"/>
      <c r="P552" s="60"/>
      <c r="Q552" s="60"/>
      <c r="R552" s="60" t="n">
        <v>7</v>
      </c>
      <c r="S552" s="60" t="n">
        <v>0</v>
      </c>
      <c r="T552" s="61"/>
      <c r="U552" s="60"/>
      <c r="V552" s="60"/>
      <c r="W552" s="60" t="s">
        <v>3047</v>
      </c>
      <c r="X552" s="4"/>
      <c r="Y552" s="4"/>
      <c r="Z552" s="4"/>
    </row>
    <row r="553" customFormat="false" ht="15.75" hidden="false" customHeight="true" outlineLevel="0" collapsed="false">
      <c r="A553" s="60"/>
      <c r="B553" s="60" t="s">
        <v>3065</v>
      </c>
      <c r="C553" s="61"/>
      <c r="D553" s="60"/>
      <c r="E553" s="60"/>
      <c r="F553" s="60" t="s">
        <v>1194</v>
      </c>
      <c r="G553" s="60" t="s">
        <v>1194</v>
      </c>
      <c r="H553" s="60" t="s">
        <v>3043</v>
      </c>
      <c r="I553" s="60" t="s">
        <v>3066</v>
      </c>
      <c r="J553" s="60"/>
      <c r="K553" s="60" t="s">
        <v>3067</v>
      </c>
      <c r="L553" s="60" t="n">
        <v>0.5</v>
      </c>
      <c r="M553" s="60" t="n">
        <v>4</v>
      </c>
      <c r="N553" s="60" t="s">
        <v>3046</v>
      </c>
      <c r="O553" s="60"/>
      <c r="P553" s="60"/>
      <c r="Q553" s="60"/>
      <c r="R553" s="60" t="n">
        <v>11</v>
      </c>
      <c r="S553" s="60" t="n">
        <v>0</v>
      </c>
      <c r="T553" s="61"/>
      <c r="U553" s="60"/>
      <c r="V553" s="60"/>
      <c r="W553" s="60" t="s">
        <v>3047</v>
      </c>
      <c r="X553" s="4"/>
      <c r="Y553" s="4"/>
      <c r="Z553" s="4"/>
    </row>
    <row r="554" customFormat="false" ht="15.75" hidden="false" customHeight="true" outlineLevel="0" collapsed="false">
      <c r="A554" s="60"/>
      <c r="B554" s="60" t="s">
        <v>3068</v>
      </c>
      <c r="C554" s="61"/>
      <c r="D554" s="60"/>
      <c r="E554" s="60"/>
      <c r="F554" s="60" t="s">
        <v>1194</v>
      </c>
      <c r="G554" s="60" t="s">
        <v>1194</v>
      </c>
      <c r="H554" s="60" t="s">
        <v>3043</v>
      </c>
      <c r="I554" s="60" t="s">
        <v>3066</v>
      </c>
      <c r="J554" s="60"/>
      <c r="K554" s="60" t="s">
        <v>3067</v>
      </c>
      <c r="L554" s="60" t="n">
        <v>0.5</v>
      </c>
      <c r="M554" s="60" t="n">
        <v>4</v>
      </c>
      <c r="N554" s="60" t="s">
        <v>3046</v>
      </c>
      <c r="O554" s="60"/>
      <c r="P554" s="60"/>
      <c r="Q554" s="60"/>
      <c r="R554" s="60" t="n">
        <v>7</v>
      </c>
      <c r="S554" s="60" t="n">
        <v>0</v>
      </c>
      <c r="T554" s="61"/>
      <c r="U554" s="60"/>
      <c r="V554" s="60"/>
      <c r="W554" s="60" t="s">
        <v>3047</v>
      </c>
      <c r="X554" s="4"/>
      <c r="Y554" s="4"/>
      <c r="Z554" s="4"/>
    </row>
    <row r="555" customFormat="false" ht="15.75" hidden="false" customHeight="true" outlineLevel="0" collapsed="false">
      <c r="A555" s="60"/>
      <c r="B555" s="60" t="s">
        <v>3069</v>
      </c>
      <c r="C555" s="61"/>
      <c r="D555" s="60"/>
      <c r="E555" s="60"/>
      <c r="F555" s="60" t="s">
        <v>1194</v>
      </c>
      <c r="G555" s="60" t="s">
        <v>1194</v>
      </c>
      <c r="H555" s="60" t="s">
        <v>3043</v>
      </c>
      <c r="I555" s="60" t="s">
        <v>3066</v>
      </c>
      <c r="J555" s="60"/>
      <c r="K555" s="60" t="s">
        <v>3067</v>
      </c>
      <c r="L555" s="60" t="n">
        <v>0.5</v>
      </c>
      <c r="M555" s="60" t="n">
        <v>4</v>
      </c>
      <c r="N555" s="60" t="s">
        <v>3046</v>
      </c>
      <c r="O555" s="60"/>
      <c r="P555" s="60"/>
      <c r="Q555" s="60"/>
      <c r="R555" s="60" t="n">
        <v>9</v>
      </c>
      <c r="S555" s="60" t="n">
        <v>0</v>
      </c>
      <c r="T555" s="61"/>
      <c r="U555" s="60"/>
      <c r="V555" s="60"/>
      <c r="W555" s="60" t="s">
        <v>3047</v>
      </c>
      <c r="X555" s="4"/>
      <c r="Y555" s="4"/>
      <c r="Z555" s="4"/>
    </row>
    <row r="556" customFormat="false" ht="15.75" hidden="false" customHeight="true" outlineLevel="0" collapsed="false">
      <c r="A556" s="60"/>
      <c r="B556" s="60" t="s">
        <v>3070</v>
      </c>
      <c r="C556" s="61"/>
      <c r="D556" s="60"/>
      <c r="E556" s="60"/>
      <c r="F556" s="60" t="s">
        <v>1194</v>
      </c>
      <c r="G556" s="60" t="s">
        <v>1194</v>
      </c>
      <c r="H556" s="60" t="s">
        <v>3043</v>
      </c>
      <c r="I556" s="60" t="s">
        <v>3066</v>
      </c>
      <c r="J556" s="60"/>
      <c r="K556" s="60" t="s">
        <v>3067</v>
      </c>
      <c r="L556" s="60" t="n">
        <v>0.5</v>
      </c>
      <c r="M556" s="60" t="n">
        <v>4</v>
      </c>
      <c r="N556" s="60" t="s">
        <v>3046</v>
      </c>
      <c r="O556" s="60"/>
      <c r="P556" s="60"/>
      <c r="Q556" s="60"/>
      <c r="R556" s="60" t="n">
        <v>7</v>
      </c>
      <c r="S556" s="60" t="n">
        <v>0</v>
      </c>
      <c r="T556" s="61"/>
      <c r="U556" s="60"/>
      <c r="V556" s="60"/>
      <c r="W556" s="60" t="s">
        <v>3047</v>
      </c>
      <c r="X556" s="4"/>
      <c r="Y556" s="4"/>
      <c r="Z556" s="4"/>
    </row>
    <row r="557" customFormat="false" ht="15.75" hidden="false" customHeight="true" outlineLevel="0" collapsed="false">
      <c r="A557" s="60"/>
      <c r="B557" s="60" t="s">
        <v>3071</v>
      </c>
      <c r="C557" s="61"/>
      <c r="D557" s="60"/>
      <c r="E557" s="60"/>
      <c r="F557" s="60" t="s">
        <v>1194</v>
      </c>
      <c r="G557" s="60" t="s">
        <v>1194</v>
      </c>
      <c r="H557" s="60" t="s">
        <v>3043</v>
      </c>
      <c r="I557" s="60" t="s">
        <v>3066</v>
      </c>
      <c r="J557" s="60"/>
      <c r="K557" s="60" t="s">
        <v>3067</v>
      </c>
      <c r="L557" s="60" t="n">
        <v>0.5</v>
      </c>
      <c r="M557" s="60" t="n">
        <v>4</v>
      </c>
      <c r="N557" s="60" t="s">
        <v>3046</v>
      </c>
      <c r="O557" s="60"/>
      <c r="P557" s="60"/>
      <c r="Q557" s="60"/>
      <c r="R557" s="60" t="n">
        <v>9</v>
      </c>
      <c r="S557" s="60" t="n">
        <v>0</v>
      </c>
      <c r="T557" s="61"/>
      <c r="U557" s="60"/>
      <c r="V557" s="60"/>
      <c r="W557" s="60" t="s">
        <v>3047</v>
      </c>
      <c r="X557" s="4"/>
      <c r="Y557" s="4"/>
      <c r="Z557" s="4"/>
    </row>
    <row r="558" customFormat="false" ht="15.75" hidden="false" customHeight="true" outlineLevel="0" collapsed="false">
      <c r="A558" s="60"/>
      <c r="B558" s="60" t="s">
        <v>3072</v>
      </c>
      <c r="C558" s="61"/>
      <c r="D558" s="60"/>
      <c r="E558" s="60"/>
      <c r="F558" s="60" t="s">
        <v>1194</v>
      </c>
      <c r="G558" s="60" t="s">
        <v>1194</v>
      </c>
      <c r="H558" s="60" t="s">
        <v>3043</v>
      </c>
      <c r="I558" s="60" t="s">
        <v>3066</v>
      </c>
      <c r="J558" s="60"/>
      <c r="K558" s="60" t="s">
        <v>3067</v>
      </c>
      <c r="L558" s="60" t="n">
        <v>0.5</v>
      </c>
      <c r="M558" s="60" t="n">
        <v>4</v>
      </c>
      <c r="N558" s="60" t="s">
        <v>3046</v>
      </c>
      <c r="O558" s="60"/>
      <c r="P558" s="60"/>
      <c r="Q558" s="60"/>
      <c r="R558" s="60" t="n">
        <v>9</v>
      </c>
      <c r="S558" s="60" t="n">
        <v>0</v>
      </c>
      <c r="T558" s="61"/>
      <c r="U558" s="60"/>
      <c r="V558" s="60"/>
      <c r="W558" s="60" t="s">
        <v>3047</v>
      </c>
      <c r="X558" s="4"/>
      <c r="Y558" s="4"/>
      <c r="Z558" s="4"/>
    </row>
    <row r="559" customFormat="false" ht="15.75" hidden="false" customHeight="true" outlineLevel="0" collapsed="false">
      <c r="A559" s="60"/>
      <c r="B559" s="60" t="s">
        <v>3073</v>
      </c>
      <c r="C559" s="61"/>
      <c r="D559" s="60"/>
      <c r="E559" s="60"/>
      <c r="F559" s="60" t="s">
        <v>1194</v>
      </c>
      <c r="G559" s="60" t="s">
        <v>1194</v>
      </c>
      <c r="H559" s="60" t="s">
        <v>3043</v>
      </c>
      <c r="I559" s="60" t="s">
        <v>3066</v>
      </c>
      <c r="J559" s="60"/>
      <c r="K559" s="60" t="s">
        <v>3067</v>
      </c>
      <c r="L559" s="60" t="n">
        <v>0.5</v>
      </c>
      <c r="M559" s="60" t="n">
        <v>4</v>
      </c>
      <c r="N559" s="60" t="s">
        <v>3046</v>
      </c>
      <c r="O559" s="60"/>
      <c r="P559" s="60"/>
      <c r="Q559" s="60"/>
      <c r="R559" s="60" t="n">
        <v>11</v>
      </c>
      <c r="S559" s="60" t="n">
        <v>0</v>
      </c>
      <c r="T559" s="61"/>
      <c r="U559" s="60"/>
      <c r="V559" s="60"/>
      <c r="W559" s="60" t="s">
        <v>3047</v>
      </c>
      <c r="X559" s="4"/>
      <c r="Y559" s="4"/>
      <c r="Z559" s="4"/>
    </row>
    <row r="560" customFormat="false" ht="15.75" hidden="false" customHeight="true" outlineLevel="0" collapsed="false">
      <c r="A560" s="60"/>
      <c r="B560" s="60" t="s">
        <v>3074</v>
      </c>
      <c r="C560" s="61"/>
      <c r="D560" s="60"/>
      <c r="E560" s="60"/>
      <c r="F560" s="60" t="s">
        <v>1194</v>
      </c>
      <c r="G560" s="60" t="s">
        <v>1194</v>
      </c>
      <c r="H560" s="60" t="s">
        <v>3043</v>
      </c>
      <c r="I560" s="60" t="s">
        <v>3066</v>
      </c>
      <c r="J560" s="60"/>
      <c r="K560" s="60"/>
      <c r="L560" s="60"/>
      <c r="M560" s="60"/>
      <c r="N560" s="60" t="s">
        <v>3046</v>
      </c>
      <c r="O560" s="60"/>
      <c r="P560" s="60"/>
      <c r="Q560" s="60"/>
      <c r="R560" s="60" t="n">
        <v>9</v>
      </c>
      <c r="S560" s="60" t="n">
        <v>0</v>
      </c>
      <c r="T560" s="61"/>
      <c r="U560" s="60"/>
      <c r="V560" s="60"/>
      <c r="W560" s="60" t="s">
        <v>3075</v>
      </c>
      <c r="X560" s="4"/>
      <c r="Y560" s="4"/>
      <c r="Z560" s="4"/>
    </row>
    <row r="561" customFormat="false" ht="15.75" hidden="false" customHeight="true" outlineLevel="0" collapsed="false">
      <c r="A561" s="60"/>
      <c r="B561" s="60" t="s">
        <v>3076</v>
      </c>
      <c r="C561" s="61"/>
      <c r="D561" s="60"/>
      <c r="E561" s="60"/>
      <c r="F561" s="60" t="s">
        <v>1194</v>
      </c>
      <c r="G561" s="60" t="s">
        <v>1194</v>
      </c>
      <c r="H561" s="60" t="s">
        <v>3043</v>
      </c>
      <c r="I561" s="60" t="s">
        <v>3066</v>
      </c>
      <c r="J561" s="60"/>
      <c r="K561" s="60" t="s">
        <v>3077</v>
      </c>
      <c r="L561" s="60" t="n">
        <v>0.25</v>
      </c>
      <c r="M561" s="60" t="n">
        <v>4</v>
      </c>
      <c r="N561" s="60" t="s">
        <v>3046</v>
      </c>
      <c r="O561" s="60"/>
      <c r="P561" s="60"/>
      <c r="Q561" s="60"/>
      <c r="R561" s="60" t="n">
        <v>9</v>
      </c>
      <c r="S561" s="60" t="n">
        <v>0</v>
      </c>
      <c r="T561" s="61"/>
      <c r="U561" s="60"/>
      <c r="V561" s="60"/>
      <c r="W561" s="60" t="s">
        <v>3047</v>
      </c>
      <c r="X561" s="4"/>
      <c r="Y561" s="4"/>
      <c r="Z561" s="4"/>
    </row>
    <row r="562" customFormat="false" ht="15.75" hidden="false" customHeight="true" outlineLevel="0" collapsed="false">
      <c r="A562" s="60"/>
      <c r="B562" s="60" t="s">
        <v>3078</v>
      </c>
      <c r="C562" s="61"/>
      <c r="D562" s="60"/>
      <c r="E562" s="60"/>
      <c r="F562" s="60" t="s">
        <v>1194</v>
      </c>
      <c r="G562" s="60" t="s">
        <v>1194</v>
      </c>
      <c r="H562" s="60" t="s">
        <v>3043</v>
      </c>
      <c r="I562" s="60" t="s">
        <v>3066</v>
      </c>
      <c r="J562" s="60"/>
      <c r="K562" s="60" t="s">
        <v>3077</v>
      </c>
      <c r="L562" s="60" t="n">
        <v>0.25</v>
      </c>
      <c r="M562" s="60" t="n">
        <v>4</v>
      </c>
      <c r="N562" s="60" t="s">
        <v>3046</v>
      </c>
      <c r="O562" s="60"/>
      <c r="P562" s="60"/>
      <c r="Q562" s="60"/>
      <c r="R562" s="60" t="n">
        <v>7</v>
      </c>
      <c r="S562" s="60" t="n">
        <v>0</v>
      </c>
      <c r="T562" s="61"/>
      <c r="U562" s="60"/>
      <c r="V562" s="60"/>
      <c r="W562" s="60" t="s">
        <v>3047</v>
      </c>
      <c r="X562" s="4"/>
      <c r="Y562" s="4"/>
      <c r="Z562" s="4"/>
    </row>
    <row r="563" customFormat="false" ht="15.75" hidden="false" customHeight="true" outlineLevel="0" collapsed="false">
      <c r="A563" s="60"/>
      <c r="B563" s="60" t="s">
        <v>3079</v>
      </c>
      <c r="C563" s="61"/>
      <c r="D563" s="60"/>
      <c r="E563" s="60"/>
      <c r="F563" s="60" t="s">
        <v>1194</v>
      </c>
      <c r="G563" s="60" t="s">
        <v>1194</v>
      </c>
      <c r="H563" s="60" t="s">
        <v>3043</v>
      </c>
      <c r="I563" s="60" t="s">
        <v>3066</v>
      </c>
      <c r="J563" s="60"/>
      <c r="K563" s="60"/>
      <c r="L563" s="60"/>
      <c r="M563" s="60"/>
      <c r="N563" s="60" t="s">
        <v>3046</v>
      </c>
      <c r="O563" s="60"/>
      <c r="P563" s="60"/>
      <c r="Q563" s="60"/>
      <c r="R563" s="60" t="n">
        <v>10</v>
      </c>
      <c r="S563" s="60" t="n">
        <v>0</v>
      </c>
      <c r="T563" s="61"/>
      <c r="U563" s="60"/>
      <c r="V563" s="60"/>
      <c r="W563" s="60" t="s">
        <v>3075</v>
      </c>
      <c r="X563" s="4"/>
      <c r="Y563" s="4"/>
      <c r="Z563" s="4"/>
    </row>
    <row r="564" customFormat="false" ht="15.75" hidden="false" customHeight="true" outlineLevel="0" collapsed="false">
      <c r="A564" s="60"/>
      <c r="B564" s="60" t="s">
        <v>3080</v>
      </c>
      <c r="C564" s="61"/>
      <c r="D564" s="60"/>
      <c r="E564" s="60"/>
      <c r="F564" s="60" t="s">
        <v>1194</v>
      </c>
      <c r="G564" s="60" t="s">
        <v>1194</v>
      </c>
      <c r="H564" s="60" t="s">
        <v>3043</v>
      </c>
      <c r="I564" s="60" t="s">
        <v>3066</v>
      </c>
      <c r="J564" s="60"/>
      <c r="K564" s="60"/>
      <c r="L564" s="60"/>
      <c r="M564" s="60"/>
      <c r="N564" s="60" t="s">
        <v>3046</v>
      </c>
      <c r="O564" s="60"/>
      <c r="P564" s="60"/>
      <c r="Q564" s="60"/>
      <c r="R564" s="60" t="n">
        <v>11</v>
      </c>
      <c r="S564" s="60" t="n">
        <v>0</v>
      </c>
      <c r="T564" s="61"/>
      <c r="U564" s="60"/>
      <c r="V564" s="60"/>
      <c r="W564" s="60" t="s">
        <v>3075</v>
      </c>
      <c r="X564" s="4"/>
      <c r="Y564" s="4"/>
      <c r="Z564" s="4"/>
    </row>
    <row r="565" customFormat="false" ht="15.75" hidden="false" customHeight="true" outlineLevel="0" collapsed="false">
      <c r="A565" s="60"/>
      <c r="B565" s="60" t="s">
        <v>3081</v>
      </c>
      <c r="C565" s="61"/>
      <c r="D565" s="60"/>
      <c r="E565" s="60"/>
      <c r="F565" s="60" t="s">
        <v>1194</v>
      </c>
      <c r="G565" s="60" t="s">
        <v>1194</v>
      </c>
      <c r="H565" s="60" t="s">
        <v>3043</v>
      </c>
      <c r="I565" s="60" t="s">
        <v>3066</v>
      </c>
      <c r="J565" s="60"/>
      <c r="K565" s="60" t="s">
        <v>3082</v>
      </c>
      <c r="L565" s="60" t="n">
        <v>0.125</v>
      </c>
      <c r="M565" s="60" t="n">
        <v>4</v>
      </c>
      <c r="N565" s="60" t="s">
        <v>3046</v>
      </c>
      <c r="O565" s="60"/>
      <c r="P565" s="60"/>
      <c r="Q565" s="60"/>
      <c r="R565" s="60" t="n">
        <v>10</v>
      </c>
      <c r="S565" s="60" t="n">
        <v>0</v>
      </c>
      <c r="T565" s="61"/>
      <c r="U565" s="60"/>
      <c r="V565" s="60"/>
      <c r="W565" s="60" t="s">
        <v>3047</v>
      </c>
      <c r="X565" s="4"/>
      <c r="Y565" s="4"/>
      <c r="Z565" s="4"/>
    </row>
    <row r="566" customFormat="false" ht="15.75" hidden="false" customHeight="true" outlineLevel="0" collapsed="false">
      <c r="A566" s="60"/>
      <c r="B566" s="60" t="s">
        <v>3083</v>
      </c>
      <c r="C566" s="61"/>
      <c r="D566" s="60"/>
      <c r="E566" s="60"/>
      <c r="F566" s="60" t="s">
        <v>1194</v>
      </c>
      <c r="G566" s="60" t="s">
        <v>1194</v>
      </c>
      <c r="H566" s="60" t="s">
        <v>3043</v>
      </c>
      <c r="I566" s="60" t="s">
        <v>3066</v>
      </c>
      <c r="J566" s="60"/>
      <c r="K566" s="60" t="s">
        <v>3084</v>
      </c>
      <c r="L566" s="60" t="n">
        <v>1.0312</v>
      </c>
      <c r="M566" s="60" t="n">
        <v>4</v>
      </c>
      <c r="N566" s="60" t="s">
        <v>3046</v>
      </c>
      <c r="O566" s="60"/>
      <c r="P566" s="60"/>
      <c r="Q566" s="60"/>
      <c r="R566" s="60" t="n">
        <v>11</v>
      </c>
      <c r="S566" s="60" t="n">
        <v>0</v>
      </c>
      <c r="T566" s="61"/>
      <c r="U566" s="60"/>
      <c r="V566" s="60"/>
      <c r="W566" s="60" t="s">
        <v>3047</v>
      </c>
      <c r="X566" s="4"/>
      <c r="Y566" s="4"/>
      <c r="Z566" s="4"/>
    </row>
    <row r="567" customFormat="false" ht="15.75" hidden="false" customHeight="true" outlineLevel="0" collapsed="false">
      <c r="A567" s="60"/>
      <c r="B567" s="60" t="s">
        <v>3085</v>
      </c>
      <c r="C567" s="61"/>
      <c r="D567" s="60"/>
      <c r="E567" s="60"/>
      <c r="F567" s="60" t="s">
        <v>1194</v>
      </c>
      <c r="G567" s="60" t="s">
        <v>1194</v>
      </c>
      <c r="H567" s="60" t="s">
        <v>3043</v>
      </c>
      <c r="I567" s="60" t="s">
        <v>3066</v>
      </c>
      <c r="J567" s="60"/>
      <c r="K567" s="60"/>
      <c r="L567" s="60"/>
      <c r="M567" s="60"/>
      <c r="N567" s="60" t="s">
        <v>3046</v>
      </c>
      <c r="O567" s="60"/>
      <c r="P567" s="60"/>
      <c r="Q567" s="60"/>
      <c r="R567" s="60" t="n">
        <v>9</v>
      </c>
      <c r="S567" s="60" t="n">
        <v>0</v>
      </c>
      <c r="T567" s="61"/>
      <c r="U567" s="60"/>
      <c r="V567" s="60"/>
      <c r="W567" s="60" t="s">
        <v>3075</v>
      </c>
      <c r="X567" s="4"/>
      <c r="Y567" s="4"/>
      <c r="Z567" s="4"/>
    </row>
    <row r="568" customFormat="false" ht="15.75" hidden="false" customHeight="true" outlineLevel="0" collapsed="false">
      <c r="A568" s="60"/>
      <c r="B568" s="60" t="s">
        <v>3086</v>
      </c>
      <c r="C568" s="61"/>
      <c r="D568" s="60"/>
      <c r="E568" s="60"/>
      <c r="F568" s="60" t="s">
        <v>1194</v>
      </c>
      <c r="G568" s="60" t="s">
        <v>1194</v>
      </c>
      <c r="H568" s="60" t="s">
        <v>3043</v>
      </c>
      <c r="I568" s="60" t="s">
        <v>3066</v>
      </c>
      <c r="J568" s="60"/>
      <c r="K568" s="60" t="s">
        <v>3087</v>
      </c>
      <c r="L568" s="60" t="n">
        <v>1.25</v>
      </c>
      <c r="M568" s="60" t="n">
        <v>2</v>
      </c>
      <c r="N568" s="60" t="s">
        <v>3046</v>
      </c>
      <c r="O568" s="60"/>
      <c r="P568" s="60"/>
      <c r="Q568" s="60"/>
      <c r="R568" s="60" t="n">
        <v>8</v>
      </c>
      <c r="S568" s="60" t="n">
        <v>0</v>
      </c>
      <c r="T568" s="61"/>
      <c r="U568" s="60"/>
      <c r="V568" s="60"/>
      <c r="W568" s="60" t="s">
        <v>3047</v>
      </c>
      <c r="X568" s="4"/>
      <c r="Y568" s="4"/>
      <c r="Z568" s="4"/>
    </row>
    <row r="569" customFormat="false" ht="15.75" hidden="false" customHeight="true" outlineLevel="0" collapsed="false">
      <c r="A569" s="60"/>
      <c r="B569" s="60" t="s">
        <v>3088</v>
      </c>
      <c r="C569" s="61"/>
      <c r="D569" s="60"/>
      <c r="E569" s="60"/>
      <c r="F569" s="60" t="s">
        <v>1194</v>
      </c>
      <c r="G569" s="60" t="s">
        <v>1194</v>
      </c>
      <c r="H569" s="60" t="s">
        <v>3043</v>
      </c>
      <c r="I569" s="60" t="s">
        <v>3066</v>
      </c>
      <c r="J569" s="60"/>
      <c r="K569" s="60" t="s">
        <v>3089</v>
      </c>
      <c r="L569" s="60" t="n">
        <v>0.75</v>
      </c>
      <c r="M569" s="60" t="n">
        <v>4</v>
      </c>
      <c r="N569" s="60" t="s">
        <v>3046</v>
      </c>
      <c r="O569" s="60"/>
      <c r="P569" s="60"/>
      <c r="Q569" s="60"/>
      <c r="R569" s="60" t="n">
        <v>11</v>
      </c>
      <c r="S569" s="60" t="n">
        <v>0</v>
      </c>
      <c r="T569" s="61"/>
      <c r="U569" s="60"/>
      <c r="V569" s="60"/>
      <c r="W569" s="60" t="s">
        <v>3047</v>
      </c>
      <c r="X569" s="4"/>
      <c r="Y569" s="4"/>
      <c r="Z569" s="4"/>
    </row>
    <row r="570" customFormat="false" ht="15.75" hidden="false" customHeight="true" outlineLevel="0" collapsed="false">
      <c r="A570" s="60"/>
      <c r="B570" s="60" t="s">
        <v>3090</v>
      </c>
      <c r="C570" s="61"/>
      <c r="D570" s="60"/>
      <c r="E570" s="60"/>
      <c r="F570" s="60" t="s">
        <v>1194</v>
      </c>
      <c r="G570" s="60" t="s">
        <v>1194</v>
      </c>
      <c r="H570" s="60" t="s">
        <v>3043</v>
      </c>
      <c r="I570" s="60" t="s">
        <v>3066</v>
      </c>
      <c r="J570" s="60"/>
      <c r="K570" s="60" t="s">
        <v>3089</v>
      </c>
      <c r="L570" s="60" t="n">
        <v>0.75</v>
      </c>
      <c r="M570" s="60" t="n">
        <v>4</v>
      </c>
      <c r="N570" s="60" t="s">
        <v>3046</v>
      </c>
      <c r="O570" s="60"/>
      <c r="P570" s="60"/>
      <c r="Q570" s="60"/>
      <c r="R570" s="60" t="n">
        <v>7</v>
      </c>
      <c r="S570" s="60" t="n">
        <v>0</v>
      </c>
      <c r="T570" s="61"/>
      <c r="U570" s="60"/>
      <c r="V570" s="60"/>
      <c r="W570" s="60" t="s">
        <v>3047</v>
      </c>
      <c r="X570" s="4"/>
      <c r="Y570" s="4"/>
      <c r="Z570" s="4"/>
    </row>
    <row r="571" customFormat="false" ht="15.75" hidden="false" customHeight="true" outlineLevel="0" collapsed="false">
      <c r="A571" s="60"/>
      <c r="B571" s="60" t="s">
        <v>3091</v>
      </c>
      <c r="C571" s="61"/>
      <c r="D571" s="60"/>
      <c r="E571" s="60"/>
      <c r="F571" s="60" t="s">
        <v>1194</v>
      </c>
      <c r="G571" s="60" t="s">
        <v>1194</v>
      </c>
      <c r="H571" s="60" t="s">
        <v>3043</v>
      </c>
      <c r="I571" s="60" t="s">
        <v>3066</v>
      </c>
      <c r="J571" s="60"/>
      <c r="K571" s="60" t="s">
        <v>3092</v>
      </c>
      <c r="L571" s="60" t="n">
        <v>0.75</v>
      </c>
      <c r="M571" s="60" t="n">
        <v>24</v>
      </c>
      <c r="N571" s="60" t="s">
        <v>3046</v>
      </c>
      <c r="O571" s="60"/>
      <c r="P571" s="60"/>
      <c r="Q571" s="60"/>
      <c r="R571" s="60" t="n">
        <v>7</v>
      </c>
      <c r="S571" s="60" t="n">
        <v>0</v>
      </c>
      <c r="T571" s="61"/>
      <c r="U571" s="60"/>
      <c r="V571" s="60"/>
      <c r="W571" s="60" t="s">
        <v>3047</v>
      </c>
      <c r="X571" s="4"/>
      <c r="Y571" s="4"/>
      <c r="Z571" s="4"/>
    </row>
    <row r="572" customFormat="false" ht="15.75" hidden="false" customHeight="true" outlineLevel="0" collapsed="false">
      <c r="A572" s="60"/>
      <c r="B572" s="60" t="s">
        <v>3093</v>
      </c>
      <c r="C572" s="61"/>
      <c r="D572" s="60"/>
      <c r="E572" s="60"/>
      <c r="F572" s="60" t="s">
        <v>1194</v>
      </c>
      <c r="G572" s="60" t="s">
        <v>1194</v>
      </c>
      <c r="H572" s="60" t="s">
        <v>3043</v>
      </c>
      <c r="I572" s="60" t="s">
        <v>3066</v>
      </c>
      <c r="J572" s="60"/>
      <c r="K572" s="60" t="s">
        <v>3089</v>
      </c>
      <c r="L572" s="60" t="n">
        <v>0.75</v>
      </c>
      <c r="M572" s="60" t="n">
        <v>4</v>
      </c>
      <c r="N572" s="60" t="s">
        <v>3046</v>
      </c>
      <c r="O572" s="60"/>
      <c r="P572" s="60"/>
      <c r="Q572" s="60"/>
      <c r="R572" s="60" t="n">
        <v>9</v>
      </c>
      <c r="S572" s="60" t="n">
        <v>0</v>
      </c>
      <c r="T572" s="61"/>
      <c r="U572" s="60"/>
      <c r="V572" s="60"/>
      <c r="W572" s="60" t="s">
        <v>3047</v>
      </c>
      <c r="X572" s="4"/>
      <c r="Y572" s="4"/>
      <c r="Z572" s="4"/>
    </row>
    <row r="573" customFormat="false" ht="15.75" hidden="false" customHeight="true" outlineLevel="0" collapsed="false">
      <c r="A573" s="60"/>
      <c r="B573" s="60" t="s">
        <v>3094</v>
      </c>
      <c r="C573" s="61"/>
      <c r="D573" s="60"/>
      <c r="E573" s="60"/>
      <c r="F573" s="60" t="s">
        <v>1194</v>
      </c>
      <c r="G573" s="60" t="s">
        <v>1194</v>
      </c>
      <c r="H573" s="60" t="s">
        <v>3043</v>
      </c>
      <c r="I573" s="60" t="s">
        <v>3066</v>
      </c>
      <c r="J573" s="60"/>
      <c r="K573" s="60" t="s">
        <v>3089</v>
      </c>
      <c r="L573" s="60" t="n">
        <v>0.75</v>
      </c>
      <c r="M573" s="60" t="n">
        <v>4</v>
      </c>
      <c r="N573" s="60" t="s">
        <v>3046</v>
      </c>
      <c r="O573" s="60"/>
      <c r="P573" s="60"/>
      <c r="Q573" s="60"/>
      <c r="R573" s="60" t="n">
        <v>7</v>
      </c>
      <c r="S573" s="60" t="n">
        <v>0</v>
      </c>
      <c r="T573" s="61"/>
      <c r="U573" s="60"/>
      <c r="V573" s="60"/>
      <c r="W573" s="60" t="s">
        <v>3047</v>
      </c>
      <c r="X573" s="4"/>
      <c r="Y573" s="4"/>
      <c r="Z573" s="4"/>
    </row>
    <row r="574" customFormat="false" ht="15.75" hidden="false" customHeight="true" outlineLevel="0" collapsed="false">
      <c r="A574" s="60"/>
      <c r="B574" s="60" t="s">
        <v>3095</v>
      </c>
      <c r="C574" s="61"/>
      <c r="D574" s="60"/>
      <c r="E574" s="60"/>
      <c r="F574" s="60" t="s">
        <v>1194</v>
      </c>
      <c r="G574" s="60" t="s">
        <v>1194</v>
      </c>
      <c r="H574" s="60" t="s">
        <v>3043</v>
      </c>
      <c r="I574" s="60" t="s">
        <v>3066</v>
      </c>
      <c r="J574" s="60"/>
      <c r="K574" s="60" t="s">
        <v>3089</v>
      </c>
      <c r="L574" s="60" t="n">
        <v>0.75</v>
      </c>
      <c r="M574" s="60" t="n">
        <v>4</v>
      </c>
      <c r="N574" s="60" t="s">
        <v>3046</v>
      </c>
      <c r="O574" s="60"/>
      <c r="P574" s="60"/>
      <c r="Q574" s="60"/>
      <c r="R574" s="60" t="n">
        <v>7</v>
      </c>
      <c r="S574" s="60" t="n">
        <v>0</v>
      </c>
      <c r="T574" s="61"/>
      <c r="U574" s="60"/>
      <c r="V574" s="60"/>
      <c r="W574" s="60" t="s">
        <v>3047</v>
      </c>
      <c r="X574" s="4"/>
      <c r="Y574" s="4"/>
      <c r="Z574" s="4"/>
    </row>
    <row r="575" customFormat="false" ht="15.75" hidden="false" customHeight="true" outlineLevel="0" collapsed="false">
      <c r="A575" s="60"/>
      <c r="B575" s="60" t="s">
        <v>3096</v>
      </c>
      <c r="C575" s="61"/>
      <c r="D575" s="60"/>
      <c r="E575" s="60"/>
      <c r="F575" s="60" t="s">
        <v>1194</v>
      </c>
      <c r="G575" s="60" t="s">
        <v>1194</v>
      </c>
      <c r="H575" s="60" t="s">
        <v>3043</v>
      </c>
      <c r="I575" s="60" t="s">
        <v>3066</v>
      </c>
      <c r="J575" s="60"/>
      <c r="K575" s="60"/>
      <c r="L575" s="60"/>
      <c r="M575" s="60"/>
      <c r="N575" s="60" t="s">
        <v>3046</v>
      </c>
      <c r="O575" s="60"/>
      <c r="P575" s="60"/>
      <c r="Q575" s="60"/>
      <c r="R575" s="60" t="n">
        <v>13</v>
      </c>
      <c r="S575" s="60" t="n">
        <v>0</v>
      </c>
      <c r="T575" s="61"/>
      <c r="U575" s="60"/>
      <c r="V575" s="60"/>
      <c r="W575" s="60" t="s">
        <v>3075</v>
      </c>
      <c r="X575" s="4"/>
      <c r="Y575" s="4"/>
      <c r="Z575" s="4"/>
    </row>
    <row r="576" customFormat="false" ht="15.75" hidden="false" customHeight="true" outlineLevel="0" collapsed="false">
      <c r="A576" s="60"/>
      <c r="B576" s="60" t="s">
        <v>3097</v>
      </c>
      <c r="C576" s="61"/>
      <c r="D576" s="60"/>
      <c r="E576" s="60"/>
      <c r="F576" s="60" t="s">
        <v>1194</v>
      </c>
      <c r="G576" s="60" t="s">
        <v>1194</v>
      </c>
      <c r="H576" s="60" t="s">
        <v>3043</v>
      </c>
      <c r="I576" s="60" t="s">
        <v>3066</v>
      </c>
      <c r="J576" s="60"/>
      <c r="K576" s="60" t="s">
        <v>3089</v>
      </c>
      <c r="L576" s="60" t="n">
        <v>0.75</v>
      </c>
      <c r="M576" s="60" t="n">
        <v>4</v>
      </c>
      <c r="N576" s="60" t="s">
        <v>3046</v>
      </c>
      <c r="O576" s="60"/>
      <c r="P576" s="60"/>
      <c r="Q576" s="60"/>
      <c r="R576" s="60" t="n">
        <v>10</v>
      </c>
      <c r="S576" s="60" t="n">
        <v>0</v>
      </c>
      <c r="T576" s="61"/>
      <c r="U576" s="60"/>
      <c r="V576" s="60"/>
      <c r="W576" s="60" t="s">
        <v>3047</v>
      </c>
      <c r="X576" s="4"/>
      <c r="Y576" s="4"/>
      <c r="Z576" s="4"/>
    </row>
    <row r="577" customFormat="false" ht="15.75" hidden="false" customHeight="true" outlineLevel="0" collapsed="false">
      <c r="A577" s="60"/>
      <c r="B577" s="60" t="s">
        <v>3098</v>
      </c>
      <c r="C577" s="61"/>
      <c r="D577" s="60"/>
      <c r="E577" s="60"/>
      <c r="F577" s="60" t="s">
        <v>1194</v>
      </c>
      <c r="G577" s="60" t="s">
        <v>1194</v>
      </c>
      <c r="H577" s="60" t="s">
        <v>3043</v>
      </c>
      <c r="I577" s="60" t="s">
        <v>3066</v>
      </c>
      <c r="J577" s="60"/>
      <c r="K577" s="60" t="s">
        <v>3089</v>
      </c>
      <c r="L577" s="60" t="n">
        <v>0.75</v>
      </c>
      <c r="M577" s="60" t="n">
        <v>4</v>
      </c>
      <c r="N577" s="60" t="s">
        <v>3046</v>
      </c>
      <c r="O577" s="60"/>
      <c r="P577" s="60"/>
      <c r="Q577" s="60"/>
      <c r="R577" s="60" t="n">
        <v>10</v>
      </c>
      <c r="S577" s="60" t="n">
        <v>0</v>
      </c>
      <c r="T577" s="61"/>
      <c r="U577" s="60"/>
      <c r="V577" s="60"/>
      <c r="W577" s="60" t="s">
        <v>3047</v>
      </c>
      <c r="X577" s="4"/>
      <c r="Y577" s="4"/>
      <c r="Z577" s="4"/>
    </row>
    <row r="578" customFormat="false" ht="15.75" hidden="false" customHeight="true" outlineLevel="0" collapsed="false">
      <c r="A578" s="60"/>
      <c r="B578" s="60" t="s">
        <v>3099</v>
      </c>
      <c r="C578" s="61"/>
      <c r="D578" s="60"/>
      <c r="E578" s="60"/>
      <c r="F578" s="60" t="s">
        <v>1194</v>
      </c>
      <c r="G578" s="60" t="s">
        <v>1194</v>
      </c>
      <c r="H578" s="60" t="s">
        <v>3043</v>
      </c>
      <c r="I578" s="60" t="s">
        <v>3066</v>
      </c>
      <c r="J578" s="60"/>
      <c r="K578" s="60" t="s">
        <v>3089</v>
      </c>
      <c r="L578" s="60" t="n">
        <v>0.75</v>
      </c>
      <c r="M578" s="60" t="n">
        <v>4</v>
      </c>
      <c r="N578" s="60" t="s">
        <v>3046</v>
      </c>
      <c r="O578" s="60"/>
      <c r="P578" s="60"/>
      <c r="Q578" s="60"/>
      <c r="R578" s="60" t="n">
        <v>10</v>
      </c>
      <c r="S578" s="60" t="n">
        <v>0</v>
      </c>
      <c r="T578" s="61"/>
      <c r="U578" s="60"/>
      <c r="V578" s="60"/>
      <c r="W578" s="60" t="s">
        <v>3047</v>
      </c>
      <c r="X578" s="4"/>
      <c r="Y578" s="4"/>
      <c r="Z578" s="4"/>
    </row>
    <row r="579" customFormat="false" ht="15.75" hidden="false" customHeight="true" outlineLevel="0" collapsed="false">
      <c r="A579" s="60"/>
      <c r="B579" s="60" t="s">
        <v>3100</v>
      </c>
      <c r="C579" s="61"/>
      <c r="D579" s="60"/>
      <c r="E579" s="60"/>
      <c r="F579" s="60" t="s">
        <v>1194</v>
      </c>
      <c r="G579" s="60" t="s">
        <v>1194</v>
      </c>
      <c r="H579" s="60" t="s">
        <v>3043</v>
      </c>
      <c r="I579" s="60" t="s">
        <v>3066</v>
      </c>
      <c r="J579" s="60"/>
      <c r="K579" s="60" t="s">
        <v>3101</v>
      </c>
      <c r="L579" s="60" t="n">
        <v>0.625</v>
      </c>
      <c r="M579" s="60" t="n">
        <v>4</v>
      </c>
      <c r="N579" s="60" t="s">
        <v>3046</v>
      </c>
      <c r="O579" s="60"/>
      <c r="P579" s="60"/>
      <c r="Q579" s="60"/>
      <c r="R579" s="60" t="n">
        <v>7</v>
      </c>
      <c r="S579" s="60" t="n">
        <v>0</v>
      </c>
      <c r="T579" s="61"/>
      <c r="U579" s="60"/>
      <c r="V579" s="60"/>
      <c r="W579" s="60" t="s">
        <v>3047</v>
      </c>
      <c r="X579" s="4"/>
      <c r="Y579" s="4"/>
      <c r="Z579" s="4"/>
    </row>
    <row r="580" customFormat="false" ht="15.75" hidden="false" customHeight="true" outlineLevel="0" collapsed="false">
      <c r="A580" s="60"/>
      <c r="B580" s="60" t="s">
        <v>3102</v>
      </c>
      <c r="C580" s="61"/>
      <c r="D580" s="60"/>
      <c r="E580" s="60"/>
      <c r="F580" s="60" t="s">
        <v>1194</v>
      </c>
      <c r="G580" s="60" t="s">
        <v>1194</v>
      </c>
      <c r="H580" s="60" t="s">
        <v>3043</v>
      </c>
      <c r="I580" s="60" t="s">
        <v>3103</v>
      </c>
      <c r="J580" s="60"/>
      <c r="K580" s="60" t="s">
        <v>3104</v>
      </c>
      <c r="L580" s="60" t="n">
        <v>12</v>
      </c>
      <c r="M580" s="60" t="n">
        <v>8</v>
      </c>
      <c r="N580" s="60" t="s">
        <v>3046</v>
      </c>
      <c r="O580" s="60"/>
      <c r="P580" s="60"/>
      <c r="Q580" s="60"/>
      <c r="R580" s="60" t="n">
        <v>7</v>
      </c>
      <c r="S580" s="60" t="n">
        <v>0</v>
      </c>
      <c r="T580" s="61"/>
      <c r="U580" s="60"/>
      <c r="V580" s="60"/>
      <c r="W580" s="60" t="s">
        <v>3047</v>
      </c>
      <c r="X580" s="4"/>
      <c r="Y580" s="4"/>
      <c r="Z580" s="4"/>
    </row>
    <row r="581" customFormat="false" ht="15.75" hidden="false" customHeight="true" outlineLevel="0" collapsed="false">
      <c r="A581" s="60"/>
      <c r="B581" s="60" t="s">
        <v>3105</v>
      </c>
      <c r="C581" s="61"/>
      <c r="D581" s="60"/>
      <c r="E581" s="60"/>
      <c r="F581" s="60" t="s">
        <v>1194</v>
      </c>
      <c r="G581" s="60" t="s">
        <v>1194</v>
      </c>
      <c r="H581" s="60" t="s">
        <v>3043</v>
      </c>
      <c r="I581" s="60" t="s">
        <v>3103</v>
      </c>
      <c r="J581" s="60"/>
      <c r="K581" s="60" t="s">
        <v>3106</v>
      </c>
      <c r="L581" s="60" t="n">
        <v>24</v>
      </c>
      <c r="M581" s="60" t="n">
        <v>96</v>
      </c>
      <c r="N581" s="60" t="s">
        <v>3046</v>
      </c>
      <c r="O581" s="60"/>
      <c r="P581" s="60"/>
      <c r="Q581" s="60"/>
      <c r="R581" s="60" t="n">
        <v>7</v>
      </c>
      <c r="S581" s="60" t="n">
        <v>0</v>
      </c>
      <c r="T581" s="61"/>
      <c r="U581" s="60"/>
      <c r="V581" s="60"/>
      <c r="W581" s="60" t="s">
        <v>3047</v>
      </c>
      <c r="X581" s="4"/>
      <c r="Y581" s="4"/>
      <c r="Z581" s="4"/>
    </row>
    <row r="582" customFormat="false" ht="15.75" hidden="false" customHeight="true" outlineLevel="0" collapsed="false">
      <c r="A582" s="60"/>
      <c r="B582" s="60" t="s">
        <v>3107</v>
      </c>
      <c r="C582" s="61"/>
      <c r="D582" s="60"/>
      <c r="E582" s="60"/>
      <c r="F582" s="60" t="s">
        <v>1194</v>
      </c>
      <c r="G582" s="60" t="s">
        <v>1194</v>
      </c>
      <c r="H582" s="60" t="s">
        <v>3043</v>
      </c>
      <c r="I582" s="60" t="s">
        <v>3103</v>
      </c>
      <c r="J582" s="60"/>
      <c r="K582" s="60" t="s">
        <v>3104</v>
      </c>
      <c r="L582" s="60" t="n">
        <v>12</v>
      </c>
      <c r="M582" s="60" t="n">
        <v>8</v>
      </c>
      <c r="N582" s="60" t="s">
        <v>3046</v>
      </c>
      <c r="O582" s="60"/>
      <c r="P582" s="60"/>
      <c r="Q582" s="60"/>
      <c r="R582" s="60" t="n">
        <v>7</v>
      </c>
      <c r="S582" s="60" t="n">
        <v>0</v>
      </c>
      <c r="T582" s="61"/>
      <c r="U582" s="60"/>
      <c r="V582" s="60"/>
      <c r="W582" s="60" t="s">
        <v>3047</v>
      </c>
      <c r="X582" s="4"/>
      <c r="Y582" s="4"/>
      <c r="Z582" s="4"/>
    </row>
    <row r="583" customFormat="false" ht="15.75" hidden="false" customHeight="true" outlineLevel="0" collapsed="false">
      <c r="A583" s="60"/>
      <c r="B583" s="60" t="s">
        <v>3108</v>
      </c>
      <c r="C583" s="61"/>
      <c r="D583" s="60"/>
      <c r="E583" s="60"/>
      <c r="F583" s="60" t="s">
        <v>1194</v>
      </c>
      <c r="G583" s="60" t="s">
        <v>1194</v>
      </c>
      <c r="H583" s="60" t="s">
        <v>3043</v>
      </c>
      <c r="I583" s="60" t="s">
        <v>3103</v>
      </c>
      <c r="J583" s="60"/>
      <c r="K583" s="60" t="s">
        <v>3106</v>
      </c>
      <c r="L583" s="60" t="n">
        <v>24</v>
      </c>
      <c r="M583" s="60" t="n">
        <v>96</v>
      </c>
      <c r="N583" s="60" t="s">
        <v>3046</v>
      </c>
      <c r="O583" s="60"/>
      <c r="P583" s="60"/>
      <c r="Q583" s="60"/>
      <c r="R583" s="60" t="n">
        <v>7</v>
      </c>
      <c r="S583" s="60" t="n">
        <v>0</v>
      </c>
      <c r="T583" s="61"/>
      <c r="U583" s="60"/>
      <c r="V583" s="60"/>
      <c r="W583" s="60" t="s">
        <v>3047</v>
      </c>
      <c r="X583" s="4"/>
      <c r="Y583" s="4"/>
      <c r="Z583" s="4"/>
    </row>
    <row r="584" customFormat="false" ht="15.75" hidden="false" customHeight="true" outlineLevel="0" collapsed="false">
      <c r="A584" s="60"/>
      <c r="B584" s="60" t="s">
        <v>3109</v>
      </c>
      <c r="C584" s="61"/>
      <c r="D584" s="60"/>
      <c r="E584" s="60"/>
      <c r="F584" s="60" t="s">
        <v>1194</v>
      </c>
      <c r="G584" s="60" t="s">
        <v>1194</v>
      </c>
      <c r="H584" s="60" t="s">
        <v>3043</v>
      </c>
      <c r="I584" s="60" t="s">
        <v>3103</v>
      </c>
      <c r="J584" s="60"/>
      <c r="K584" s="60" t="s">
        <v>3110</v>
      </c>
      <c r="L584" s="60" t="n">
        <v>48</v>
      </c>
      <c r="M584" s="60" t="n">
        <v>96</v>
      </c>
      <c r="N584" s="60" t="s">
        <v>3046</v>
      </c>
      <c r="O584" s="60"/>
      <c r="P584" s="60"/>
      <c r="Q584" s="60"/>
      <c r="R584" s="60" t="n">
        <v>7</v>
      </c>
      <c r="S584" s="60" t="n">
        <v>0</v>
      </c>
      <c r="T584" s="61"/>
      <c r="U584" s="60"/>
      <c r="V584" s="60"/>
      <c r="W584" s="60" t="s">
        <v>3047</v>
      </c>
      <c r="X584" s="4"/>
      <c r="Y584" s="4"/>
      <c r="Z584" s="4"/>
    </row>
    <row r="585" customFormat="false" ht="15.75" hidden="false" customHeight="true" outlineLevel="0" collapsed="false">
      <c r="A585" s="60"/>
      <c r="B585" s="60" t="s">
        <v>3111</v>
      </c>
      <c r="C585" s="61"/>
      <c r="D585" s="60"/>
      <c r="E585" s="60"/>
      <c r="F585" s="60" t="s">
        <v>1194</v>
      </c>
      <c r="G585" s="60" t="s">
        <v>1194</v>
      </c>
      <c r="H585" s="60" t="s">
        <v>3043</v>
      </c>
      <c r="I585" s="60" t="s">
        <v>3103</v>
      </c>
      <c r="J585" s="60"/>
      <c r="K585" s="60" t="s">
        <v>3104</v>
      </c>
      <c r="L585" s="60" t="n">
        <v>12</v>
      </c>
      <c r="M585" s="60" t="n">
        <v>8</v>
      </c>
      <c r="N585" s="60" t="s">
        <v>3046</v>
      </c>
      <c r="O585" s="60"/>
      <c r="P585" s="60"/>
      <c r="Q585" s="60"/>
      <c r="R585" s="60" t="n">
        <v>7</v>
      </c>
      <c r="S585" s="60" t="n">
        <v>0</v>
      </c>
      <c r="T585" s="61"/>
      <c r="U585" s="60"/>
      <c r="V585" s="60"/>
      <c r="W585" s="60" t="s">
        <v>3047</v>
      </c>
      <c r="X585" s="4"/>
      <c r="Y585" s="4"/>
      <c r="Z585" s="4"/>
    </row>
    <row r="586" customFormat="false" ht="15.75" hidden="false" customHeight="true" outlineLevel="0" collapsed="false">
      <c r="A586" s="60"/>
      <c r="B586" s="60" t="s">
        <v>3112</v>
      </c>
      <c r="C586" s="61"/>
      <c r="D586" s="60"/>
      <c r="E586" s="60"/>
      <c r="F586" s="60" t="s">
        <v>1194</v>
      </c>
      <c r="G586" s="60" t="s">
        <v>1194</v>
      </c>
      <c r="H586" s="60" t="s">
        <v>3043</v>
      </c>
      <c r="I586" s="60" t="s">
        <v>3103</v>
      </c>
      <c r="J586" s="60"/>
      <c r="K586" s="60" t="s">
        <v>3113</v>
      </c>
      <c r="L586" s="60" t="n">
        <v>4</v>
      </c>
      <c r="M586" s="60" t="n">
        <v>8</v>
      </c>
      <c r="N586" s="60" t="s">
        <v>3046</v>
      </c>
      <c r="O586" s="60"/>
      <c r="P586" s="60"/>
      <c r="Q586" s="60"/>
      <c r="R586" s="60" t="n">
        <v>15</v>
      </c>
      <c r="S586" s="60" t="n">
        <v>0</v>
      </c>
      <c r="T586" s="61"/>
      <c r="U586" s="60"/>
      <c r="V586" s="60"/>
      <c r="W586" s="60" t="s">
        <v>3047</v>
      </c>
      <c r="X586" s="4"/>
      <c r="Y586" s="4"/>
      <c r="Z586" s="4"/>
    </row>
    <row r="587" customFormat="false" ht="15.75" hidden="false" customHeight="true" outlineLevel="0" collapsed="false">
      <c r="A587" s="60"/>
      <c r="B587" s="60" t="s">
        <v>3114</v>
      </c>
      <c r="C587" s="61"/>
      <c r="D587" s="60"/>
      <c r="E587" s="60"/>
      <c r="F587" s="60" t="s">
        <v>1194</v>
      </c>
      <c r="G587" s="60" t="s">
        <v>1194</v>
      </c>
      <c r="H587" s="60" t="s">
        <v>3043</v>
      </c>
      <c r="I587" s="60" t="s">
        <v>3103</v>
      </c>
      <c r="J587" s="60"/>
      <c r="K587" s="60" t="s">
        <v>3104</v>
      </c>
      <c r="L587" s="60" t="n">
        <v>12</v>
      </c>
      <c r="M587" s="60" t="n">
        <v>8</v>
      </c>
      <c r="N587" s="60" t="s">
        <v>3046</v>
      </c>
      <c r="O587" s="60"/>
      <c r="P587" s="60"/>
      <c r="Q587" s="60"/>
      <c r="R587" s="60" t="n">
        <v>8</v>
      </c>
      <c r="S587" s="60" t="n">
        <v>0</v>
      </c>
      <c r="T587" s="61"/>
      <c r="U587" s="60"/>
      <c r="V587" s="60"/>
      <c r="W587" s="60" t="s">
        <v>3047</v>
      </c>
      <c r="X587" s="4"/>
      <c r="Y587" s="4"/>
      <c r="Z587" s="4"/>
    </row>
    <row r="588" customFormat="false" ht="15.75" hidden="false" customHeight="true" outlineLevel="0" collapsed="false">
      <c r="A588" s="60"/>
      <c r="B588" s="60" t="s">
        <v>3115</v>
      </c>
      <c r="C588" s="61"/>
      <c r="D588" s="60"/>
      <c r="E588" s="60"/>
      <c r="F588" s="60" t="s">
        <v>1194</v>
      </c>
      <c r="G588" s="60" t="s">
        <v>1194</v>
      </c>
      <c r="H588" s="60" t="s">
        <v>1235</v>
      </c>
      <c r="I588" s="60" t="s">
        <v>3116</v>
      </c>
      <c r="J588" s="60"/>
      <c r="K588" s="60"/>
      <c r="L588" s="60"/>
      <c r="M588" s="60"/>
      <c r="N588" s="60" t="s">
        <v>3117</v>
      </c>
      <c r="O588" s="60"/>
      <c r="P588" s="60"/>
      <c r="Q588" s="60"/>
      <c r="R588" s="60" t="n">
        <v>4</v>
      </c>
      <c r="S588" s="60" t="n">
        <v>0</v>
      </c>
      <c r="T588" s="61"/>
      <c r="U588" s="60"/>
      <c r="V588" s="60"/>
      <c r="W588" s="60" t="s">
        <v>3075</v>
      </c>
      <c r="X588" s="4"/>
      <c r="Y588" s="4"/>
      <c r="Z588" s="4"/>
    </row>
    <row r="589" customFormat="false" ht="15.75" hidden="false" customHeight="true" outlineLevel="0" collapsed="false">
      <c r="A589" s="60"/>
      <c r="B589" s="60" t="s">
        <v>3118</v>
      </c>
      <c r="C589" s="61"/>
      <c r="D589" s="60"/>
      <c r="E589" s="60"/>
      <c r="F589" s="60" t="s">
        <v>1194</v>
      </c>
      <c r="G589" s="60" t="s">
        <v>1194</v>
      </c>
      <c r="H589" s="60" t="s">
        <v>1235</v>
      </c>
      <c r="I589" s="60" t="s">
        <v>3116</v>
      </c>
      <c r="J589" s="60"/>
      <c r="K589" s="60"/>
      <c r="L589" s="60"/>
      <c r="M589" s="60"/>
      <c r="N589" s="60" t="s">
        <v>3117</v>
      </c>
      <c r="O589" s="60"/>
      <c r="P589" s="60"/>
      <c r="Q589" s="60"/>
      <c r="R589" s="60" t="n">
        <v>5</v>
      </c>
      <c r="S589" s="60" t="n">
        <v>0</v>
      </c>
      <c r="T589" s="61"/>
      <c r="U589" s="60"/>
      <c r="V589" s="60"/>
      <c r="W589" s="60" t="s">
        <v>3075</v>
      </c>
      <c r="X589" s="4"/>
      <c r="Y589" s="4"/>
      <c r="Z589" s="4"/>
    </row>
    <row r="590" customFormat="false" ht="15.75" hidden="false" customHeight="true" outlineLevel="0" collapsed="false">
      <c r="A590" s="60"/>
      <c r="B590" s="60" t="s">
        <v>3119</v>
      </c>
      <c r="C590" s="61"/>
      <c r="D590" s="60"/>
      <c r="E590" s="60"/>
      <c r="F590" s="60" t="s">
        <v>1194</v>
      </c>
      <c r="G590" s="60" t="s">
        <v>1194</v>
      </c>
      <c r="H590" s="60" t="s">
        <v>1235</v>
      </c>
      <c r="I590" s="60" t="s">
        <v>3116</v>
      </c>
      <c r="J590" s="60"/>
      <c r="K590" s="60"/>
      <c r="L590" s="60"/>
      <c r="M590" s="60"/>
      <c r="N590" s="60" t="s">
        <v>3117</v>
      </c>
      <c r="O590" s="60"/>
      <c r="P590" s="60"/>
      <c r="Q590" s="60"/>
      <c r="R590" s="60" t="n">
        <v>4</v>
      </c>
      <c r="S590" s="60" t="n">
        <v>0</v>
      </c>
      <c r="T590" s="61"/>
      <c r="U590" s="60"/>
      <c r="V590" s="60"/>
      <c r="W590" s="60" t="s">
        <v>3075</v>
      </c>
      <c r="X590" s="4"/>
      <c r="Y590" s="4"/>
      <c r="Z590" s="4"/>
    </row>
    <row r="591" customFormat="false" ht="15.75" hidden="false" customHeight="true" outlineLevel="0" collapsed="false">
      <c r="A591" s="60"/>
      <c r="B591" s="60" t="s">
        <v>3120</v>
      </c>
      <c r="C591" s="61"/>
      <c r="D591" s="60"/>
      <c r="E591" s="60"/>
      <c r="F591" s="60" t="s">
        <v>1194</v>
      </c>
      <c r="G591" s="60" t="s">
        <v>1194</v>
      </c>
      <c r="H591" s="60" t="s">
        <v>1235</v>
      </c>
      <c r="I591" s="60" t="s">
        <v>3116</v>
      </c>
      <c r="J591" s="60"/>
      <c r="K591" s="60" t="s">
        <v>3121</v>
      </c>
      <c r="L591" s="60" t="n">
        <v>0.375</v>
      </c>
      <c r="M591" s="60" t="n">
        <v>4</v>
      </c>
      <c r="N591" s="60" t="s">
        <v>3117</v>
      </c>
      <c r="O591" s="60"/>
      <c r="P591" s="60"/>
      <c r="Q591" s="60"/>
      <c r="R591" s="60" t="n">
        <v>5</v>
      </c>
      <c r="S591" s="60" t="n">
        <v>0</v>
      </c>
      <c r="T591" s="61"/>
      <c r="U591" s="60"/>
      <c r="V591" s="60"/>
      <c r="W591" s="60" t="s">
        <v>3047</v>
      </c>
      <c r="X591" s="4"/>
      <c r="Y591" s="4"/>
      <c r="Z591" s="4"/>
    </row>
    <row r="592" customFormat="false" ht="15.75" hidden="false" customHeight="true" outlineLevel="0" collapsed="false">
      <c r="A592" s="60"/>
      <c r="B592" s="60" t="s">
        <v>3122</v>
      </c>
      <c r="C592" s="61"/>
      <c r="D592" s="60"/>
      <c r="E592" s="60"/>
      <c r="F592" s="60" t="s">
        <v>1194</v>
      </c>
      <c r="G592" s="60" t="s">
        <v>1194</v>
      </c>
      <c r="H592" s="60" t="s">
        <v>1235</v>
      </c>
      <c r="I592" s="60" t="s">
        <v>3116</v>
      </c>
      <c r="J592" s="60"/>
      <c r="K592" s="60" t="s">
        <v>3123</v>
      </c>
      <c r="L592" s="60" t="n">
        <v>0.375</v>
      </c>
      <c r="M592" s="60" t="n">
        <v>6</v>
      </c>
      <c r="N592" s="60" t="s">
        <v>3117</v>
      </c>
      <c r="O592" s="60"/>
      <c r="P592" s="60"/>
      <c r="Q592" s="60"/>
      <c r="R592" s="60" t="n">
        <v>5</v>
      </c>
      <c r="S592" s="60" t="n">
        <v>0</v>
      </c>
      <c r="T592" s="61"/>
      <c r="U592" s="60"/>
      <c r="V592" s="60"/>
      <c r="W592" s="60" t="s">
        <v>3124</v>
      </c>
      <c r="X592" s="4"/>
      <c r="Y592" s="4"/>
      <c r="Z592" s="4"/>
    </row>
    <row r="593" customFormat="false" ht="15.75" hidden="false" customHeight="true" outlineLevel="0" collapsed="false">
      <c r="A593" s="60"/>
      <c r="B593" s="60" t="s">
        <v>3125</v>
      </c>
      <c r="C593" s="61"/>
      <c r="D593" s="60"/>
      <c r="E593" s="60"/>
      <c r="F593" s="60" t="s">
        <v>1194</v>
      </c>
      <c r="G593" s="60" t="s">
        <v>1194</v>
      </c>
      <c r="H593" s="60" t="s">
        <v>1235</v>
      </c>
      <c r="I593" s="60" t="s">
        <v>3126</v>
      </c>
      <c r="J593" s="60"/>
      <c r="K593" s="60"/>
      <c r="L593" s="60"/>
      <c r="M593" s="60"/>
      <c r="N593" s="60" t="s">
        <v>3117</v>
      </c>
      <c r="O593" s="60"/>
      <c r="P593" s="60"/>
      <c r="Q593" s="60"/>
      <c r="R593" s="60" t="n">
        <v>6</v>
      </c>
      <c r="S593" s="60" t="n">
        <v>0</v>
      </c>
      <c r="T593" s="61"/>
      <c r="U593" s="60"/>
      <c r="V593" s="60"/>
      <c r="W593" s="60" t="s">
        <v>3075</v>
      </c>
      <c r="X593" s="4"/>
      <c r="Y593" s="4"/>
      <c r="Z593" s="4"/>
    </row>
    <row r="594" customFormat="false" ht="15.75" hidden="false" customHeight="true" outlineLevel="0" collapsed="false">
      <c r="A594" s="60"/>
      <c r="B594" s="60" t="s">
        <v>3127</v>
      </c>
      <c r="C594" s="61"/>
      <c r="D594" s="60"/>
      <c r="E594" s="60"/>
      <c r="F594" s="60" t="s">
        <v>1194</v>
      </c>
      <c r="G594" s="60" t="s">
        <v>1194</v>
      </c>
      <c r="H594" s="60" t="s">
        <v>1235</v>
      </c>
      <c r="I594" s="60" t="s">
        <v>3126</v>
      </c>
      <c r="J594" s="60"/>
      <c r="K594" s="60"/>
      <c r="L594" s="60"/>
      <c r="M594" s="60"/>
      <c r="N594" s="60" t="s">
        <v>3117</v>
      </c>
      <c r="O594" s="60"/>
      <c r="P594" s="60"/>
      <c r="Q594" s="60"/>
      <c r="R594" s="60" t="n">
        <v>8</v>
      </c>
      <c r="S594" s="60" t="n">
        <v>0</v>
      </c>
      <c r="T594" s="61"/>
      <c r="U594" s="60"/>
      <c r="V594" s="60"/>
      <c r="W594" s="60" t="s">
        <v>3075</v>
      </c>
      <c r="X594" s="4"/>
      <c r="Y594" s="4"/>
      <c r="Z594" s="4"/>
    </row>
    <row r="595" customFormat="false" ht="15.75" hidden="false" customHeight="true" outlineLevel="0" collapsed="false">
      <c r="A595" s="60"/>
      <c r="B595" s="60" t="s">
        <v>3128</v>
      </c>
      <c r="C595" s="61"/>
      <c r="D595" s="60"/>
      <c r="E595" s="60"/>
      <c r="F595" s="60" t="s">
        <v>1194</v>
      </c>
      <c r="G595" s="60" t="s">
        <v>1194</v>
      </c>
      <c r="H595" s="60" t="s">
        <v>1235</v>
      </c>
      <c r="I595" s="60" t="s">
        <v>3126</v>
      </c>
      <c r="J595" s="60"/>
      <c r="K595" s="60"/>
      <c r="L595" s="60"/>
      <c r="M595" s="60"/>
      <c r="N595" s="60" t="s">
        <v>3117</v>
      </c>
      <c r="O595" s="60"/>
      <c r="P595" s="60"/>
      <c r="Q595" s="60"/>
      <c r="R595" s="60" t="n">
        <v>5</v>
      </c>
      <c r="S595" s="60" t="n">
        <v>0</v>
      </c>
      <c r="T595" s="61"/>
      <c r="U595" s="60"/>
      <c r="V595" s="60"/>
      <c r="W595" s="60" t="s">
        <v>3075</v>
      </c>
      <c r="X595" s="4"/>
      <c r="Y595" s="4"/>
      <c r="Z595" s="4"/>
    </row>
    <row r="596" customFormat="false" ht="15.75" hidden="false" customHeight="true" outlineLevel="0" collapsed="false">
      <c r="A596" s="60"/>
      <c r="B596" s="60" t="s">
        <v>3129</v>
      </c>
      <c r="C596" s="61"/>
      <c r="D596" s="60"/>
      <c r="E596" s="60"/>
      <c r="F596" s="60" t="s">
        <v>1194</v>
      </c>
      <c r="G596" s="60" t="s">
        <v>1194</v>
      </c>
      <c r="H596" s="60" t="s">
        <v>1235</v>
      </c>
      <c r="I596" s="60" t="s">
        <v>3130</v>
      </c>
      <c r="J596" s="60"/>
      <c r="K596" s="60" t="s">
        <v>3131</v>
      </c>
      <c r="L596" s="60" t="n">
        <v>1.25</v>
      </c>
      <c r="M596" s="60" t="n">
        <v>36</v>
      </c>
      <c r="N596" s="60" t="s">
        <v>3117</v>
      </c>
      <c r="O596" s="60"/>
      <c r="P596" s="60"/>
      <c r="Q596" s="60"/>
      <c r="R596" s="60" t="n">
        <v>7</v>
      </c>
      <c r="S596" s="60" t="n">
        <v>0</v>
      </c>
      <c r="T596" s="61"/>
      <c r="U596" s="60"/>
      <c r="V596" s="60"/>
      <c r="W596" s="60" t="s">
        <v>3047</v>
      </c>
      <c r="X596" s="4"/>
      <c r="Y596" s="4"/>
      <c r="Z596" s="4"/>
    </row>
    <row r="597" customFormat="false" ht="15.75" hidden="false" customHeight="true" outlineLevel="0" collapsed="false">
      <c r="A597" s="60"/>
      <c r="B597" s="60" t="s">
        <v>3132</v>
      </c>
      <c r="C597" s="61"/>
      <c r="D597" s="60"/>
      <c r="E597" s="60"/>
      <c r="F597" s="60" t="s">
        <v>1194</v>
      </c>
      <c r="G597" s="60" t="s">
        <v>1194</v>
      </c>
      <c r="H597" s="60" t="s">
        <v>1235</v>
      </c>
      <c r="I597" s="60" t="s">
        <v>3130</v>
      </c>
      <c r="J597" s="60"/>
      <c r="K597" s="60" t="s">
        <v>3133</v>
      </c>
      <c r="L597" s="60" t="n">
        <v>1.3125</v>
      </c>
      <c r="M597" s="60" t="n">
        <v>36</v>
      </c>
      <c r="N597" s="60" t="s">
        <v>3117</v>
      </c>
      <c r="O597" s="60"/>
      <c r="P597" s="60"/>
      <c r="Q597" s="60"/>
      <c r="R597" s="60" t="n">
        <v>7</v>
      </c>
      <c r="S597" s="60" t="n">
        <v>0</v>
      </c>
      <c r="T597" s="61"/>
      <c r="U597" s="60"/>
      <c r="V597" s="60"/>
      <c r="W597" s="60" t="s">
        <v>3047</v>
      </c>
      <c r="X597" s="4"/>
      <c r="Y597" s="4"/>
      <c r="Z597" s="4"/>
    </row>
    <row r="598" customFormat="false" ht="15.75" hidden="false" customHeight="true" outlineLevel="0" collapsed="false">
      <c r="A598" s="60"/>
      <c r="B598" s="60" t="s">
        <v>3134</v>
      </c>
      <c r="C598" s="61"/>
      <c r="D598" s="60"/>
      <c r="E598" s="60"/>
      <c r="F598" s="60" t="s">
        <v>1194</v>
      </c>
      <c r="G598" s="60" t="s">
        <v>1194</v>
      </c>
      <c r="H598" s="60" t="s">
        <v>1235</v>
      </c>
      <c r="I598" s="60" t="s">
        <v>3130</v>
      </c>
      <c r="J598" s="60"/>
      <c r="K598" s="60" t="s">
        <v>3135</v>
      </c>
      <c r="L598" s="60" t="n">
        <v>1.25</v>
      </c>
      <c r="M598" s="60" t="n">
        <v>39</v>
      </c>
      <c r="N598" s="60" t="s">
        <v>3117</v>
      </c>
      <c r="O598" s="60"/>
      <c r="P598" s="60"/>
      <c r="Q598" s="60"/>
      <c r="R598" s="60" t="n">
        <v>7</v>
      </c>
      <c r="S598" s="60" t="n">
        <v>0</v>
      </c>
      <c r="T598" s="61"/>
      <c r="U598" s="60"/>
      <c r="V598" s="60"/>
      <c r="W598" s="60" t="s">
        <v>3047</v>
      </c>
      <c r="X598" s="4"/>
      <c r="Y598" s="4"/>
      <c r="Z598" s="4"/>
    </row>
    <row r="599" customFormat="false" ht="15.75" hidden="false" customHeight="true" outlineLevel="0" collapsed="false">
      <c r="A599" s="60"/>
      <c r="B599" s="60" t="s">
        <v>3136</v>
      </c>
      <c r="C599" s="61"/>
      <c r="D599" s="60"/>
      <c r="E599" s="60"/>
      <c r="F599" s="60" t="s">
        <v>1194</v>
      </c>
      <c r="G599" s="60" t="s">
        <v>1194</v>
      </c>
      <c r="H599" s="60" t="s">
        <v>1235</v>
      </c>
      <c r="I599" s="60" t="s">
        <v>3130</v>
      </c>
      <c r="J599" s="60"/>
      <c r="K599" s="60" t="s">
        <v>3137</v>
      </c>
      <c r="L599" s="60" t="n">
        <v>1.3125</v>
      </c>
      <c r="M599" s="60" t="n">
        <v>39</v>
      </c>
      <c r="N599" s="60" t="s">
        <v>3117</v>
      </c>
      <c r="O599" s="60"/>
      <c r="P599" s="60"/>
      <c r="Q599" s="60"/>
      <c r="R599" s="60" t="n">
        <v>7</v>
      </c>
      <c r="S599" s="60" t="n">
        <v>0</v>
      </c>
      <c r="T599" s="61"/>
      <c r="U599" s="60"/>
      <c r="V599" s="60"/>
      <c r="W599" s="60" t="s">
        <v>3047</v>
      </c>
      <c r="X599" s="4"/>
      <c r="Y599" s="4"/>
      <c r="Z599" s="4"/>
    </row>
    <row r="600" customFormat="false" ht="15.75" hidden="false" customHeight="true" outlineLevel="0" collapsed="false">
      <c r="A600" s="60"/>
      <c r="B600" s="60" t="s">
        <v>3138</v>
      </c>
      <c r="C600" s="61"/>
      <c r="D600" s="60"/>
      <c r="E600" s="60"/>
      <c r="F600" s="60" t="s">
        <v>1194</v>
      </c>
      <c r="G600" s="60" t="s">
        <v>1194</v>
      </c>
      <c r="H600" s="60" t="s">
        <v>1235</v>
      </c>
      <c r="I600" s="60" t="s">
        <v>3130</v>
      </c>
      <c r="J600" s="60"/>
      <c r="K600" s="60"/>
      <c r="L600" s="60"/>
      <c r="M600" s="60"/>
      <c r="N600" s="60" t="s">
        <v>3117</v>
      </c>
      <c r="O600" s="60"/>
      <c r="P600" s="60"/>
      <c r="Q600" s="60"/>
      <c r="R600" s="60" t="n">
        <v>7</v>
      </c>
      <c r="S600" s="60" t="n">
        <v>0</v>
      </c>
      <c r="T600" s="61"/>
      <c r="U600" s="60"/>
      <c r="V600" s="60"/>
      <c r="W600" s="60" t="s">
        <v>3075</v>
      </c>
      <c r="X600" s="4"/>
      <c r="Y600" s="4"/>
      <c r="Z600" s="4"/>
    </row>
    <row r="601" customFormat="false" ht="15.75" hidden="false" customHeight="true" outlineLevel="0" collapsed="false">
      <c r="A601" s="60"/>
      <c r="B601" s="60" t="s">
        <v>3139</v>
      </c>
      <c r="C601" s="61"/>
      <c r="D601" s="60"/>
      <c r="E601" s="60"/>
      <c r="F601" s="60" t="s">
        <v>1194</v>
      </c>
      <c r="G601" s="60" t="s">
        <v>1194</v>
      </c>
      <c r="H601" s="60" t="s">
        <v>1235</v>
      </c>
      <c r="I601" s="60" t="s">
        <v>3130</v>
      </c>
      <c r="J601" s="60"/>
      <c r="K601" s="60"/>
      <c r="L601" s="60"/>
      <c r="M601" s="60"/>
      <c r="N601" s="60" t="s">
        <v>3117</v>
      </c>
      <c r="O601" s="60"/>
      <c r="P601" s="60"/>
      <c r="Q601" s="60"/>
      <c r="R601" s="60" t="n">
        <v>7</v>
      </c>
      <c r="S601" s="60" t="n">
        <v>0</v>
      </c>
      <c r="T601" s="61"/>
      <c r="U601" s="60"/>
      <c r="V601" s="60"/>
      <c r="W601" s="60" t="s">
        <v>3075</v>
      </c>
      <c r="X601" s="4"/>
      <c r="Y601" s="4"/>
      <c r="Z601" s="4"/>
    </row>
    <row r="602" customFormat="false" ht="15.75" hidden="false" customHeight="true" outlineLevel="0" collapsed="false">
      <c r="A602" s="60"/>
      <c r="B602" s="60" t="s">
        <v>3140</v>
      </c>
      <c r="C602" s="61"/>
      <c r="D602" s="60"/>
      <c r="E602" s="60"/>
      <c r="F602" s="60" t="s">
        <v>1194</v>
      </c>
      <c r="G602" s="60" t="s">
        <v>1194</v>
      </c>
      <c r="H602" s="60" t="s">
        <v>1235</v>
      </c>
      <c r="I602" s="60" t="s">
        <v>3130</v>
      </c>
      <c r="J602" s="60"/>
      <c r="K602" s="60"/>
      <c r="L602" s="60"/>
      <c r="M602" s="60"/>
      <c r="N602" s="60" t="s">
        <v>3117</v>
      </c>
      <c r="O602" s="60"/>
      <c r="P602" s="60"/>
      <c r="Q602" s="60"/>
      <c r="R602" s="60" t="n">
        <v>7</v>
      </c>
      <c r="S602" s="60" t="n">
        <v>0</v>
      </c>
      <c r="T602" s="61"/>
      <c r="U602" s="60"/>
      <c r="V602" s="60"/>
      <c r="W602" s="60" t="s">
        <v>3075</v>
      </c>
      <c r="X602" s="4"/>
      <c r="Y602" s="4"/>
      <c r="Z602" s="4"/>
    </row>
    <row r="603" customFormat="false" ht="15.75" hidden="false" customHeight="true" outlineLevel="0" collapsed="false">
      <c r="A603" s="60"/>
      <c r="B603" s="60" t="s">
        <v>3141</v>
      </c>
      <c r="C603" s="61"/>
      <c r="D603" s="60"/>
      <c r="E603" s="60"/>
      <c r="F603" s="60" t="s">
        <v>1194</v>
      </c>
      <c r="G603" s="60" t="s">
        <v>1194</v>
      </c>
      <c r="H603" s="60" t="s">
        <v>1235</v>
      </c>
      <c r="I603" s="60" t="s">
        <v>3130</v>
      </c>
      <c r="J603" s="60"/>
      <c r="K603" s="60" t="s">
        <v>3133</v>
      </c>
      <c r="L603" s="60" t="n">
        <v>1.3125</v>
      </c>
      <c r="M603" s="60" t="n">
        <v>36</v>
      </c>
      <c r="N603" s="60" t="s">
        <v>3117</v>
      </c>
      <c r="O603" s="60"/>
      <c r="P603" s="60"/>
      <c r="Q603" s="60"/>
      <c r="R603" s="60" t="n">
        <v>6</v>
      </c>
      <c r="S603" s="60" t="n">
        <v>0</v>
      </c>
      <c r="T603" s="61"/>
      <c r="U603" s="60"/>
      <c r="V603" s="60"/>
      <c r="W603" s="60" t="s">
        <v>3047</v>
      </c>
      <c r="X603" s="4"/>
      <c r="Y603" s="4"/>
      <c r="Z603" s="4"/>
    </row>
    <row r="604" customFormat="false" ht="15.75" hidden="false" customHeight="true" outlineLevel="0" collapsed="false">
      <c r="A604" s="60"/>
      <c r="B604" s="60" t="s">
        <v>3142</v>
      </c>
      <c r="C604" s="61"/>
      <c r="D604" s="60"/>
      <c r="E604" s="60"/>
      <c r="F604" s="60" t="s">
        <v>1194</v>
      </c>
      <c r="G604" s="60" t="s">
        <v>1194</v>
      </c>
      <c r="H604" s="60" t="s">
        <v>1235</v>
      </c>
      <c r="I604" s="60" t="s">
        <v>3130</v>
      </c>
      <c r="J604" s="60"/>
      <c r="K604" s="60" t="s">
        <v>3133</v>
      </c>
      <c r="L604" s="60" t="n">
        <v>1.3125</v>
      </c>
      <c r="M604" s="60" t="n">
        <v>36</v>
      </c>
      <c r="N604" s="60" t="s">
        <v>3117</v>
      </c>
      <c r="O604" s="60"/>
      <c r="P604" s="60"/>
      <c r="Q604" s="60"/>
      <c r="R604" s="60" t="n">
        <v>5</v>
      </c>
      <c r="S604" s="60" t="n">
        <v>0</v>
      </c>
      <c r="T604" s="61"/>
      <c r="U604" s="60"/>
      <c r="V604" s="60"/>
      <c r="W604" s="60" t="s">
        <v>3047</v>
      </c>
      <c r="X604" s="4"/>
      <c r="Y604" s="4"/>
      <c r="Z604" s="4"/>
    </row>
    <row r="605" customFormat="false" ht="15.75" hidden="false" customHeight="true" outlineLevel="0" collapsed="false">
      <c r="A605" s="60"/>
      <c r="B605" s="60" t="s">
        <v>3143</v>
      </c>
      <c r="C605" s="61"/>
      <c r="D605" s="60"/>
      <c r="E605" s="60"/>
      <c r="F605" s="60" t="s">
        <v>1194</v>
      </c>
      <c r="G605" s="60" t="s">
        <v>1194</v>
      </c>
      <c r="H605" s="60" t="s">
        <v>1235</v>
      </c>
      <c r="I605" s="60" t="s">
        <v>3130</v>
      </c>
      <c r="J605" s="60"/>
      <c r="K605" s="60" t="s">
        <v>3137</v>
      </c>
      <c r="L605" s="60" t="n">
        <v>1.3125</v>
      </c>
      <c r="M605" s="60" t="n">
        <v>39</v>
      </c>
      <c r="N605" s="60" t="s">
        <v>3117</v>
      </c>
      <c r="O605" s="60"/>
      <c r="P605" s="60"/>
      <c r="Q605" s="60"/>
      <c r="R605" s="60" t="n">
        <v>6</v>
      </c>
      <c r="S605" s="60" t="n">
        <v>0</v>
      </c>
      <c r="T605" s="61"/>
      <c r="U605" s="60"/>
      <c r="V605" s="60"/>
      <c r="W605" s="60" t="s">
        <v>3047</v>
      </c>
      <c r="X605" s="4"/>
      <c r="Y605" s="4"/>
      <c r="Z605" s="4"/>
    </row>
    <row r="606" customFormat="false" ht="15.75" hidden="false" customHeight="true" outlineLevel="0" collapsed="false">
      <c r="A606" s="60"/>
      <c r="B606" s="60" t="s">
        <v>3144</v>
      </c>
      <c r="C606" s="61"/>
      <c r="D606" s="60"/>
      <c r="E606" s="60"/>
      <c r="F606" s="60" t="s">
        <v>1194</v>
      </c>
      <c r="G606" s="60" t="s">
        <v>1194</v>
      </c>
      <c r="H606" s="60" t="s">
        <v>1235</v>
      </c>
      <c r="I606" s="60" t="s">
        <v>3130</v>
      </c>
      <c r="J606" s="60"/>
      <c r="K606" s="60" t="s">
        <v>3137</v>
      </c>
      <c r="L606" s="60" t="n">
        <v>1.3125</v>
      </c>
      <c r="M606" s="60" t="n">
        <v>39</v>
      </c>
      <c r="N606" s="60" t="s">
        <v>3117</v>
      </c>
      <c r="O606" s="60"/>
      <c r="P606" s="60"/>
      <c r="Q606" s="60"/>
      <c r="R606" s="60" t="n">
        <v>5</v>
      </c>
      <c r="S606" s="60" t="n">
        <v>0</v>
      </c>
      <c r="T606" s="61"/>
      <c r="U606" s="60"/>
      <c r="V606" s="60"/>
      <c r="W606" s="60" t="s">
        <v>3047</v>
      </c>
      <c r="X606" s="4"/>
      <c r="Y606" s="4"/>
      <c r="Z606" s="4"/>
    </row>
    <row r="607" customFormat="false" ht="15.75" hidden="false" customHeight="true" outlineLevel="0" collapsed="false">
      <c r="A607" s="60"/>
      <c r="B607" s="60" t="s">
        <v>3145</v>
      </c>
      <c r="C607" s="61"/>
      <c r="D607" s="60"/>
      <c r="E607" s="60"/>
      <c r="F607" s="60" t="s">
        <v>1194</v>
      </c>
      <c r="G607" s="60" t="s">
        <v>1194</v>
      </c>
      <c r="H607" s="60" t="s">
        <v>1235</v>
      </c>
      <c r="I607" s="60" t="s">
        <v>3130</v>
      </c>
      <c r="J607" s="60"/>
      <c r="K607" s="60" t="s">
        <v>3146</v>
      </c>
      <c r="L607" s="60" t="n">
        <v>1.3125</v>
      </c>
      <c r="M607" s="60" t="n">
        <v>42</v>
      </c>
      <c r="N607" s="60" t="s">
        <v>3117</v>
      </c>
      <c r="O607" s="60"/>
      <c r="P607" s="60"/>
      <c r="Q607" s="60"/>
      <c r="R607" s="60" t="n">
        <v>5</v>
      </c>
      <c r="S607" s="60" t="n">
        <v>0</v>
      </c>
      <c r="T607" s="61"/>
      <c r="U607" s="60"/>
      <c r="V607" s="60"/>
      <c r="W607" s="60" t="s">
        <v>3047</v>
      </c>
      <c r="X607" s="4"/>
      <c r="Y607" s="4"/>
      <c r="Z607" s="4"/>
    </row>
    <row r="608" customFormat="false" ht="15.75" hidden="false" customHeight="true" outlineLevel="0" collapsed="false">
      <c r="A608" s="60"/>
      <c r="B608" s="60" t="s">
        <v>3147</v>
      </c>
      <c r="C608" s="61"/>
      <c r="D608" s="60"/>
      <c r="E608" s="60"/>
      <c r="F608" s="60" t="s">
        <v>1194</v>
      </c>
      <c r="G608" s="60" t="s">
        <v>1194</v>
      </c>
      <c r="H608" s="60" t="s">
        <v>1235</v>
      </c>
      <c r="I608" s="60" t="s">
        <v>3130</v>
      </c>
      <c r="J608" s="60"/>
      <c r="K608" s="60" t="s">
        <v>3146</v>
      </c>
      <c r="L608" s="60" t="n">
        <v>1.3125</v>
      </c>
      <c r="M608" s="60" t="n">
        <v>42</v>
      </c>
      <c r="N608" s="60" t="s">
        <v>3117</v>
      </c>
      <c r="O608" s="60"/>
      <c r="P608" s="60"/>
      <c r="Q608" s="60"/>
      <c r="R608" s="60" t="n">
        <v>5</v>
      </c>
      <c r="S608" s="60" t="n">
        <v>0</v>
      </c>
      <c r="T608" s="61"/>
      <c r="U608" s="60"/>
      <c r="V608" s="60"/>
      <c r="W608" s="60" t="s">
        <v>3047</v>
      </c>
      <c r="X608" s="4"/>
      <c r="Y608" s="4"/>
      <c r="Z608" s="4"/>
    </row>
    <row r="609" customFormat="false" ht="15.75" hidden="false" customHeight="true" outlineLevel="0" collapsed="false">
      <c r="A609" s="60"/>
      <c r="B609" s="60" t="s">
        <v>3148</v>
      </c>
      <c r="C609" s="61"/>
      <c r="D609" s="60"/>
      <c r="E609" s="60"/>
      <c r="F609" s="60" t="s">
        <v>1194</v>
      </c>
      <c r="G609" s="60" t="s">
        <v>1194</v>
      </c>
      <c r="H609" s="60" t="s">
        <v>1235</v>
      </c>
      <c r="I609" s="60" t="s">
        <v>3130</v>
      </c>
      <c r="J609" s="60"/>
      <c r="K609" s="60" t="s">
        <v>3149</v>
      </c>
      <c r="L609" s="60" t="n">
        <v>1.75</v>
      </c>
      <c r="M609" s="60" t="n">
        <v>36</v>
      </c>
      <c r="N609" s="60" t="s">
        <v>3117</v>
      </c>
      <c r="O609" s="60"/>
      <c r="P609" s="60"/>
      <c r="Q609" s="60"/>
      <c r="R609" s="60" t="n">
        <v>5</v>
      </c>
      <c r="S609" s="60" t="n">
        <v>0</v>
      </c>
      <c r="T609" s="61"/>
      <c r="U609" s="60"/>
      <c r="V609" s="60"/>
      <c r="W609" s="60" t="s">
        <v>3047</v>
      </c>
      <c r="X609" s="4"/>
      <c r="Y609" s="4"/>
      <c r="Z609" s="4"/>
    </row>
    <row r="610" customFormat="false" ht="15.75" hidden="false" customHeight="true" outlineLevel="0" collapsed="false">
      <c r="A610" s="60"/>
      <c r="B610" s="60" t="s">
        <v>3150</v>
      </c>
      <c r="C610" s="61"/>
      <c r="D610" s="60"/>
      <c r="E610" s="60"/>
      <c r="F610" s="60" t="s">
        <v>1194</v>
      </c>
      <c r="G610" s="60" t="s">
        <v>1194</v>
      </c>
      <c r="H610" s="60" t="s">
        <v>1235</v>
      </c>
      <c r="I610" s="60" t="s">
        <v>3130</v>
      </c>
      <c r="J610" s="60"/>
      <c r="K610" s="60" t="s">
        <v>3151</v>
      </c>
      <c r="L610" s="60" t="n">
        <v>1.75</v>
      </c>
      <c r="M610" s="60" t="n">
        <v>39</v>
      </c>
      <c r="N610" s="60" t="s">
        <v>3117</v>
      </c>
      <c r="O610" s="60"/>
      <c r="P610" s="60"/>
      <c r="Q610" s="60"/>
      <c r="R610" s="60" t="n">
        <v>5</v>
      </c>
      <c r="S610" s="60" t="n">
        <v>0</v>
      </c>
      <c r="T610" s="61"/>
      <c r="U610" s="60"/>
      <c r="V610" s="60"/>
      <c r="W610" s="60" t="s">
        <v>3047</v>
      </c>
      <c r="X610" s="4"/>
      <c r="Y610" s="4"/>
      <c r="Z610" s="4"/>
    </row>
    <row r="611" customFormat="false" ht="15.75" hidden="false" customHeight="true" outlineLevel="0" collapsed="false">
      <c r="A611" s="60"/>
      <c r="B611" s="60" t="s">
        <v>3152</v>
      </c>
      <c r="C611" s="61"/>
      <c r="D611" s="60"/>
      <c r="E611" s="60"/>
      <c r="F611" s="60" t="s">
        <v>1194</v>
      </c>
      <c r="G611" s="60" t="s">
        <v>1194</v>
      </c>
      <c r="H611" s="60" t="s">
        <v>1235</v>
      </c>
      <c r="I611" s="60" t="s">
        <v>3130</v>
      </c>
      <c r="J611" s="60"/>
      <c r="K611" s="60"/>
      <c r="L611" s="60"/>
      <c r="M611" s="60"/>
      <c r="N611" s="60" t="s">
        <v>3117</v>
      </c>
      <c r="O611" s="60"/>
      <c r="P611" s="60"/>
      <c r="Q611" s="60"/>
      <c r="R611" s="60" t="n">
        <v>8</v>
      </c>
      <c r="S611" s="60" t="n">
        <v>0</v>
      </c>
      <c r="T611" s="61"/>
      <c r="U611" s="60"/>
      <c r="V611" s="60"/>
      <c r="W611" s="60" t="s">
        <v>3075</v>
      </c>
      <c r="X611" s="4"/>
      <c r="Y611" s="4"/>
      <c r="Z611" s="4"/>
    </row>
    <row r="612" customFormat="false" ht="15.75" hidden="false" customHeight="true" outlineLevel="0" collapsed="false">
      <c r="A612" s="60"/>
      <c r="B612" s="60" t="s">
        <v>3153</v>
      </c>
      <c r="C612" s="61"/>
      <c r="D612" s="60"/>
      <c r="E612" s="60"/>
      <c r="F612" s="60" t="s">
        <v>1194</v>
      </c>
      <c r="G612" s="60" t="s">
        <v>1194</v>
      </c>
      <c r="H612" s="60" t="s">
        <v>1235</v>
      </c>
      <c r="I612" s="60" t="s">
        <v>3130</v>
      </c>
      <c r="J612" s="60"/>
      <c r="K612" s="60" t="s">
        <v>3154</v>
      </c>
      <c r="L612" s="60" t="n">
        <v>5</v>
      </c>
      <c r="M612" s="60" t="n">
        <v>52</v>
      </c>
      <c r="N612" s="60" t="s">
        <v>3117</v>
      </c>
      <c r="O612" s="60"/>
      <c r="P612" s="60"/>
      <c r="Q612" s="60"/>
      <c r="R612" s="60" t="n">
        <v>8</v>
      </c>
      <c r="S612" s="60" t="n">
        <v>0</v>
      </c>
      <c r="T612" s="61"/>
      <c r="U612" s="60"/>
      <c r="V612" s="60"/>
      <c r="W612" s="60" t="s">
        <v>3047</v>
      </c>
      <c r="X612" s="4"/>
      <c r="Y612" s="4"/>
      <c r="Z612" s="4"/>
    </row>
    <row r="613" customFormat="false" ht="15.75" hidden="false" customHeight="true" outlineLevel="0" collapsed="false">
      <c r="A613" s="60"/>
      <c r="B613" s="60" t="s">
        <v>3155</v>
      </c>
      <c r="C613" s="61"/>
      <c r="D613" s="60"/>
      <c r="E613" s="60"/>
      <c r="F613" s="60" t="s">
        <v>1194</v>
      </c>
      <c r="G613" s="60" t="s">
        <v>1194</v>
      </c>
      <c r="H613" s="60" t="s">
        <v>1235</v>
      </c>
      <c r="I613" s="60" t="s">
        <v>3130</v>
      </c>
      <c r="J613" s="60"/>
      <c r="K613" s="60" t="s">
        <v>3156</v>
      </c>
      <c r="L613" s="60" t="n">
        <v>3.5</v>
      </c>
      <c r="M613" s="60" t="n">
        <v>48</v>
      </c>
      <c r="N613" s="60" t="s">
        <v>3117</v>
      </c>
      <c r="O613" s="60"/>
      <c r="P613" s="60"/>
      <c r="Q613" s="60"/>
      <c r="R613" s="60" t="n">
        <v>6</v>
      </c>
      <c r="S613" s="60" t="n">
        <v>0</v>
      </c>
      <c r="T613" s="61"/>
      <c r="U613" s="60"/>
      <c r="V613" s="60"/>
      <c r="W613" s="60" t="s">
        <v>3047</v>
      </c>
      <c r="X613" s="4"/>
      <c r="Y613" s="4"/>
      <c r="Z613" s="4"/>
    </row>
    <row r="614" customFormat="false" ht="15.75" hidden="false" customHeight="true" outlineLevel="0" collapsed="false">
      <c r="A614" s="60"/>
      <c r="B614" s="60" t="s">
        <v>3157</v>
      </c>
      <c r="C614" s="61"/>
      <c r="D614" s="60"/>
      <c r="E614" s="60"/>
      <c r="F614" s="60" t="s">
        <v>1194</v>
      </c>
      <c r="G614" s="60" t="s">
        <v>1194</v>
      </c>
      <c r="H614" s="60" t="s">
        <v>1235</v>
      </c>
      <c r="I614" s="60" t="s">
        <v>3130</v>
      </c>
      <c r="J614" s="60"/>
      <c r="K614" s="60" t="s">
        <v>3156</v>
      </c>
      <c r="L614" s="60" t="n">
        <v>3.5</v>
      </c>
      <c r="M614" s="60" t="n">
        <v>48</v>
      </c>
      <c r="N614" s="60" t="s">
        <v>3117</v>
      </c>
      <c r="O614" s="60"/>
      <c r="P614" s="60"/>
      <c r="Q614" s="60"/>
      <c r="R614" s="60" t="n">
        <v>6</v>
      </c>
      <c r="S614" s="60" t="n">
        <v>0</v>
      </c>
      <c r="T614" s="61"/>
      <c r="U614" s="60"/>
      <c r="V614" s="60"/>
      <c r="W614" s="60" t="s">
        <v>3047</v>
      </c>
      <c r="X614" s="4"/>
      <c r="Y614" s="4"/>
      <c r="Z614" s="4"/>
    </row>
    <row r="615" customFormat="false" ht="15.75" hidden="false" customHeight="true" outlineLevel="0" collapsed="false">
      <c r="A615" s="60"/>
      <c r="B615" s="60" t="s">
        <v>3158</v>
      </c>
      <c r="C615" s="61"/>
      <c r="D615" s="60"/>
      <c r="E615" s="60"/>
      <c r="F615" s="60" t="s">
        <v>1194</v>
      </c>
      <c r="G615" s="60" t="s">
        <v>1194</v>
      </c>
      <c r="H615" s="60" t="s">
        <v>1235</v>
      </c>
      <c r="I615" s="60" t="s">
        <v>3130</v>
      </c>
      <c r="J615" s="60"/>
      <c r="K615" s="60" t="s">
        <v>3159</v>
      </c>
      <c r="L615" s="60" t="n">
        <v>2.75</v>
      </c>
      <c r="M615" s="60" t="n">
        <v>48</v>
      </c>
      <c r="N615" s="60" t="s">
        <v>3117</v>
      </c>
      <c r="O615" s="60"/>
      <c r="P615" s="60"/>
      <c r="Q615" s="60"/>
      <c r="R615" s="60" t="n">
        <v>6</v>
      </c>
      <c r="S615" s="60" t="n">
        <v>0</v>
      </c>
      <c r="T615" s="61"/>
      <c r="U615" s="60"/>
      <c r="V615" s="60"/>
      <c r="W615" s="60" t="s">
        <v>3047</v>
      </c>
      <c r="X615" s="4"/>
      <c r="Y615" s="4"/>
      <c r="Z615" s="4"/>
    </row>
    <row r="616" customFormat="false" ht="15.75" hidden="false" customHeight="true" outlineLevel="0" collapsed="false">
      <c r="A616" s="60"/>
      <c r="B616" s="60" t="s">
        <v>3160</v>
      </c>
      <c r="C616" s="61"/>
      <c r="D616" s="60"/>
      <c r="E616" s="60"/>
      <c r="F616" s="60" t="s">
        <v>1194</v>
      </c>
      <c r="G616" s="60" t="s">
        <v>1194</v>
      </c>
      <c r="H616" s="60" t="s">
        <v>1235</v>
      </c>
      <c r="I616" s="60" t="s">
        <v>3130</v>
      </c>
      <c r="J616" s="60"/>
      <c r="K616" s="60" t="s">
        <v>3156</v>
      </c>
      <c r="L616" s="60" t="n">
        <v>3.5</v>
      </c>
      <c r="M616" s="60" t="n">
        <v>48</v>
      </c>
      <c r="N616" s="60" t="s">
        <v>3117</v>
      </c>
      <c r="O616" s="60"/>
      <c r="P616" s="60"/>
      <c r="Q616" s="60"/>
      <c r="R616" s="60" t="n">
        <v>6</v>
      </c>
      <c r="S616" s="60" t="n">
        <v>0</v>
      </c>
      <c r="T616" s="61"/>
      <c r="U616" s="60"/>
      <c r="V616" s="60"/>
      <c r="W616" s="60" t="s">
        <v>3047</v>
      </c>
      <c r="X616" s="4"/>
      <c r="Y616" s="4"/>
      <c r="Z616" s="4"/>
    </row>
    <row r="617" customFormat="false" ht="15.75" hidden="false" customHeight="true" outlineLevel="0" collapsed="false">
      <c r="A617" s="60"/>
      <c r="B617" s="60" t="s">
        <v>3161</v>
      </c>
      <c r="C617" s="61"/>
      <c r="D617" s="60"/>
      <c r="E617" s="60"/>
      <c r="F617" s="60" t="s">
        <v>1194</v>
      </c>
      <c r="G617" s="60" t="s">
        <v>1194</v>
      </c>
      <c r="H617" s="60" t="s">
        <v>1235</v>
      </c>
      <c r="I617" s="60" t="s">
        <v>3130</v>
      </c>
      <c r="J617" s="60"/>
      <c r="K617" s="60" t="s">
        <v>3156</v>
      </c>
      <c r="L617" s="60" t="n">
        <v>3.5</v>
      </c>
      <c r="M617" s="60" t="n">
        <v>48</v>
      </c>
      <c r="N617" s="60" t="s">
        <v>3117</v>
      </c>
      <c r="O617" s="60"/>
      <c r="P617" s="60"/>
      <c r="Q617" s="60"/>
      <c r="R617" s="60" t="n">
        <v>7</v>
      </c>
      <c r="S617" s="60" t="n">
        <v>0</v>
      </c>
      <c r="T617" s="61"/>
      <c r="U617" s="60"/>
      <c r="V617" s="60"/>
      <c r="W617" s="60" t="s">
        <v>3047</v>
      </c>
      <c r="X617" s="4"/>
      <c r="Y617" s="4"/>
      <c r="Z617" s="4"/>
    </row>
    <row r="618" customFormat="false" ht="15.75" hidden="false" customHeight="true" outlineLevel="0" collapsed="false">
      <c r="A618" s="60"/>
      <c r="B618" s="60" t="s">
        <v>3162</v>
      </c>
      <c r="C618" s="61"/>
      <c r="D618" s="60"/>
      <c r="E618" s="60"/>
      <c r="F618" s="60" t="s">
        <v>1194</v>
      </c>
      <c r="G618" s="60" t="s">
        <v>1194</v>
      </c>
      <c r="H618" s="60" t="s">
        <v>1235</v>
      </c>
      <c r="I618" s="60" t="s">
        <v>3130</v>
      </c>
      <c r="J618" s="60"/>
      <c r="K618" s="60" t="s">
        <v>3156</v>
      </c>
      <c r="L618" s="60" t="n">
        <v>3.5</v>
      </c>
      <c r="M618" s="60" t="n">
        <v>48</v>
      </c>
      <c r="N618" s="60" t="s">
        <v>3117</v>
      </c>
      <c r="O618" s="60"/>
      <c r="P618" s="60"/>
      <c r="Q618" s="60"/>
      <c r="R618" s="60" t="n">
        <v>6</v>
      </c>
      <c r="S618" s="60" t="n">
        <v>0</v>
      </c>
      <c r="T618" s="61"/>
      <c r="U618" s="60"/>
      <c r="V618" s="60"/>
      <c r="W618" s="60" t="s">
        <v>3047</v>
      </c>
      <c r="X618" s="4"/>
      <c r="Y618" s="4"/>
      <c r="Z618" s="4"/>
    </row>
    <row r="619" customFormat="false" ht="15.75" hidden="false" customHeight="true" outlineLevel="0" collapsed="false">
      <c r="A619" s="60"/>
      <c r="B619" s="60" t="s">
        <v>3163</v>
      </c>
      <c r="C619" s="61"/>
      <c r="D619" s="60"/>
      <c r="E619" s="60"/>
      <c r="F619" s="60" t="s">
        <v>1194</v>
      </c>
      <c r="G619" s="60" t="s">
        <v>1194</v>
      </c>
      <c r="H619" s="60" t="s">
        <v>1235</v>
      </c>
      <c r="I619" s="60" t="s">
        <v>3130</v>
      </c>
      <c r="J619" s="60"/>
      <c r="K619" s="60" t="s">
        <v>3156</v>
      </c>
      <c r="L619" s="60" t="n">
        <v>3.5</v>
      </c>
      <c r="M619" s="60" t="n">
        <v>48</v>
      </c>
      <c r="N619" s="60" t="s">
        <v>3117</v>
      </c>
      <c r="O619" s="60"/>
      <c r="P619" s="60"/>
      <c r="Q619" s="60"/>
      <c r="R619" s="60" t="n">
        <v>11</v>
      </c>
      <c r="S619" s="60" t="n">
        <v>0</v>
      </c>
      <c r="T619" s="61"/>
      <c r="U619" s="60"/>
      <c r="V619" s="60"/>
      <c r="W619" s="60" t="s">
        <v>3047</v>
      </c>
      <c r="X619" s="4"/>
      <c r="Y619" s="4"/>
      <c r="Z619" s="4"/>
    </row>
    <row r="620" customFormat="false" ht="15.75" hidden="false" customHeight="true" outlineLevel="0" collapsed="false">
      <c r="A620" s="60"/>
      <c r="B620" s="60" t="s">
        <v>3164</v>
      </c>
      <c r="C620" s="61"/>
      <c r="D620" s="60"/>
      <c r="E620" s="60"/>
      <c r="F620" s="60" t="s">
        <v>1194</v>
      </c>
      <c r="G620" s="60" t="s">
        <v>1194</v>
      </c>
      <c r="H620" s="60" t="s">
        <v>1235</v>
      </c>
      <c r="I620" s="60" t="s">
        <v>3130</v>
      </c>
      <c r="J620" s="60"/>
      <c r="K620" s="60" t="s">
        <v>3156</v>
      </c>
      <c r="L620" s="60" t="n">
        <v>3.5</v>
      </c>
      <c r="M620" s="60" t="n">
        <v>48</v>
      </c>
      <c r="N620" s="60" t="s">
        <v>3117</v>
      </c>
      <c r="O620" s="60"/>
      <c r="P620" s="60"/>
      <c r="Q620" s="60"/>
      <c r="R620" s="60" t="n">
        <v>7</v>
      </c>
      <c r="S620" s="60" t="n">
        <v>0</v>
      </c>
      <c r="T620" s="61"/>
      <c r="U620" s="60"/>
      <c r="V620" s="60"/>
      <c r="W620" s="60" t="s">
        <v>3047</v>
      </c>
      <c r="X620" s="4"/>
      <c r="Y620" s="4"/>
      <c r="Z620" s="4"/>
    </row>
    <row r="621" customFormat="false" ht="15.75" hidden="false" customHeight="true" outlineLevel="0" collapsed="false">
      <c r="A621" s="60"/>
      <c r="B621" s="60" t="s">
        <v>3165</v>
      </c>
      <c r="C621" s="61"/>
      <c r="D621" s="60"/>
      <c r="E621" s="60"/>
      <c r="F621" s="60" t="s">
        <v>1194</v>
      </c>
      <c r="G621" s="60" t="s">
        <v>1194</v>
      </c>
      <c r="H621" s="60" t="s">
        <v>1235</v>
      </c>
      <c r="I621" s="60" t="s">
        <v>3130</v>
      </c>
      <c r="J621" s="60"/>
      <c r="K621" s="60" t="s">
        <v>3159</v>
      </c>
      <c r="L621" s="60" t="n">
        <v>2.75</v>
      </c>
      <c r="M621" s="60" t="n">
        <v>48</v>
      </c>
      <c r="N621" s="60" t="s">
        <v>3117</v>
      </c>
      <c r="O621" s="60"/>
      <c r="P621" s="60"/>
      <c r="Q621" s="60"/>
      <c r="R621" s="60" t="n">
        <v>7</v>
      </c>
      <c r="S621" s="60" t="n">
        <v>0</v>
      </c>
      <c r="T621" s="61"/>
      <c r="U621" s="60"/>
      <c r="V621" s="60"/>
      <c r="W621" s="60" t="s">
        <v>3047</v>
      </c>
      <c r="X621" s="4"/>
      <c r="Y621" s="4"/>
      <c r="Z621" s="4"/>
    </row>
    <row r="622" customFormat="false" ht="15.75" hidden="false" customHeight="true" outlineLevel="0" collapsed="false">
      <c r="A622" s="60"/>
      <c r="B622" s="60" t="s">
        <v>3166</v>
      </c>
      <c r="C622" s="61"/>
      <c r="D622" s="60"/>
      <c r="E622" s="60"/>
      <c r="F622" s="60" t="s">
        <v>1194</v>
      </c>
      <c r="G622" s="60" t="s">
        <v>1194</v>
      </c>
      <c r="H622" s="60" t="s">
        <v>1235</v>
      </c>
      <c r="I622" s="60" t="s">
        <v>3130</v>
      </c>
      <c r="J622" s="60"/>
      <c r="K622" s="60" t="s">
        <v>3156</v>
      </c>
      <c r="L622" s="60" t="n">
        <v>3.5</v>
      </c>
      <c r="M622" s="60" t="n">
        <v>48</v>
      </c>
      <c r="N622" s="60" t="s">
        <v>3117</v>
      </c>
      <c r="O622" s="60"/>
      <c r="P622" s="60"/>
      <c r="Q622" s="60"/>
      <c r="R622" s="60" t="n">
        <v>6</v>
      </c>
      <c r="S622" s="60" t="n">
        <v>0</v>
      </c>
      <c r="T622" s="61"/>
      <c r="U622" s="60"/>
      <c r="V622" s="60"/>
      <c r="W622" s="60" t="s">
        <v>3047</v>
      </c>
      <c r="X622" s="4"/>
      <c r="Y622" s="4"/>
      <c r="Z622" s="4"/>
    </row>
    <row r="623" customFormat="false" ht="15.75" hidden="false" customHeight="true" outlineLevel="0" collapsed="false">
      <c r="A623" s="60"/>
      <c r="B623" s="60" t="s">
        <v>3167</v>
      </c>
      <c r="C623" s="61"/>
      <c r="D623" s="60"/>
      <c r="E623" s="60"/>
      <c r="F623" s="60" t="s">
        <v>1194</v>
      </c>
      <c r="G623" s="60" t="s">
        <v>1194</v>
      </c>
      <c r="H623" s="60" t="s">
        <v>1235</v>
      </c>
      <c r="I623" s="60" t="s">
        <v>3130</v>
      </c>
      <c r="J623" s="60"/>
      <c r="K623" s="60" t="s">
        <v>3168</v>
      </c>
      <c r="L623" s="60" t="n">
        <v>2.75</v>
      </c>
      <c r="M623" s="60" t="n">
        <v>42</v>
      </c>
      <c r="N623" s="60" t="s">
        <v>3117</v>
      </c>
      <c r="O623" s="60"/>
      <c r="P623" s="60"/>
      <c r="Q623" s="60"/>
      <c r="R623" s="60" t="n">
        <v>7</v>
      </c>
      <c r="S623" s="60" t="n">
        <v>0</v>
      </c>
      <c r="T623" s="61"/>
      <c r="U623" s="60"/>
      <c r="V623" s="60"/>
      <c r="W623" s="60" t="s">
        <v>3047</v>
      </c>
      <c r="X623" s="4"/>
      <c r="Y623" s="4"/>
      <c r="Z623" s="4"/>
    </row>
    <row r="624" customFormat="false" ht="15.75" hidden="false" customHeight="true" outlineLevel="0" collapsed="false">
      <c r="A624" s="60"/>
      <c r="B624" s="60" t="s">
        <v>3169</v>
      </c>
      <c r="C624" s="61"/>
      <c r="D624" s="60"/>
      <c r="E624" s="60"/>
      <c r="F624" s="60" t="s">
        <v>1194</v>
      </c>
      <c r="G624" s="60" t="s">
        <v>1194</v>
      </c>
      <c r="H624" s="60" t="s">
        <v>1235</v>
      </c>
      <c r="I624" s="60" t="s">
        <v>3130</v>
      </c>
      <c r="J624" s="60"/>
      <c r="K624" s="60" t="s">
        <v>3159</v>
      </c>
      <c r="L624" s="60" t="n">
        <v>2.75</v>
      </c>
      <c r="M624" s="60" t="n">
        <v>48</v>
      </c>
      <c r="N624" s="60" t="s">
        <v>3117</v>
      </c>
      <c r="O624" s="60"/>
      <c r="P624" s="60"/>
      <c r="Q624" s="60"/>
      <c r="R624" s="60" t="n">
        <v>6</v>
      </c>
      <c r="S624" s="60" t="n">
        <v>0</v>
      </c>
      <c r="T624" s="61"/>
      <c r="U624" s="60"/>
      <c r="V624" s="60"/>
      <c r="W624" s="60" t="s">
        <v>3047</v>
      </c>
      <c r="X624" s="4"/>
      <c r="Y624" s="4"/>
      <c r="Z624" s="4"/>
    </row>
    <row r="625" customFormat="false" ht="15.75" hidden="false" customHeight="true" outlineLevel="0" collapsed="false">
      <c r="A625" s="60"/>
      <c r="B625" s="60" t="s">
        <v>3170</v>
      </c>
      <c r="C625" s="61"/>
      <c r="D625" s="60"/>
      <c r="E625" s="60"/>
      <c r="F625" s="60" t="s">
        <v>1194</v>
      </c>
      <c r="G625" s="60" t="s">
        <v>1194</v>
      </c>
      <c r="H625" s="60" t="s">
        <v>1235</v>
      </c>
      <c r="I625" s="60" t="s">
        <v>3130</v>
      </c>
      <c r="J625" s="60"/>
      <c r="K625" s="60" t="s">
        <v>3159</v>
      </c>
      <c r="L625" s="60" t="n">
        <v>2.75</v>
      </c>
      <c r="M625" s="60" t="n">
        <v>48</v>
      </c>
      <c r="N625" s="60" t="s">
        <v>3117</v>
      </c>
      <c r="O625" s="60"/>
      <c r="P625" s="60"/>
      <c r="Q625" s="60"/>
      <c r="R625" s="60" t="n">
        <v>6</v>
      </c>
      <c r="S625" s="60" t="n">
        <v>0</v>
      </c>
      <c r="T625" s="61"/>
      <c r="U625" s="60"/>
      <c r="V625" s="60"/>
      <c r="W625" s="60" t="s">
        <v>3047</v>
      </c>
      <c r="X625" s="4"/>
      <c r="Y625" s="4"/>
      <c r="Z625" s="4"/>
    </row>
    <row r="626" customFormat="false" ht="15.75" hidden="false" customHeight="true" outlineLevel="0" collapsed="false">
      <c r="A626" s="60"/>
      <c r="B626" s="60" t="s">
        <v>3171</v>
      </c>
      <c r="C626" s="61"/>
      <c r="D626" s="60"/>
      <c r="E626" s="60"/>
      <c r="F626" s="60" t="s">
        <v>1194</v>
      </c>
      <c r="G626" s="60" t="s">
        <v>1194</v>
      </c>
      <c r="H626" s="60" t="s">
        <v>1235</v>
      </c>
      <c r="I626" s="60" t="s">
        <v>3130</v>
      </c>
      <c r="J626" s="60"/>
      <c r="K626" s="60" t="s">
        <v>3156</v>
      </c>
      <c r="L626" s="60" t="n">
        <v>3.5</v>
      </c>
      <c r="M626" s="60" t="n">
        <v>48</v>
      </c>
      <c r="N626" s="60" t="s">
        <v>3117</v>
      </c>
      <c r="O626" s="60"/>
      <c r="P626" s="60"/>
      <c r="Q626" s="60"/>
      <c r="R626" s="60" t="n">
        <v>7</v>
      </c>
      <c r="S626" s="60" t="n">
        <v>0</v>
      </c>
      <c r="T626" s="61"/>
      <c r="U626" s="60"/>
      <c r="V626" s="60"/>
      <c r="W626" s="60" t="s">
        <v>3047</v>
      </c>
      <c r="X626" s="4"/>
      <c r="Y626" s="4"/>
      <c r="Z626" s="4"/>
    </row>
    <row r="627" customFormat="false" ht="15.75" hidden="false" customHeight="true" outlineLevel="0" collapsed="false">
      <c r="A627" s="60"/>
      <c r="B627" s="60" t="s">
        <v>3172</v>
      </c>
      <c r="C627" s="61"/>
      <c r="D627" s="60"/>
      <c r="E627" s="60"/>
      <c r="F627" s="60" t="s">
        <v>1194</v>
      </c>
      <c r="G627" s="60" t="s">
        <v>1194</v>
      </c>
      <c r="H627" s="60" t="s">
        <v>1235</v>
      </c>
      <c r="I627" s="60" t="s">
        <v>3130</v>
      </c>
      <c r="J627" s="60"/>
      <c r="K627" s="60" t="s">
        <v>3156</v>
      </c>
      <c r="L627" s="60" t="n">
        <v>3.5</v>
      </c>
      <c r="M627" s="60" t="n">
        <v>48</v>
      </c>
      <c r="N627" s="60" t="s">
        <v>3117</v>
      </c>
      <c r="O627" s="60"/>
      <c r="P627" s="60"/>
      <c r="Q627" s="60"/>
      <c r="R627" s="60" t="n">
        <v>6</v>
      </c>
      <c r="S627" s="60" t="n">
        <v>0</v>
      </c>
      <c r="T627" s="61"/>
      <c r="U627" s="60"/>
      <c r="V627" s="60"/>
      <c r="W627" s="60" t="s">
        <v>3047</v>
      </c>
      <c r="X627" s="4"/>
      <c r="Y627" s="4"/>
      <c r="Z627" s="4"/>
    </row>
    <row r="628" customFormat="false" ht="15.75" hidden="false" customHeight="true" outlineLevel="0" collapsed="false">
      <c r="A628" s="60"/>
      <c r="B628" s="60" t="s">
        <v>3173</v>
      </c>
      <c r="C628" s="61"/>
      <c r="D628" s="60"/>
      <c r="E628" s="60"/>
      <c r="F628" s="60" t="s">
        <v>1194</v>
      </c>
      <c r="G628" s="60" t="s">
        <v>1194</v>
      </c>
      <c r="H628" s="60" t="s">
        <v>1235</v>
      </c>
      <c r="I628" s="60" t="s">
        <v>3130</v>
      </c>
      <c r="J628" s="60"/>
      <c r="K628" s="60" t="s">
        <v>3174</v>
      </c>
      <c r="L628" s="60" t="n">
        <v>3.5</v>
      </c>
      <c r="M628" s="60" t="n">
        <v>52</v>
      </c>
      <c r="N628" s="60" t="s">
        <v>3117</v>
      </c>
      <c r="O628" s="60"/>
      <c r="P628" s="60"/>
      <c r="Q628" s="60"/>
      <c r="R628" s="60" t="n">
        <v>8</v>
      </c>
      <c r="S628" s="60" t="n">
        <v>0</v>
      </c>
      <c r="T628" s="61"/>
      <c r="U628" s="60"/>
      <c r="V628" s="60"/>
      <c r="W628" s="60" t="s">
        <v>3047</v>
      </c>
      <c r="X628" s="4"/>
      <c r="Y628" s="4"/>
      <c r="Z628" s="4"/>
    </row>
    <row r="629" customFormat="false" ht="15.75" hidden="false" customHeight="true" outlineLevel="0" collapsed="false">
      <c r="A629" s="60"/>
      <c r="B629" s="60" t="s">
        <v>3175</v>
      </c>
      <c r="C629" s="61"/>
      <c r="D629" s="60"/>
      <c r="E629" s="60"/>
      <c r="F629" s="60" t="s">
        <v>1194</v>
      </c>
      <c r="G629" s="60" t="s">
        <v>1194</v>
      </c>
      <c r="H629" s="60" t="s">
        <v>1235</v>
      </c>
      <c r="I629" s="60" t="s">
        <v>3130</v>
      </c>
      <c r="J629" s="60"/>
      <c r="K629" s="60" t="s">
        <v>3176</v>
      </c>
      <c r="L629" s="60" t="n">
        <v>3.5</v>
      </c>
      <c r="M629" s="60" t="n">
        <v>55</v>
      </c>
      <c r="N629" s="60" t="s">
        <v>3117</v>
      </c>
      <c r="O629" s="60"/>
      <c r="P629" s="60"/>
      <c r="Q629" s="60"/>
      <c r="R629" s="60" t="n">
        <v>8</v>
      </c>
      <c r="S629" s="60" t="n">
        <v>0</v>
      </c>
      <c r="T629" s="61"/>
      <c r="U629" s="60"/>
      <c r="V629" s="60"/>
      <c r="W629" s="60" t="s">
        <v>3047</v>
      </c>
      <c r="X629" s="4"/>
      <c r="Y629" s="4"/>
      <c r="Z629" s="4"/>
    </row>
    <row r="630" customFormat="false" ht="15.75" hidden="false" customHeight="true" outlineLevel="0" collapsed="false">
      <c r="A630" s="60"/>
      <c r="B630" s="60" t="s">
        <v>3177</v>
      </c>
      <c r="C630" s="61"/>
      <c r="D630" s="60"/>
      <c r="E630" s="60"/>
      <c r="F630" s="60" t="s">
        <v>1194</v>
      </c>
      <c r="G630" s="60" t="s">
        <v>1194</v>
      </c>
      <c r="H630" s="60" t="s">
        <v>1235</v>
      </c>
      <c r="I630" s="60" t="s">
        <v>3130</v>
      </c>
      <c r="J630" s="60"/>
      <c r="K630" s="60" t="s">
        <v>3178</v>
      </c>
      <c r="L630" s="60" t="n">
        <v>3</v>
      </c>
      <c r="M630" s="60" t="n">
        <v>3</v>
      </c>
      <c r="N630" s="60" t="s">
        <v>3117</v>
      </c>
      <c r="O630" s="60"/>
      <c r="P630" s="60"/>
      <c r="Q630" s="60"/>
      <c r="R630" s="60" t="n">
        <v>10</v>
      </c>
      <c r="S630" s="60" t="n">
        <v>0</v>
      </c>
      <c r="T630" s="61"/>
      <c r="U630" s="60"/>
      <c r="V630" s="60"/>
      <c r="W630" s="60" t="s">
        <v>3047</v>
      </c>
      <c r="X630" s="4"/>
      <c r="Y630" s="4"/>
      <c r="Z630" s="4"/>
    </row>
    <row r="631" customFormat="false" ht="15.75" hidden="false" customHeight="true" outlineLevel="0" collapsed="false">
      <c r="A631" s="60"/>
      <c r="B631" s="60" t="s">
        <v>3179</v>
      </c>
      <c r="C631" s="61"/>
      <c r="D631" s="60"/>
      <c r="E631" s="60"/>
      <c r="F631" s="60" t="s">
        <v>1194</v>
      </c>
      <c r="G631" s="60" t="s">
        <v>1194</v>
      </c>
      <c r="H631" s="60" t="s">
        <v>1235</v>
      </c>
      <c r="I631" s="60" t="s">
        <v>3130</v>
      </c>
      <c r="J631" s="60"/>
      <c r="K631" s="60" t="s">
        <v>3180</v>
      </c>
      <c r="L631" s="60" t="n">
        <v>4.5</v>
      </c>
      <c r="M631" s="60" t="n">
        <v>48</v>
      </c>
      <c r="N631" s="60" t="s">
        <v>3117</v>
      </c>
      <c r="O631" s="60"/>
      <c r="P631" s="60"/>
      <c r="Q631" s="60"/>
      <c r="R631" s="60" t="n">
        <v>7</v>
      </c>
      <c r="S631" s="60" t="n">
        <v>0</v>
      </c>
      <c r="T631" s="61"/>
      <c r="U631" s="60"/>
      <c r="V631" s="60"/>
      <c r="W631" s="60" t="s">
        <v>3047</v>
      </c>
      <c r="X631" s="4"/>
      <c r="Y631" s="4"/>
      <c r="Z631" s="4"/>
    </row>
    <row r="632" customFormat="false" ht="15.75" hidden="false" customHeight="true" outlineLevel="0" collapsed="false">
      <c r="A632" s="60"/>
      <c r="B632" s="60" t="s">
        <v>3181</v>
      </c>
      <c r="C632" s="61"/>
      <c r="D632" s="60"/>
      <c r="E632" s="60"/>
      <c r="F632" s="60" t="s">
        <v>1194</v>
      </c>
      <c r="G632" s="60" t="s">
        <v>1194</v>
      </c>
      <c r="H632" s="60" t="s">
        <v>1235</v>
      </c>
      <c r="I632" s="60" t="s">
        <v>3130</v>
      </c>
      <c r="J632" s="60"/>
      <c r="K632" s="60" t="s">
        <v>3156</v>
      </c>
      <c r="L632" s="60" t="n">
        <v>3.5</v>
      </c>
      <c r="M632" s="60" t="n">
        <v>48</v>
      </c>
      <c r="N632" s="60" t="s">
        <v>3117</v>
      </c>
      <c r="O632" s="60"/>
      <c r="P632" s="60"/>
      <c r="Q632" s="60"/>
      <c r="R632" s="60" t="n">
        <v>11</v>
      </c>
      <c r="S632" s="60" t="n">
        <v>0</v>
      </c>
      <c r="T632" s="61"/>
      <c r="U632" s="60"/>
      <c r="V632" s="60"/>
      <c r="W632" s="60" t="s">
        <v>3047</v>
      </c>
      <c r="X632" s="4"/>
      <c r="Y632" s="4"/>
      <c r="Z632" s="4"/>
    </row>
    <row r="633" customFormat="false" ht="15.75" hidden="false" customHeight="true" outlineLevel="0" collapsed="false">
      <c r="A633" s="60"/>
      <c r="B633" s="60" t="s">
        <v>3182</v>
      </c>
      <c r="C633" s="61"/>
      <c r="D633" s="60"/>
      <c r="E633" s="60"/>
      <c r="F633" s="60" t="s">
        <v>1194</v>
      </c>
      <c r="G633" s="60" t="s">
        <v>1194</v>
      </c>
      <c r="H633" s="60" t="s">
        <v>1235</v>
      </c>
      <c r="I633" s="60" t="s">
        <v>3130</v>
      </c>
      <c r="J633" s="60"/>
      <c r="K633" s="60" t="s">
        <v>3156</v>
      </c>
      <c r="L633" s="60" t="n">
        <v>3.5</v>
      </c>
      <c r="M633" s="60" t="n">
        <v>48</v>
      </c>
      <c r="N633" s="60" t="s">
        <v>3117</v>
      </c>
      <c r="O633" s="60"/>
      <c r="P633" s="60"/>
      <c r="Q633" s="60"/>
      <c r="R633" s="60" t="n">
        <v>11</v>
      </c>
      <c r="S633" s="60" t="n">
        <v>0</v>
      </c>
      <c r="T633" s="61"/>
      <c r="U633" s="60"/>
      <c r="V633" s="60"/>
      <c r="W633" s="60" t="s">
        <v>3047</v>
      </c>
      <c r="X633" s="4"/>
      <c r="Y633" s="4"/>
      <c r="Z633" s="4"/>
    </row>
    <row r="634" customFormat="false" ht="15.75" hidden="false" customHeight="true" outlineLevel="0" collapsed="false">
      <c r="A634" s="60"/>
      <c r="B634" s="60" t="s">
        <v>3183</v>
      </c>
      <c r="C634" s="61"/>
      <c r="D634" s="60"/>
      <c r="E634" s="60"/>
      <c r="F634" s="60" t="s">
        <v>1194</v>
      </c>
      <c r="G634" s="60" t="s">
        <v>1194</v>
      </c>
      <c r="H634" s="60" t="s">
        <v>1235</v>
      </c>
      <c r="I634" s="60" t="s">
        <v>3130</v>
      </c>
      <c r="J634" s="60"/>
      <c r="K634" s="60" t="s">
        <v>3184</v>
      </c>
      <c r="L634" s="60" t="n">
        <v>4</v>
      </c>
      <c r="M634" s="60" t="n">
        <v>48</v>
      </c>
      <c r="N634" s="60" t="s">
        <v>3117</v>
      </c>
      <c r="O634" s="60"/>
      <c r="P634" s="60"/>
      <c r="Q634" s="60"/>
      <c r="R634" s="60" t="n">
        <v>9</v>
      </c>
      <c r="S634" s="60" t="n">
        <v>0</v>
      </c>
      <c r="T634" s="61"/>
      <c r="U634" s="60"/>
      <c r="V634" s="60"/>
      <c r="W634" s="60" t="s">
        <v>3047</v>
      </c>
      <c r="X634" s="4"/>
      <c r="Y634" s="4"/>
      <c r="Z634" s="4"/>
    </row>
    <row r="635" customFormat="false" ht="15.75" hidden="false" customHeight="true" outlineLevel="0" collapsed="false">
      <c r="A635" s="60"/>
      <c r="B635" s="60" t="s">
        <v>3185</v>
      </c>
      <c r="C635" s="61"/>
      <c r="D635" s="60"/>
      <c r="E635" s="60"/>
      <c r="F635" s="60" t="s">
        <v>1194</v>
      </c>
      <c r="G635" s="60" t="s">
        <v>1194</v>
      </c>
      <c r="H635" s="60" t="s">
        <v>1235</v>
      </c>
      <c r="I635" s="60" t="s">
        <v>3130</v>
      </c>
      <c r="J635" s="60"/>
      <c r="K635" s="60" t="s">
        <v>3184</v>
      </c>
      <c r="L635" s="60" t="n">
        <v>4</v>
      </c>
      <c r="M635" s="60" t="n">
        <v>48</v>
      </c>
      <c r="N635" s="60" t="s">
        <v>3117</v>
      </c>
      <c r="O635" s="60"/>
      <c r="P635" s="60"/>
      <c r="Q635" s="60"/>
      <c r="R635" s="60" t="n">
        <v>8</v>
      </c>
      <c r="S635" s="60" t="n">
        <v>0</v>
      </c>
      <c r="T635" s="61"/>
      <c r="U635" s="60"/>
      <c r="V635" s="60"/>
      <c r="W635" s="60" t="s">
        <v>3047</v>
      </c>
      <c r="X635" s="4"/>
      <c r="Y635" s="4"/>
      <c r="Z635" s="4"/>
    </row>
    <row r="636" customFormat="false" ht="15.75" hidden="false" customHeight="true" outlineLevel="0" collapsed="false">
      <c r="A636" s="60"/>
      <c r="B636" s="60" t="s">
        <v>3186</v>
      </c>
      <c r="C636" s="61"/>
      <c r="D636" s="60"/>
      <c r="E636" s="60"/>
      <c r="F636" s="60" t="s">
        <v>1194</v>
      </c>
      <c r="G636" s="60" t="s">
        <v>1194</v>
      </c>
      <c r="H636" s="60" t="s">
        <v>1235</v>
      </c>
      <c r="I636" s="60" t="s">
        <v>3130</v>
      </c>
      <c r="J636" s="60"/>
      <c r="K636" s="60" t="s">
        <v>3180</v>
      </c>
      <c r="L636" s="60" t="n">
        <v>4.5</v>
      </c>
      <c r="M636" s="60" t="n">
        <v>48</v>
      </c>
      <c r="N636" s="60" t="s">
        <v>3117</v>
      </c>
      <c r="O636" s="60"/>
      <c r="P636" s="60"/>
      <c r="Q636" s="60"/>
      <c r="R636" s="60" t="n">
        <v>7</v>
      </c>
      <c r="S636" s="60" t="n">
        <v>0</v>
      </c>
      <c r="T636" s="61"/>
      <c r="U636" s="60"/>
      <c r="V636" s="60"/>
      <c r="W636" s="60" t="s">
        <v>3047</v>
      </c>
      <c r="X636" s="4"/>
      <c r="Y636" s="4"/>
      <c r="Z636" s="4"/>
    </row>
    <row r="637" customFormat="false" ht="15.75" hidden="false" customHeight="true" outlineLevel="0" collapsed="false">
      <c r="A637" s="60"/>
      <c r="B637" s="60" t="s">
        <v>3187</v>
      </c>
      <c r="C637" s="61"/>
      <c r="D637" s="60"/>
      <c r="E637" s="60"/>
      <c r="F637" s="60" t="s">
        <v>1194</v>
      </c>
      <c r="G637" s="60" t="s">
        <v>1194</v>
      </c>
      <c r="H637" s="60" t="s">
        <v>1235</v>
      </c>
      <c r="I637" s="60" t="s">
        <v>3130</v>
      </c>
      <c r="J637" s="60"/>
      <c r="K637" s="60" t="s">
        <v>3188</v>
      </c>
      <c r="L637" s="60" t="n">
        <v>6</v>
      </c>
      <c r="M637" s="60" t="n">
        <v>48</v>
      </c>
      <c r="N637" s="60" t="s">
        <v>3117</v>
      </c>
      <c r="O637" s="60"/>
      <c r="P637" s="60"/>
      <c r="Q637" s="60"/>
      <c r="R637" s="60" t="n">
        <v>7</v>
      </c>
      <c r="S637" s="60" t="n">
        <v>0</v>
      </c>
      <c r="T637" s="61"/>
      <c r="U637" s="60"/>
      <c r="V637" s="60"/>
      <c r="W637" s="60" t="s">
        <v>3047</v>
      </c>
      <c r="X637" s="4"/>
      <c r="Y637" s="4"/>
      <c r="Z637" s="4"/>
    </row>
    <row r="638" customFormat="false" ht="15.75" hidden="false" customHeight="true" outlineLevel="0" collapsed="false">
      <c r="A638" s="60"/>
      <c r="B638" s="60" t="s">
        <v>3189</v>
      </c>
      <c r="C638" s="61"/>
      <c r="D638" s="60"/>
      <c r="E638" s="60"/>
      <c r="F638" s="60" t="s">
        <v>1194</v>
      </c>
      <c r="G638" s="60" t="s">
        <v>1194</v>
      </c>
      <c r="H638" s="60" t="s">
        <v>1235</v>
      </c>
      <c r="I638" s="60" t="s">
        <v>3130</v>
      </c>
      <c r="J638" s="60"/>
      <c r="K638" s="60" t="s">
        <v>3184</v>
      </c>
      <c r="L638" s="60" t="n">
        <v>4</v>
      </c>
      <c r="M638" s="60" t="n">
        <v>48</v>
      </c>
      <c r="N638" s="60" t="s">
        <v>3117</v>
      </c>
      <c r="O638" s="60"/>
      <c r="P638" s="60"/>
      <c r="Q638" s="60"/>
      <c r="R638" s="60" t="n">
        <v>12</v>
      </c>
      <c r="S638" s="60" t="n">
        <v>0</v>
      </c>
      <c r="T638" s="61"/>
      <c r="U638" s="60"/>
      <c r="V638" s="60"/>
      <c r="W638" s="60" t="s">
        <v>3047</v>
      </c>
      <c r="X638" s="4"/>
      <c r="Y638" s="4"/>
      <c r="Z638" s="4"/>
    </row>
    <row r="639" customFormat="false" ht="15.75" hidden="false" customHeight="true" outlineLevel="0" collapsed="false">
      <c r="A639" s="60"/>
      <c r="B639" s="60" t="s">
        <v>3190</v>
      </c>
      <c r="C639" s="61"/>
      <c r="D639" s="60"/>
      <c r="E639" s="60"/>
      <c r="F639" s="60" t="s">
        <v>1194</v>
      </c>
      <c r="G639" s="60" t="s">
        <v>1194</v>
      </c>
      <c r="H639" s="60" t="s">
        <v>1235</v>
      </c>
      <c r="I639" s="60" t="s">
        <v>3130</v>
      </c>
      <c r="J639" s="60"/>
      <c r="K639" s="60" t="s">
        <v>3191</v>
      </c>
      <c r="L639" s="60" t="n">
        <v>4.25</v>
      </c>
      <c r="M639" s="60" t="n">
        <v>4</v>
      </c>
      <c r="N639" s="60" t="s">
        <v>3117</v>
      </c>
      <c r="O639" s="60"/>
      <c r="P639" s="60"/>
      <c r="Q639" s="60"/>
      <c r="R639" s="60" t="n">
        <v>8</v>
      </c>
      <c r="S639" s="60" t="n">
        <v>0</v>
      </c>
      <c r="T639" s="61"/>
      <c r="U639" s="60"/>
      <c r="V639" s="60"/>
      <c r="W639" s="60" t="s">
        <v>3047</v>
      </c>
      <c r="X639" s="4"/>
      <c r="Y639" s="4"/>
      <c r="Z639" s="4"/>
    </row>
    <row r="640" customFormat="false" ht="15.75" hidden="false" customHeight="true" outlineLevel="0" collapsed="false">
      <c r="A640" s="60"/>
      <c r="B640" s="60" t="s">
        <v>3192</v>
      </c>
      <c r="C640" s="61"/>
      <c r="D640" s="60"/>
      <c r="E640" s="60"/>
      <c r="F640" s="60" t="s">
        <v>1194</v>
      </c>
      <c r="G640" s="60" t="s">
        <v>1194</v>
      </c>
      <c r="H640" s="60" t="s">
        <v>1235</v>
      </c>
      <c r="I640" s="60" t="s">
        <v>3130</v>
      </c>
      <c r="J640" s="60"/>
      <c r="K640" s="60" t="s">
        <v>3193</v>
      </c>
      <c r="L640" s="60" t="n">
        <v>3.5</v>
      </c>
      <c r="M640" s="60" t="n">
        <v>42</v>
      </c>
      <c r="N640" s="60" t="s">
        <v>3117</v>
      </c>
      <c r="O640" s="60"/>
      <c r="P640" s="60"/>
      <c r="Q640" s="60"/>
      <c r="R640" s="60" t="n">
        <v>9</v>
      </c>
      <c r="S640" s="60" t="n">
        <v>0</v>
      </c>
      <c r="T640" s="61"/>
      <c r="U640" s="60"/>
      <c r="V640" s="60"/>
      <c r="W640" s="60" t="s">
        <v>3047</v>
      </c>
      <c r="X640" s="4"/>
      <c r="Y640" s="4"/>
      <c r="Z640" s="4"/>
    </row>
    <row r="641" customFormat="false" ht="15.75" hidden="false" customHeight="true" outlineLevel="0" collapsed="false">
      <c r="A641" s="60"/>
      <c r="B641" s="60" t="s">
        <v>3194</v>
      </c>
      <c r="C641" s="61"/>
      <c r="D641" s="60"/>
      <c r="E641" s="60"/>
      <c r="F641" s="60" t="s">
        <v>1194</v>
      </c>
      <c r="G641" s="60" t="s">
        <v>1194</v>
      </c>
      <c r="H641" s="60" t="s">
        <v>1235</v>
      </c>
      <c r="I641" s="60" t="s">
        <v>3130</v>
      </c>
      <c r="J641" s="60"/>
      <c r="K641" s="60" t="s">
        <v>3193</v>
      </c>
      <c r="L641" s="60" t="n">
        <v>3.5</v>
      </c>
      <c r="M641" s="60" t="n">
        <v>42</v>
      </c>
      <c r="N641" s="60" t="s">
        <v>3117</v>
      </c>
      <c r="O641" s="60"/>
      <c r="P641" s="60"/>
      <c r="Q641" s="60"/>
      <c r="R641" s="60" t="n">
        <v>9</v>
      </c>
      <c r="S641" s="60" t="n">
        <v>0</v>
      </c>
      <c r="T641" s="61"/>
      <c r="U641" s="60"/>
      <c r="V641" s="60"/>
      <c r="W641" s="60" t="s">
        <v>3047</v>
      </c>
      <c r="X641" s="4"/>
      <c r="Y641" s="4"/>
      <c r="Z641" s="4"/>
    </row>
    <row r="642" customFormat="false" ht="15.75" hidden="false" customHeight="true" outlineLevel="0" collapsed="false">
      <c r="A642" s="60"/>
      <c r="B642" s="60" t="s">
        <v>3195</v>
      </c>
      <c r="C642" s="61"/>
      <c r="D642" s="60"/>
      <c r="E642" s="60"/>
      <c r="F642" s="60" t="s">
        <v>1194</v>
      </c>
      <c r="G642" s="60" t="s">
        <v>1194</v>
      </c>
      <c r="H642" s="60" t="s">
        <v>1235</v>
      </c>
      <c r="I642" s="60" t="s">
        <v>3130</v>
      </c>
      <c r="J642" s="60"/>
      <c r="K642" s="60" t="s">
        <v>3159</v>
      </c>
      <c r="L642" s="60" t="n">
        <v>2.75</v>
      </c>
      <c r="M642" s="60" t="n">
        <v>48</v>
      </c>
      <c r="N642" s="60" t="s">
        <v>3117</v>
      </c>
      <c r="O642" s="60"/>
      <c r="P642" s="60"/>
      <c r="Q642" s="60"/>
      <c r="R642" s="60" t="n">
        <v>7</v>
      </c>
      <c r="S642" s="60" t="n">
        <v>0</v>
      </c>
      <c r="T642" s="61"/>
      <c r="U642" s="60"/>
      <c r="V642" s="60"/>
      <c r="W642" s="60" t="s">
        <v>3047</v>
      </c>
      <c r="X642" s="4"/>
      <c r="Y642" s="4"/>
      <c r="Z642" s="4"/>
    </row>
    <row r="643" customFormat="false" ht="15.75" hidden="false" customHeight="true" outlineLevel="0" collapsed="false">
      <c r="A643" s="60"/>
      <c r="B643" s="60" t="s">
        <v>3196</v>
      </c>
      <c r="C643" s="61"/>
      <c r="D643" s="60"/>
      <c r="E643" s="60"/>
      <c r="F643" s="60" t="s">
        <v>1194</v>
      </c>
      <c r="G643" s="60" t="s">
        <v>1194</v>
      </c>
      <c r="H643" s="60" t="s">
        <v>1235</v>
      </c>
      <c r="I643" s="60" t="s">
        <v>3130</v>
      </c>
      <c r="J643" s="60"/>
      <c r="K643" s="60" t="s">
        <v>3156</v>
      </c>
      <c r="L643" s="60" t="n">
        <v>3.5</v>
      </c>
      <c r="M643" s="60" t="n">
        <v>48</v>
      </c>
      <c r="N643" s="60" t="s">
        <v>3117</v>
      </c>
      <c r="O643" s="60"/>
      <c r="P643" s="60"/>
      <c r="Q643" s="60"/>
      <c r="R643" s="60" t="n">
        <v>8</v>
      </c>
      <c r="S643" s="60" t="n">
        <v>0</v>
      </c>
      <c r="T643" s="61"/>
      <c r="U643" s="60"/>
      <c r="V643" s="60"/>
      <c r="W643" s="60" t="s">
        <v>3047</v>
      </c>
      <c r="X643" s="4"/>
      <c r="Y643" s="4"/>
      <c r="Z643" s="4"/>
    </row>
    <row r="644" customFormat="false" ht="15.75" hidden="false" customHeight="true" outlineLevel="0" collapsed="false">
      <c r="A644" s="60"/>
      <c r="B644" s="60" t="s">
        <v>3197</v>
      </c>
      <c r="C644" s="61"/>
      <c r="D644" s="60"/>
      <c r="E644" s="60"/>
      <c r="F644" s="60" t="s">
        <v>1194</v>
      </c>
      <c r="G644" s="60" t="s">
        <v>1194</v>
      </c>
      <c r="H644" s="60" t="s">
        <v>1235</v>
      </c>
      <c r="I644" s="60" t="s">
        <v>3130</v>
      </c>
      <c r="J644" s="60"/>
      <c r="K644" s="60" t="s">
        <v>3156</v>
      </c>
      <c r="L644" s="60" t="n">
        <v>3.5</v>
      </c>
      <c r="M644" s="60" t="n">
        <v>48</v>
      </c>
      <c r="N644" s="60" t="s">
        <v>3117</v>
      </c>
      <c r="O644" s="60"/>
      <c r="P644" s="60"/>
      <c r="Q644" s="60"/>
      <c r="R644" s="60" t="n">
        <v>7</v>
      </c>
      <c r="S644" s="60" t="n">
        <v>0</v>
      </c>
      <c r="T644" s="61"/>
      <c r="U644" s="60"/>
      <c r="V644" s="60"/>
      <c r="W644" s="60" t="s">
        <v>3047</v>
      </c>
      <c r="X644" s="4"/>
      <c r="Y644" s="4"/>
      <c r="Z644" s="4"/>
    </row>
    <row r="645" customFormat="false" ht="15.75" hidden="false" customHeight="true" outlineLevel="0" collapsed="false">
      <c r="A645" s="60"/>
      <c r="B645" s="60" t="s">
        <v>3198</v>
      </c>
      <c r="C645" s="61"/>
      <c r="D645" s="60"/>
      <c r="E645" s="60"/>
      <c r="F645" s="60" t="s">
        <v>1194</v>
      </c>
      <c r="G645" s="60" t="s">
        <v>1194</v>
      </c>
      <c r="H645" s="60" t="s">
        <v>1235</v>
      </c>
      <c r="I645" s="60" t="s">
        <v>3130</v>
      </c>
      <c r="J645" s="60"/>
      <c r="K645" s="60"/>
      <c r="L645" s="60"/>
      <c r="M645" s="60"/>
      <c r="N645" s="60" t="s">
        <v>3117</v>
      </c>
      <c r="O645" s="60"/>
      <c r="P645" s="60"/>
      <c r="Q645" s="60"/>
      <c r="R645" s="60" t="n">
        <v>8</v>
      </c>
      <c r="S645" s="60" t="n">
        <v>0</v>
      </c>
      <c r="T645" s="61"/>
      <c r="U645" s="60"/>
      <c r="V645" s="60"/>
      <c r="W645" s="60" t="s">
        <v>3075</v>
      </c>
      <c r="X645" s="4"/>
      <c r="Y645" s="4"/>
      <c r="Z645" s="4"/>
    </row>
    <row r="646" customFormat="false" ht="15.75" hidden="false" customHeight="true" outlineLevel="0" collapsed="false">
      <c r="A646" s="60"/>
      <c r="B646" s="60" t="s">
        <v>3199</v>
      </c>
      <c r="C646" s="61"/>
      <c r="D646" s="60"/>
      <c r="E646" s="60"/>
      <c r="F646" s="60" t="s">
        <v>1194</v>
      </c>
      <c r="G646" s="60" t="s">
        <v>1194</v>
      </c>
      <c r="H646" s="60" t="s">
        <v>1235</v>
      </c>
      <c r="I646" s="60" t="s">
        <v>3130</v>
      </c>
      <c r="J646" s="60"/>
      <c r="K646" s="60"/>
      <c r="L646" s="60"/>
      <c r="M646" s="60"/>
      <c r="N646" s="60" t="s">
        <v>3117</v>
      </c>
      <c r="O646" s="60"/>
      <c r="P646" s="60"/>
      <c r="Q646" s="60"/>
      <c r="R646" s="60" t="n">
        <v>5</v>
      </c>
      <c r="S646" s="60" t="n">
        <v>0</v>
      </c>
      <c r="T646" s="61"/>
      <c r="U646" s="60"/>
      <c r="V646" s="60"/>
      <c r="W646" s="60" t="s">
        <v>3200</v>
      </c>
      <c r="X646" s="4"/>
      <c r="Y646" s="4"/>
      <c r="Z646" s="4"/>
    </row>
    <row r="647" customFormat="false" ht="15.75" hidden="false" customHeight="true" outlineLevel="0" collapsed="false">
      <c r="A647" s="60"/>
      <c r="B647" s="60" t="s">
        <v>3201</v>
      </c>
      <c r="C647" s="61"/>
      <c r="D647" s="60"/>
      <c r="E647" s="60"/>
      <c r="F647" s="60" t="s">
        <v>1194</v>
      </c>
      <c r="G647" s="60" t="s">
        <v>1194</v>
      </c>
      <c r="H647" s="60" t="s">
        <v>1235</v>
      </c>
      <c r="I647" s="60" t="s">
        <v>3130</v>
      </c>
      <c r="J647" s="60"/>
      <c r="K647" s="60"/>
      <c r="L647" s="60"/>
      <c r="M647" s="60"/>
      <c r="N647" s="60" t="s">
        <v>3117</v>
      </c>
      <c r="O647" s="60"/>
      <c r="P647" s="60"/>
      <c r="Q647" s="60"/>
      <c r="R647" s="60" t="n">
        <v>3</v>
      </c>
      <c r="S647" s="60" t="n">
        <v>0</v>
      </c>
      <c r="T647" s="61"/>
      <c r="U647" s="60"/>
      <c r="V647" s="60"/>
      <c r="W647" s="60" t="s">
        <v>3075</v>
      </c>
      <c r="X647" s="4"/>
      <c r="Y647" s="4"/>
      <c r="Z647" s="4"/>
    </row>
    <row r="648" customFormat="false" ht="15.75" hidden="false" customHeight="true" outlineLevel="0" collapsed="false">
      <c r="A648" s="60"/>
      <c r="B648" s="60" t="s">
        <v>3202</v>
      </c>
      <c r="C648" s="61"/>
      <c r="D648" s="60"/>
      <c r="E648" s="60"/>
      <c r="F648" s="60" t="s">
        <v>1194</v>
      </c>
      <c r="G648" s="60" t="s">
        <v>1194</v>
      </c>
      <c r="H648" s="60" t="s">
        <v>1235</v>
      </c>
      <c r="I648" s="60" t="s">
        <v>3130</v>
      </c>
      <c r="J648" s="60"/>
      <c r="K648" s="60"/>
      <c r="L648" s="60"/>
      <c r="M648" s="60"/>
      <c r="N648" s="60" t="s">
        <v>3117</v>
      </c>
      <c r="O648" s="60"/>
      <c r="P648" s="60"/>
      <c r="Q648" s="60"/>
      <c r="R648" s="60" t="n">
        <v>4</v>
      </c>
      <c r="S648" s="60" t="n">
        <v>0</v>
      </c>
      <c r="T648" s="61"/>
      <c r="U648" s="60"/>
      <c r="V648" s="60"/>
      <c r="W648" s="60" t="s">
        <v>3200</v>
      </c>
      <c r="X648" s="4"/>
      <c r="Y648" s="4"/>
      <c r="Z648" s="4"/>
    </row>
    <row r="649" customFormat="false" ht="15.75" hidden="false" customHeight="true" outlineLevel="0" collapsed="false">
      <c r="A649" s="60"/>
      <c r="B649" s="60" t="s">
        <v>3203</v>
      </c>
      <c r="C649" s="61"/>
      <c r="D649" s="60"/>
      <c r="E649" s="60"/>
      <c r="F649" s="60" t="s">
        <v>1194</v>
      </c>
      <c r="G649" s="60" t="s">
        <v>1194</v>
      </c>
      <c r="H649" s="60" t="s">
        <v>1235</v>
      </c>
      <c r="I649" s="60" t="s">
        <v>3130</v>
      </c>
      <c r="J649" s="60"/>
      <c r="K649" s="60"/>
      <c r="L649" s="60"/>
      <c r="M649" s="60"/>
      <c r="N649" s="60" t="s">
        <v>3117</v>
      </c>
      <c r="O649" s="60"/>
      <c r="P649" s="60"/>
      <c r="Q649" s="60"/>
      <c r="R649" s="60" t="n">
        <v>3</v>
      </c>
      <c r="S649" s="60" t="n">
        <v>0</v>
      </c>
      <c r="T649" s="61"/>
      <c r="U649" s="60"/>
      <c r="V649" s="60"/>
      <c r="W649" s="60" t="s">
        <v>3075</v>
      </c>
      <c r="X649" s="4"/>
      <c r="Y649" s="4"/>
      <c r="Z649" s="4"/>
    </row>
    <row r="650" customFormat="false" ht="15.75" hidden="false" customHeight="true" outlineLevel="0" collapsed="false">
      <c r="A650" s="60"/>
      <c r="B650" s="60" t="s">
        <v>3204</v>
      </c>
      <c r="C650" s="61"/>
      <c r="D650" s="60"/>
      <c r="E650" s="60"/>
      <c r="F650" s="60" t="s">
        <v>1194</v>
      </c>
      <c r="G650" s="60" t="s">
        <v>1194</v>
      </c>
      <c r="H650" s="60" t="s">
        <v>1235</v>
      </c>
      <c r="I650" s="60" t="s">
        <v>3130</v>
      </c>
      <c r="J650" s="60"/>
      <c r="K650" s="60" t="s">
        <v>3205</v>
      </c>
      <c r="L650" s="60" t="n">
        <v>8</v>
      </c>
      <c r="M650" s="60" t="n">
        <v>1</v>
      </c>
      <c r="N650" s="60" t="s">
        <v>3117</v>
      </c>
      <c r="O650" s="60"/>
      <c r="P650" s="60"/>
      <c r="Q650" s="60"/>
      <c r="R650" s="60" t="n">
        <v>7</v>
      </c>
      <c r="S650" s="60" t="n">
        <v>0</v>
      </c>
      <c r="T650" s="61"/>
      <c r="U650" s="60"/>
      <c r="V650" s="60"/>
      <c r="W650" s="60" t="s">
        <v>3047</v>
      </c>
      <c r="X650" s="4"/>
      <c r="Y650" s="4"/>
      <c r="Z650" s="4"/>
    </row>
    <row r="651" customFormat="false" ht="15.75" hidden="false" customHeight="true" outlineLevel="0" collapsed="false">
      <c r="A651" s="60"/>
      <c r="B651" s="60" t="s">
        <v>3206</v>
      </c>
      <c r="C651" s="61"/>
      <c r="D651" s="60"/>
      <c r="E651" s="60"/>
      <c r="F651" s="60" t="s">
        <v>1194</v>
      </c>
      <c r="G651" s="60" t="s">
        <v>1194</v>
      </c>
      <c r="H651" s="60" t="s">
        <v>1235</v>
      </c>
      <c r="I651" s="60" t="s">
        <v>3130</v>
      </c>
      <c r="J651" s="60"/>
      <c r="K651" s="60"/>
      <c r="L651" s="60"/>
      <c r="M651" s="60"/>
      <c r="N651" s="60" t="s">
        <v>3117</v>
      </c>
      <c r="O651" s="60"/>
      <c r="P651" s="60"/>
      <c r="Q651" s="60"/>
      <c r="R651" s="60" t="n">
        <v>4</v>
      </c>
      <c r="S651" s="60" t="n">
        <v>0</v>
      </c>
      <c r="T651" s="61"/>
      <c r="U651" s="60"/>
      <c r="V651" s="60"/>
      <c r="W651" s="60" t="s">
        <v>3075</v>
      </c>
      <c r="X651" s="4"/>
      <c r="Y651" s="4"/>
      <c r="Z651" s="4"/>
    </row>
    <row r="652" customFormat="false" ht="15.75" hidden="false" customHeight="true" outlineLevel="0" collapsed="false">
      <c r="A652" s="60"/>
      <c r="B652" s="60" t="s">
        <v>3207</v>
      </c>
      <c r="C652" s="61"/>
      <c r="D652" s="60"/>
      <c r="E652" s="60"/>
      <c r="F652" s="60" t="s">
        <v>1194</v>
      </c>
      <c r="G652" s="60" t="s">
        <v>1194</v>
      </c>
      <c r="H652" s="60" t="s">
        <v>1235</v>
      </c>
      <c r="I652" s="60" t="s">
        <v>3130</v>
      </c>
      <c r="J652" s="60"/>
      <c r="K652" s="60"/>
      <c r="L652" s="60"/>
      <c r="M652" s="60"/>
      <c r="N652" s="60" t="s">
        <v>3117</v>
      </c>
      <c r="O652" s="60"/>
      <c r="P652" s="60"/>
      <c r="Q652" s="60"/>
      <c r="R652" s="60" t="n">
        <v>3</v>
      </c>
      <c r="S652" s="60" t="n">
        <v>0</v>
      </c>
      <c r="T652" s="61"/>
      <c r="U652" s="60"/>
      <c r="V652" s="60"/>
      <c r="W652" s="60" t="s">
        <v>3075</v>
      </c>
      <c r="X652" s="4"/>
      <c r="Y652" s="4"/>
      <c r="Z652" s="4"/>
    </row>
    <row r="653" customFormat="false" ht="15.75" hidden="false" customHeight="true" outlineLevel="0" collapsed="false">
      <c r="A653" s="60"/>
      <c r="B653" s="60" t="s">
        <v>3208</v>
      </c>
      <c r="C653" s="61"/>
      <c r="D653" s="60"/>
      <c r="E653" s="60"/>
      <c r="F653" s="60" t="s">
        <v>1194</v>
      </c>
      <c r="G653" s="60" t="s">
        <v>1194</v>
      </c>
      <c r="H653" s="60" t="s">
        <v>1235</v>
      </c>
      <c r="I653" s="60" t="s">
        <v>3130</v>
      </c>
      <c r="J653" s="60"/>
      <c r="K653" s="60"/>
      <c r="L653" s="60"/>
      <c r="M653" s="60"/>
      <c r="N653" s="60" t="s">
        <v>3117</v>
      </c>
      <c r="O653" s="60"/>
      <c r="P653" s="60"/>
      <c r="Q653" s="60"/>
      <c r="R653" s="60" t="n">
        <v>7</v>
      </c>
      <c r="S653" s="60" t="n">
        <v>0</v>
      </c>
      <c r="T653" s="61"/>
      <c r="U653" s="60"/>
      <c r="V653" s="60"/>
      <c r="W653" s="60" t="s">
        <v>3075</v>
      </c>
      <c r="X653" s="4"/>
      <c r="Y653" s="4"/>
      <c r="Z653" s="4"/>
    </row>
    <row r="654" customFormat="false" ht="15.75" hidden="false" customHeight="true" outlineLevel="0" collapsed="false">
      <c r="A654" s="60"/>
      <c r="B654" s="60" t="s">
        <v>3209</v>
      </c>
      <c r="C654" s="61"/>
      <c r="D654" s="60"/>
      <c r="E654" s="60"/>
      <c r="F654" s="60" t="s">
        <v>1194</v>
      </c>
      <c r="G654" s="60" t="s">
        <v>1194</v>
      </c>
      <c r="H654" s="60" t="s">
        <v>1235</v>
      </c>
      <c r="I654" s="60" t="s">
        <v>3130</v>
      </c>
      <c r="J654" s="60"/>
      <c r="K654" s="60"/>
      <c r="L654" s="60"/>
      <c r="M654" s="60"/>
      <c r="N654" s="60" t="s">
        <v>3117</v>
      </c>
      <c r="O654" s="60"/>
      <c r="P654" s="60"/>
      <c r="Q654" s="60"/>
      <c r="R654" s="60" t="n">
        <v>8</v>
      </c>
      <c r="S654" s="60" t="n">
        <v>0</v>
      </c>
      <c r="T654" s="61"/>
      <c r="U654" s="60"/>
      <c r="V654" s="60"/>
      <c r="W654" s="60" t="s">
        <v>3075</v>
      </c>
      <c r="X654" s="4"/>
      <c r="Y654" s="4"/>
      <c r="Z654" s="4"/>
    </row>
    <row r="655" customFormat="false" ht="15.75" hidden="false" customHeight="true" outlineLevel="0" collapsed="false">
      <c r="A655" s="60"/>
      <c r="B655" s="60" t="s">
        <v>3210</v>
      </c>
      <c r="C655" s="61"/>
      <c r="D655" s="60"/>
      <c r="E655" s="60"/>
      <c r="F655" s="60" t="s">
        <v>1194</v>
      </c>
      <c r="G655" s="60" t="s">
        <v>1194</v>
      </c>
      <c r="H655" s="60" t="s">
        <v>1235</v>
      </c>
      <c r="I655" s="60" t="s">
        <v>3130</v>
      </c>
      <c r="J655" s="60"/>
      <c r="K655" s="60"/>
      <c r="L655" s="60"/>
      <c r="M655" s="60"/>
      <c r="N655" s="60" t="s">
        <v>3117</v>
      </c>
      <c r="O655" s="60"/>
      <c r="P655" s="60"/>
      <c r="Q655" s="60"/>
      <c r="R655" s="60" t="n">
        <v>5</v>
      </c>
      <c r="S655" s="60" t="n">
        <v>0</v>
      </c>
      <c r="T655" s="61"/>
      <c r="U655" s="60"/>
      <c r="V655" s="60"/>
      <c r="W655" s="60" t="s">
        <v>3075</v>
      </c>
      <c r="X655" s="4"/>
      <c r="Y655" s="4"/>
      <c r="Z655" s="4"/>
    </row>
    <row r="656" customFormat="false" ht="15.75" hidden="false" customHeight="true" outlineLevel="0" collapsed="false">
      <c r="A656" s="60"/>
      <c r="B656" s="60" t="s">
        <v>3211</v>
      </c>
      <c r="C656" s="61"/>
      <c r="D656" s="60"/>
      <c r="E656" s="60"/>
      <c r="F656" s="60" t="s">
        <v>1194</v>
      </c>
      <c r="G656" s="60" t="s">
        <v>1194</v>
      </c>
      <c r="H656" s="60" t="s">
        <v>1235</v>
      </c>
      <c r="I656" s="60" t="s">
        <v>3130</v>
      </c>
      <c r="J656" s="60"/>
      <c r="K656" s="60" t="s">
        <v>3212</v>
      </c>
      <c r="L656" s="60" t="n">
        <v>0.5</v>
      </c>
      <c r="M656" s="60" t="n">
        <v>44</v>
      </c>
      <c r="N656" s="60" t="s">
        <v>3117</v>
      </c>
      <c r="O656" s="60"/>
      <c r="P656" s="60"/>
      <c r="Q656" s="60"/>
      <c r="R656" s="60" t="n">
        <v>9</v>
      </c>
      <c r="S656" s="60" t="n">
        <v>0</v>
      </c>
      <c r="T656" s="61"/>
      <c r="U656" s="60"/>
      <c r="V656" s="60"/>
      <c r="W656" s="60" t="s">
        <v>3047</v>
      </c>
      <c r="X656" s="4"/>
      <c r="Y656" s="4"/>
      <c r="Z656" s="4"/>
    </row>
    <row r="657" customFormat="false" ht="15.75" hidden="false" customHeight="true" outlineLevel="0" collapsed="false">
      <c r="A657" s="60"/>
      <c r="B657" s="60" t="s">
        <v>3213</v>
      </c>
      <c r="C657" s="61"/>
      <c r="D657" s="60"/>
      <c r="E657" s="60"/>
      <c r="F657" s="60" t="s">
        <v>1194</v>
      </c>
      <c r="G657" s="60" t="s">
        <v>1194</v>
      </c>
      <c r="H657" s="60" t="s">
        <v>1235</v>
      </c>
      <c r="I657" s="60" t="s">
        <v>3130</v>
      </c>
      <c r="J657" s="60"/>
      <c r="K657" s="60"/>
      <c r="L657" s="60"/>
      <c r="M657" s="60"/>
      <c r="N657" s="60" t="s">
        <v>3117</v>
      </c>
      <c r="O657" s="60"/>
      <c r="P657" s="60"/>
      <c r="Q657" s="60"/>
      <c r="R657" s="60" t="n">
        <v>8</v>
      </c>
      <c r="S657" s="60" t="n">
        <v>0</v>
      </c>
      <c r="T657" s="61"/>
      <c r="U657" s="60"/>
      <c r="V657" s="60"/>
      <c r="W657" s="60" t="s">
        <v>3075</v>
      </c>
      <c r="X657" s="4"/>
      <c r="Y657" s="4"/>
      <c r="Z657" s="4"/>
    </row>
    <row r="658" customFormat="false" ht="15.75" hidden="false" customHeight="true" outlineLevel="0" collapsed="false">
      <c r="A658" s="60"/>
      <c r="B658" s="60" t="s">
        <v>3214</v>
      </c>
      <c r="C658" s="61"/>
      <c r="D658" s="60"/>
      <c r="E658" s="60"/>
      <c r="F658" s="60" t="s">
        <v>1194</v>
      </c>
      <c r="G658" s="60" t="s">
        <v>1194</v>
      </c>
      <c r="H658" s="60" t="s">
        <v>1235</v>
      </c>
      <c r="I658" s="60" t="s">
        <v>3130</v>
      </c>
      <c r="J658" s="60"/>
      <c r="K658" s="60" t="s">
        <v>3215</v>
      </c>
      <c r="L658" s="60" t="n">
        <v>0.5</v>
      </c>
      <c r="M658" s="60" t="n">
        <v>7.75</v>
      </c>
      <c r="N658" s="60" t="s">
        <v>3117</v>
      </c>
      <c r="O658" s="60"/>
      <c r="P658" s="60"/>
      <c r="Q658" s="60"/>
      <c r="R658" s="60" t="n">
        <v>8</v>
      </c>
      <c r="S658" s="60" t="n">
        <v>0</v>
      </c>
      <c r="T658" s="61"/>
      <c r="U658" s="60"/>
      <c r="V658" s="60"/>
      <c r="W658" s="60" t="s">
        <v>3047</v>
      </c>
      <c r="X658" s="4"/>
      <c r="Y658" s="4"/>
      <c r="Z658" s="4"/>
    </row>
    <row r="659" customFormat="false" ht="15.75" hidden="false" customHeight="true" outlineLevel="0" collapsed="false">
      <c r="A659" s="60"/>
      <c r="B659" s="60" t="s">
        <v>3216</v>
      </c>
      <c r="C659" s="61"/>
      <c r="D659" s="60"/>
      <c r="E659" s="60"/>
      <c r="F659" s="60" t="s">
        <v>1194</v>
      </c>
      <c r="G659" s="60" t="s">
        <v>1194</v>
      </c>
      <c r="H659" s="60" t="s">
        <v>1235</v>
      </c>
      <c r="I659" s="60" t="s">
        <v>3130</v>
      </c>
      <c r="J659" s="60"/>
      <c r="K659" s="60" t="s">
        <v>3215</v>
      </c>
      <c r="L659" s="60" t="n">
        <v>0.5</v>
      </c>
      <c r="M659" s="60" t="n">
        <v>7.75</v>
      </c>
      <c r="N659" s="60" t="s">
        <v>3117</v>
      </c>
      <c r="O659" s="60"/>
      <c r="P659" s="60"/>
      <c r="Q659" s="60"/>
      <c r="R659" s="60" t="n">
        <v>8</v>
      </c>
      <c r="S659" s="60" t="n">
        <v>0</v>
      </c>
      <c r="T659" s="61"/>
      <c r="U659" s="60"/>
      <c r="V659" s="60"/>
      <c r="W659" s="60" t="s">
        <v>3047</v>
      </c>
      <c r="X659" s="4"/>
      <c r="Y659" s="4"/>
      <c r="Z659" s="4"/>
    </row>
    <row r="660" customFormat="false" ht="15.75" hidden="false" customHeight="true" outlineLevel="0" collapsed="false">
      <c r="A660" s="60"/>
      <c r="B660" s="60" t="s">
        <v>3217</v>
      </c>
      <c r="C660" s="61"/>
      <c r="D660" s="60"/>
      <c r="E660" s="60"/>
      <c r="F660" s="60" t="s">
        <v>1194</v>
      </c>
      <c r="G660" s="60" t="s">
        <v>1194</v>
      </c>
      <c r="H660" s="60" t="s">
        <v>1235</v>
      </c>
      <c r="I660" s="60" t="s">
        <v>3130</v>
      </c>
      <c r="J660" s="60"/>
      <c r="K660" s="60" t="s">
        <v>3215</v>
      </c>
      <c r="L660" s="60" t="n">
        <v>0.5</v>
      </c>
      <c r="M660" s="60" t="n">
        <v>7.75</v>
      </c>
      <c r="N660" s="60" t="s">
        <v>3117</v>
      </c>
      <c r="O660" s="60"/>
      <c r="P660" s="60"/>
      <c r="Q660" s="60"/>
      <c r="R660" s="60" t="n">
        <v>13</v>
      </c>
      <c r="S660" s="60" t="n">
        <v>0</v>
      </c>
      <c r="T660" s="61"/>
      <c r="U660" s="60"/>
      <c r="V660" s="60"/>
      <c r="W660" s="60" t="s">
        <v>3047</v>
      </c>
      <c r="X660" s="4"/>
      <c r="Y660" s="4"/>
      <c r="Z660" s="4"/>
    </row>
    <row r="661" customFormat="false" ht="15.75" hidden="false" customHeight="true" outlineLevel="0" collapsed="false">
      <c r="A661" s="60"/>
      <c r="B661" s="60" t="s">
        <v>3218</v>
      </c>
      <c r="C661" s="61"/>
      <c r="D661" s="60"/>
      <c r="E661" s="60"/>
      <c r="F661" s="60" t="s">
        <v>1194</v>
      </c>
      <c r="G661" s="60" t="s">
        <v>1194</v>
      </c>
      <c r="H661" s="60" t="s">
        <v>1235</v>
      </c>
      <c r="I661" s="60" t="s">
        <v>3130</v>
      </c>
      <c r="J661" s="60"/>
      <c r="K661" s="60" t="s">
        <v>3215</v>
      </c>
      <c r="L661" s="60" t="n">
        <v>0.5</v>
      </c>
      <c r="M661" s="60" t="n">
        <v>7.75</v>
      </c>
      <c r="N661" s="60" t="s">
        <v>3117</v>
      </c>
      <c r="O661" s="60"/>
      <c r="P661" s="60"/>
      <c r="Q661" s="60"/>
      <c r="R661" s="60" t="n">
        <v>9</v>
      </c>
      <c r="S661" s="60" t="n">
        <v>0</v>
      </c>
      <c r="T661" s="61"/>
      <c r="U661" s="60"/>
      <c r="V661" s="60"/>
      <c r="W661" s="60" t="s">
        <v>3047</v>
      </c>
      <c r="X661" s="4"/>
      <c r="Y661" s="4"/>
      <c r="Z661" s="4"/>
    </row>
    <row r="662" customFormat="false" ht="15.75" hidden="false" customHeight="true" outlineLevel="0" collapsed="false">
      <c r="A662" s="60"/>
      <c r="B662" s="60" t="s">
        <v>3219</v>
      </c>
      <c r="C662" s="61"/>
      <c r="D662" s="60"/>
      <c r="E662" s="60"/>
      <c r="F662" s="60" t="s">
        <v>1194</v>
      </c>
      <c r="G662" s="60" t="s">
        <v>1194</v>
      </c>
      <c r="H662" s="60" t="s">
        <v>1235</v>
      </c>
      <c r="I662" s="60" t="s">
        <v>3130</v>
      </c>
      <c r="J662" s="60"/>
      <c r="K662" s="60"/>
      <c r="L662" s="60"/>
      <c r="M662" s="60"/>
      <c r="N662" s="60" t="s">
        <v>3117</v>
      </c>
      <c r="O662" s="60"/>
      <c r="P662" s="60"/>
      <c r="Q662" s="60"/>
      <c r="R662" s="60" t="n">
        <v>7</v>
      </c>
      <c r="S662" s="60" t="n">
        <v>0</v>
      </c>
      <c r="T662" s="61"/>
      <c r="U662" s="60"/>
      <c r="V662" s="60"/>
      <c r="W662" s="60" t="s">
        <v>3075</v>
      </c>
      <c r="X662" s="4"/>
      <c r="Y662" s="4"/>
      <c r="Z662" s="4"/>
    </row>
    <row r="663" customFormat="false" ht="15.75" hidden="false" customHeight="true" outlineLevel="0" collapsed="false">
      <c r="A663" s="60"/>
      <c r="B663" s="60" t="s">
        <v>3220</v>
      </c>
      <c r="C663" s="61"/>
      <c r="D663" s="60"/>
      <c r="E663" s="60"/>
      <c r="F663" s="60" t="s">
        <v>1194</v>
      </c>
      <c r="G663" s="60" t="s">
        <v>1194</v>
      </c>
      <c r="H663" s="60" t="s">
        <v>1235</v>
      </c>
      <c r="I663" s="60" t="s">
        <v>3130</v>
      </c>
      <c r="J663" s="60"/>
      <c r="K663" s="60"/>
      <c r="L663" s="60"/>
      <c r="M663" s="60"/>
      <c r="N663" s="60" t="s">
        <v>3117</v>
      </c>
      <c r="O663" s="60"/>
      <c r="P663" s="60"/>
      <c r="Q663" s="60"/>
      <c r="R663" s="60" t="n">
        <v>7</v>
      </c>
      <c r="S663" s="60" t="n">
        <v>0</v>
      </c>
      <c r="T663" s="61"/>
      <c r="U663" s="60"/>
      <c r="V663" s="60"/>
      <c r="W663" s="60" t="s">
        <v>3075</v>
      </c>
      <c r="X663" s="4"/>
      <c r="Y663" s="4"/>
      <c r="Z663" s="4"/>
    </row>
    <row r="664" customFormat="false" ht="15.75" hidden="false" customHeight="true" outlineLevel="0" collapsed="false">
      <c r="A664" s="60"/>
      <c r="B664" s="60" t="s">
        <v>3221</v>
      </c>
      <c r="C664" s="61"/>
      <c r="D664" s="60"/>
      <c r="E664" s="60"/>
      <c r="F664" s="60" t="s">
        <v>1194</v>
      </c>
      <c r="G664" s="60" t="s">
        <v>1194</v>
      </c>
      <c r="H664" s="60" t="s">
        <v>1235</v>
      </c>
      <c r="I664" s="60" t="s">
        <v>3130</v>
      </c>
      <c r="J664" s="60"/>
      <c r="K664" s="60"/>
      <c r="L664" s="60"/>
      <c r="M664" s="60"/>
      <c r="N664" s="60" t="s">
        <v>3117</v>
      </c>
      <c r="O664" s="60"/>
      <c r="P664" s="60"/>
      <c r="Q664" s="60"/>
      <c r="R664" s="60" t="n">
        <v>7</v>
      </c>
      <c r="S664" s="60" t="n">
        <v>0</v>
      </c>
      <c r="T664" s="61"/>
      <c r="U664" s="60"/>
      <c r="V664" s="60"/>
      <c r="W664" s="60" t="s">
        <v>3075</v>
      </c>
      <c r="X664" s="4"/>
      <c r="Y664" s="4"/>
      <c r="Z664" s="4"/>
    </row>
    <row r="665" customFormat="false" ht="15.75" hidden="false" customHeight="true" outlineLevel="0" collapsed="false">
      <c r="A665" s="60"/>
      <c r="B665" s="60" t="s">
        <v>3222</v>
      </c>
      <c r="C665" s="61"/>
      <c r="D665" s="60"/>
      <c r="E665" s="60"/>
      <c r="F665" s="60" t="s">
        <v>1194</v>
      </c>
      <c r="G665" s="60" t="s">
        <v>1194</v>
      </c>
      <c r="H665" s="60" t="s">
        <v>1235</v>
      </c>
      <c r="I665" s="60" t="s">
        <v>3130</v>
      </c>
      <c r="J665" s="60"/>
      <c r="K665" s="60"/>
      <c r="L665" s="60"/>
      <c r="M665" s="60"/>
      <c r="N665" s="60" t="s">
        <v>3117</v>
      </c>
      <c r="O665" s="60"/>
      <c r="P665" s="60"/>
      <c r="Q665" s="60"/>
      <c r="R665" s="60" t="n">
        <v>7</v>
      </c>
      <c r="S665" s="60" t="n">
        <v>0</v>
      </c>
      <c r="T665" s="61"/>
      <c r="U665" s="60"/>
      <c r="V665" s="60"/>
      <c r="W665" s="60" t="s">
        <v>3075</v>
      </c>
      <c r="X665" s="4"/>
      <c r="Y665" s="4"/>
      <c r="Z665" s="4"/>
    </row>
    <row r="666" customFormat="false" ht="15.75" hidden="false" customHeight="true" outlineLevel="0" collapsed="false">
      <c r="A666" s="60"/>
      <c r="B666" s="60" t="s">
        <v>3223</v>
      </c>
      <c r="C666" s="61"/>
      <c r="D666" s="60"/>
      <c r="E666" s="60"/>
      <c r="F666" s="60" t="s">
        <v>1194</v>
      </c>
      <c r="G666" s="60" t="s">
        <v>1194</v>
      </c>
      <c r="H666" s="60" t="s">
        <v>1235</v>
      </c>
      <c r="I666" s="60" t="s">
        <v>3130</v>
      </c>
      <c r="J666" s="60"/>
      <c r="K666" s="60"/>
      <c r="L666" s="60"/>
      <c r="M666" s="60"/>
      <c r="N666" s="60" t="s">
        <v>3117</v>
      </c>
      <c r="O666" s="60"/>
      <c r="P666" s="60"/>
      <c r="Q666" s="60"/>
      <c r="R666" s="60" t="n">
        <v>8</v>
      </c>
      <c r="S666" s="60" t="n">
        <v>0</v>
      </c>
      <c r="T666" s="61"/>
      <c r="U666" s="60"/>
      <c r="V666" s="60"/>
      <c r="W666" s="60" t="s">
        <v>3075</v>
      </c>
      <c r="X666" s="4"/>
      <c r="Y666" s="4"/>
      <c r="Z666" s="4"/>
    </row>
    <row r="667" customFormat="false" ht="15.75" hidden="false" customHeight="true" outlineLevel="0" collapsed="false">
      <c r="A667" s="60"/>
      <c r="B667" s="60" t="s">
        <v>3224</v>
      </c>
      <c r="C667" s="61"/>
      <c r="D667" s="60"/>
      <c r="E667" s="60"/>
      <c r="F667" s="60" t="s">
        <v>1194</v>
      </c>
      <c r="G667" s="60" t="s">
        <v>1194</v>
      </c>
      <c r="H667" s="60" t="s">
        <v>1235</v>
      </c>
      <c r="I667" s="60" t="s">
        <v>3130</v>
      </c>
      <c r="J667" s="60"/>
      <c r="K667" s="60"/>
      <c r="L667" s="60"/>
      <c r="M667" s="60"/>
      <c r="N667" s="60" t="s">
        <v>3117</v>
      </c>
      <c r="O667" s="60"/>
      <c r="P667" s="60"/>
      <c r="Q667" s="60"/>
      <c r="R667" s="60" t="n">
        <v>6</v>
      </c>
      <c r="S667" s="60" t="n">
        <v>0</v>
      </c>
      <c r="T667" s="61"/>
      <c r="U667" s="60"/>
      <c r="V667" s="60"/>
      <c r="W667" s="60" t="s">
        <v>3075</v>
      </c>
      <c r="X667" s="4"/>
      <c r="Y667" s="4"/>
      <c r="Z667" s="4"/>
    </row>
    <row r="668" customFormat="false" ht="15.75" hidden="false" customHeight="true" outlineLevel="0" collapsed="false">
      <c r="A668" s="60"/>
      <c r="B668" s="60" t="s">
        <v>3225</v>
      </c>
      <c r="C668" s="61"/>
      <c r="D668" s="60"/>
      <c r="E668" s="60"/>
      <c r="F668" s="60" t="s">
        <v>1194</v>
      </c>
      <c r="G668" s="60" t="s">
        <v>1194</v>
      </c>
      <c r="H668" s="60" t="s">
        <v>1235</v>
      </c>
      <c r="I668" s="60" t="s">
        <v>3130</v>
      </c>
      <c r="J668" s="60"/>
      <c r="K668" s="60"/>
      <c r="L668" s="60"/>
      <c r="M668" s="60"/>
      <c r="N668" s="60" t="s">
        <v>3117</v>
      </c>
      <c r="O668" s="60"/>
      <c r="P668" s="60"/>
      <c r="Q668" s="60"/>
      <c r="R668" s="60" t="n">
        <v>7</v>
      </c>
      <c r="S668" s="60" t="n">
        <v>0</v>
      </c>
      <c r="T668" s="61"/>
      <c r="U668" s="60"/>
      <c r="V668" s="60"/>
      <c r="W668" s="60" t="s">
        <v>3075</v>
      </c>
      <c r="X668" s="4"/>
      <c r="Y668" s="4"/>
      <c r="Z668" s="4"/>
    </row>
    <row r="669" customFormat="false" ht="15.75" hidden="false" customHeight="true" outlineLevel="0" collapsed="false">
      <c r="A669" s="60"/>
      <c r="B669" s="60" t="s">
        <v>3226</v>
      </c>
      <c r="C669" s="61"/>
      <c r="D669" s="60"/>
      <c r="E669" s="60"/>
      <c r="F669" s="60" t="s">
        <v>1194</v>
      </c>
      <c r="G669" s="60" t="s">
        <v>1194</v>
      </c>
      <c r="H669" s="60" t="s">
        <v>1235</v>
      </c>
      <c r="I669" s="60" t="s">
        <v>3130</v>
      </c>
      <c r="J669" s="60"/>
      <c r="K669" s="60"/>
      <c r="L669" s="60"/>
      <c r="M669" s="60"/>
      <c r="N669" s="60" t="s">
        <v>3117</v>
      </c>
      <c r="O669" s="60"/>
      <c r="P669" s="60"/>
      <c r="Q669" s="60"/>
      <c r="R669" s="60" t="n">
        <v>5</v>
      </c>
      <c r="S669" s="60" t="n">
        <v>0</v>
      </c>
      <c r="T669" s="61"/>
      <c r="U669" s="60"/>
      <c r="V669" s="60"/>
      <c r="W669" s="60" t="s">
        <v>3075</v>
      </c>
      <c r="X669" s="4"/>
      <c r="Y669" s="4"/>
      <c r="Z669" s="4"/>
    </row>
    <row r="670" customFormat="false" ht="15.75" hidden="false" customHeight="true" outlineLevel="0" collapsed="false">
      <c r="A670" s="60"/>
      <c r="B670" s="60" t="s">
        <v>3227</v>
      </c>
      <c r="C670" s="61"/>
      <c r="D670" s="60"/>
      <c r="E670" s="60"/>
      <c r="F670" s="60" t="s">
        <v>1194</v>
      </c>
      <c r="G670" s="60" t="s">
        <v>1194</v>
      </c>
      <c r="H670" s="60" t="s">
        <v>1235</v>
      </c>
      <c r="I670" s="60" t="s">
        <v>3130</v>
      </c>
      <c r="J670" s="60"/>
      <c r="K670" s="60" t="s">
        <v>3228</v>
      </c>
      <c r="L670" s="60" t="n">
        <v>0.5</v>
      </c>
      <c r="M670" s="60" t="n">
        <v>1.75</v>
      </c>
      <c r="N670" s="60" t="s">
        <v>3117</v>
      </c>
      <c r="O670" s="60"/>
      <c r="P670" s="60"/>
      <c r="Q670" s="60"/>
      <c r="R670" s="60" t="n">
        <v>7</v>
      </c>
      <c r="S670" s="60" t="n">
        <v>0</v>
      </c>
      <c r="T670" s="61"/>
      <c r="U670" s="60"/>
      <c r="V670" s="60"/>
      <c r="W670" s="60" t="s">
        <v>3047</v>
      </c>
      <c r="X670" s="4"/>
      <c r="Y670" s="4"/>
      <c r="Z670" s="4"/>
    </row>
    <row r="671" customFormat="false" ht="15.75" hidden="false" customHeight="true" outlineLevel="0" collapsed="false">
      <c r="A671" s="60"/>
      <c r="B671" s="60" t="s">
        <v>3229</v>
      </c>
      <c r="C671" s="61"/>
      <c r="D671" s="60"/>
      <c r="E671" s="60"/>
      <c r="F671" s="60" t="s">
        <v>1194</v>
      </c>
      <c r="G671" s="60" t="s">
        <v>1194</v>
      </c>
      <c r="H671" s="60" t="s">
        <v>1235</v>
      </c>
      <c r="I671" s="60" t="s">
        <v>3130</v>
      </c>
      <c r="J671" s="60"/>
      <c r="K671" s="60" t="s">
        <v>3133</v>
      </c>
      <c r="L671" s="60" t="n">
        <v>1.3125</v>
      </c>
      <c r="M671" s="60" t="n">
        <v>36</v>
      </c>
      <c r="N671" s="60" t="s">
        <v>3117</v>
      </c>
      <c r="O671" s="60"/>
      <c r="P671" s="60"/>
      <c r="Q671" s="60"/>
      <c r="R671" s="60" t="n">
        <v>7</v>
      </c>
      <c r="S671" s="60" t="n">
        <v>0</v>
      </c>
      <c r="T671" s="61"/>
      <c r="U671" s="60"/>
      <c r="V671" s="60"/>
      <c r="W671" s="60" t="s">
        <v>3047</v>
      </c>
      <c r="X671" s="4"/>
      <c r="Y671" s="4"/>
      <c r="Z671" s="4"/>
    </row>
    <row r="672" customFormat="false" ht="15.75" hidden="false" customHeight="true" outlineLevel="0" collapsed="false">
      <c r="A672" s="60"/>
      <c r="B672" s="60" t="s">
        <v>3230</v>
      </c>
      <c r="C672" s="61"/>
      <c r="D672" s="60"/>
      <c r="E672" s="60"/>
      <c r="F672" s="60" t="s">
        <v>1194</v>
      </c>
      <c r="G672" s="60" t="s">
        <v>1194</v>
      </c>
      <c r="H672" s="60" t="s">
        <v>1235</v>
      </c>
      <c r="I672" s="60" t="s">
        <v>3130</v>
      </c>
      <c r="J672" s="60"/>
      <c r="K672" s="60"/>
      <c r="L672" s="60"/>
      <c r="M672" s="60"/>
      <c r="N672" s="60" t="s">
        <v>3117</v>
      </c>
      <c r="O672" s="60"/>
      <c r="P672" s="60"/>
      <c r="Q672" s="60"/>
      <c r="R672" s="60" t="n">
        <v>6</v>
      </c>
      <c r="S672" s="60" t="n">
        <v>0</v>
      </c>
      <c r="T672" s="61"/>
      <c r="U672" s="60"/>
      <c r="V672" s="60"/>
      <c r="W672" s="60" t="s">
        <v>3075</v>
      </c>
      <c r="X672" s="4"/>
      <c r="Y672" s="4"/>
      <c r="Z672" s="4"/>
    </row>
    <row r="673" customFormat="false" ht="15.75" hidden="false" customHeight="true" outlineLevel="0" collapsed="false">
      <c r="A673" s="60"/>
      <c r="B673" s="60" t="s">
        <v>3231</v>
      </c>
      <c r="C673" s="61"/>
      <c r="D673" s="60"/>
      <c r="E673" s="60"/>
      <c r="F673" s="60" t="s">
        <v>1194</v>
      </c>
      <c r="G673" s="60" t="s">
        <v>1194</v>
      </c>
      <c r="H673" s="60" t="s">
        <v>1235</v>
      </c>
      <c r="I673" s="60" t="s">
        <v>3130</v>
      </c>
      <c r="J673" s="60"/>
      <c r="K673" s="60" t="s">
        <v>3133</v>
      </c>
      <c r="L673" s="60" t="n">
        <v>1.3125</v>
      </c>
      <c r="M673" s="60" t="n">
        <v>36</v>
      </c>
      <c r="N673" s="60" t="s">
        <v>3117</v>
      </c>
      <c r="O673" s="60"/>
      <c r="P673" s="60"/>
      <c r="Q673" s="60"/>
      <c r="R673" s="60" t="n">
        <v>6</v>
      </c>
      <c r="S673" s="60" t="n">
        <v>0</v>
      </c>
      <c r="T673" s="61"/>
      <c r="U673" s="60"/>
      <c r="V673" s="60"/>
      <c r="W673" s="60" t="s">
        <v>3047</v>
      </c>
      <c r="X673" s="4"/>
      <c r="Y673" s="4"/>
      <c r="Z673" s="4"/>
    </row>
    <row r="674" customFormat="false" ht="15.75" hidden="false" customHeight="true" outlineLevel="0" collapsed="false">
      <c r="A674" s="60"/>
      <c r="B674" s="60" t="s">
        <v>3232</v>
      </c>
      <c r="C674" s="61"/>
      <c r="D674" s="60"/>
      <c r="E674" s="60"/>
      <c r="F674" s="60" t="s">
        <v>1194</v>
      </c>
      <c r="G674" s="60" t="s">
        <v>1194</v>
      </c>
      <c r="H674" s="60" t="s">
        <v>1235</v>
      </c>
      <c r="I674" s="60" t="s">
        <v>3130</v>
      </c>
      <c r="J674" s="60"/>
      <c r="K674" s="60" t="s">
        <v>3137</v>
      </c>
      <c r="L674" s="60" t="n">
        <v>1.3125</v>
      </c>
      <c r="M674" s="60" t="n">
        <v>39</v>
      </c>
      <c r="N674" s="60" t="s">
        <v>3117</v>
      </c>
      <c r="O674" s="60"/>
      <c r="P674" s="60"/>
      <c r="Q674" s="60"/>
      <c r="R674" s="60" t="n">
        <v>7</v>
      </c>
      <c r="S674" s="60" t="n">
        <v>0</v>
      </c>
      <c r="T674" s="61"/>
      <c r="U674" s="60"/>
      <c r="V674" s="60"/>
      <c r="W674" s="60" t="s">
        <v>3047</v>
      </c>
      <c r="X674" s="4"/>
      <c r="Y674" s="4"/>
      <c r="Z674" s="4"/>
    </row>
    <row r="675" customFormat="false" ht="15.75" hidden="false" customHeight="true" outlineLevel="0" collapsed="false">
      <c r="A675" s="60"/>
      <c r="B675" s="60" t="s">
        <v>3233</v>
      </c>
      <c r="C675" s="61"/>
      <c r="D675" s="60"/>
      <c r="E675" s="60"/>
      <c r="F675" s="60" t="s">
        <v>1194</v>
      </c>
      <c r="G675" s="60" t="s">
        <v>1194</v>
      </c>
      <c r="H675" s="60" t="s">
        <v>1235</v>
      </c>
      <c r="I675" s="60" t="s">
        <v>3130</v>
      </c>
      <c r="J675" s="60"/>
      <c r="K675" s="60" t="s">
        <v>3135</v>
      </c>
      <c r="L675" s="60" t="n">
        <v>1.25</v>
      </c>
      <c r="M675" s="60" t="n">
        <v>39</v>
      </c>
      <c r="N675" s="60" t="s">
        <v>3117</v>
      </c>
      <c r="O675" s="60"/>
      <c r="P675" s="60"/>
      <c r="Q675" s="60"/>
      <c r="R675" s="60" t="n">
        <v>7</v>
      </c>
      <c r="S675" s="60" t="n">
        <v>0</v>
      </c>
      <c r="T675" s="61"/>
      <c r="U675" s="60"/>
      <c r="V675" s="60"/>
      <c r="W675" s="60" t="s">
        <v>3047</v>
      </c>
      <c r="X675" s="4"/>
      <c r="Y675" s="4"/>
      <c r="Z675" s="4"/>
    </row>
    <row r="676" customFormat="false" ht="15.75" hidden="false" customHeight="true" outlineLevel="0" collapsed="false">
      <c r="A676" s="60"/>
      <c r="B676" s="60" t="s">
        <v>3234</v>
      </c>
      <c r="C676" s="61"/>
      <c r="D676" s="60"/>
      <c r="E676" s="60"/>
      <c r="F676" s="60" t="s">
        <v>1194</v>
      </c>
      <c r="G676" s="60" t="s">
        <v>1194</v>
      </c>
      <c r="H676" s="60" t="s">
        <v>1235</v>
      </c>
      <c r="I676" s="60" t="s">
        <v>3130</v>
      </c>
      <c r="J676" s="60"/>
      <c r="K676" s="60" t="s">
        <v>3137</v>
      </c>
      <c r="L676" s="60" t="n">
        <v>1.3125</v>
      </c>
      <c r="M676" s="60" t="n">
        <v>39</v>
      </c>
      <c r="N676" s="60" t="s">
        <v>3117</v>
      </c>
      <c r="O676" s="60"/>
      <c r="P676" s="60"/>
      <c r="Q676" s="60"/>
      <c r="R676" s="60" t="n">
        <v>6</v>
      </c>
      <c r="S676" s="60" t="n">
        <v>0</v>
      </c>
      <c r="T676" s="61"/>
      <c r="U676" s="60"/>
      <c r="V676" s="60"/>
      <c r="W676" s="60" t="s">
        <v>3047</v>
      </c>
      <c r="X676" s="4"/>
      <c r="Y676" s="4"/>
      <c r="Z676" s="4"/>
    </row>
    <row r="677" customFormat="false" ht="15.75" hidden="false" customHeight="true" outlineLevel="0" collapsed="false">
      <c r="A677" s="60"/>
      <c r="B677" s="60" t="s">
        <v>3235</v>
      </c>
      <c r="C677" s="61"/>
      <c r="D677" s="60"/>
      <c r="E677" s="60"/>
      <c r="F677" s="60" t="s">
        <v>1194</v>
      </c>
      <c r="G677" s="60" t="s">
        <v>1194</v>
      </c>
      <c r="H677" s="60" t="s">
        <v>1235</v>
      </c>
      <c r="I677" s="60" t="s">
        <v>3130</v>
      </c>
      <c r="J677" s="60"/>
      <c r="K677" s="60" t="s">
        <v>3146</v>
      </c>
      <c r="L677" s="60" t="n">
        <v>1.3125</v>
      </c>
      <c r="M677" s="60" t="n">
        <v>42</v>
      </c>
      <c r="N677" s="60" t="s">
        <v>3117</v>
      </c>
      <c r="O677" s="60"/>
      <c r="P677" s="60"/>
      <c r="Q677" s="60"/>
      <c r="R677" s="60" t="n">
        <v>6</v>
      </c>
      <c r="S677" s="60" t="n">
        <v>0</v>
      </c>
      <c r="T677" s="61"/>
      <c r="U677" s="60"/>
      <c r="V677" s="60"/>
      <c r="W677" s="60" t="s">
        <v>3047</v>
      </c>
      <c r="X677" s="4"/>
      <c r="Y677" s="4"/>
      <c r="Z677" s="4"/>
    </row>
    <row r="678" customFormat="false" ht="15.75" hidden="false" customHeight="true" outlineLevel="0" collapsed="false">
      <c r="A678" s="60"/>
      <c r="B678" s="60" t="s">
        <v>3236</v>
      </c>
      <c r="C678" s="61"/>
      <c r="D678" s="60"/>
      <c r="E678" s="60"/>
      <c r="F678" s="60" t="s">
        <v>1194</v>
      </c>
      <c r="G678" s="60" t="s">
        <v>1194</v>
      </c>
      <c r="H678" s="60" t="s">
        <v>1235</v>
      </c>
      <c r="I678" s="60" t="s">
        <v>3130</v>
      </c>
      <c r="J678" s="60"/>
      <c r="K678" s="60" t="s">
        <v>3146</v>
      </c>
      <c r="L678" s="60" t="n">
        <v>1.3125</v>
      </c>
      <c r="M678" s="60" t="n">
        <v>42</v>
      </c>
      <c r="N678" s="60" t="s">
        <v>3117</v>
      </c>
      <c r="O678" s="60"/>
      <c r="P678" s="60"/>
      <c r="Q678" s="60"/>
      <c r="R678" s="60" t="n">
        <v>6</v>
      </c>
      <c r="S678" s="60" t="n">
        <v>0</v>
      </c>
      <c r="T678" s="61"/>
      <c r="U678" s="60"/>
      <c r="V678" s="60"/>
      <c r="W678" s="60" t="s">
        <v>3047</v>
      </c>
      <c r="X678" s="4"/>
      <c r="Y678" s="4"/>
      <c r="Z678" s="4"/>
    </row>
    <row r="679" customFormat="false" ht="15.75" hidden="false" customHeight="true" outlineLevel="0" collapsed="false">
      <c r="A679" s="60"/>
      <c r="B679" s="60" t="s">
        <v>3237</v>
      </c>
      <c r="C679" s="61"/>
      <c r="D679" s="60"/>
      <c r="E679" s="60"/>
      <c r="F679" s="60" t="s">
        <v>1194</v>
      </c>
      <c r="G679" s="60" t="s">
        <v>1194</v>
      </c>
      <c r="H679" s="60" t="s">
        <v>1235</v>
      </c>
      <c r="I679" s="60" t="s">
        <v>3130</v>
      </c>
      <c r="J679" s="60"/>
      <c r="K679" s="60" t="s">
        <v>3149</v>
      </c>
      <c r="L679" s="60" t="n">
        <v>1.75</v>
      </c>
      <c r="M679" s="60" t="n">
        <v>36</v>
      </c>
      <c r="N679" s="60" t="s">
        <v>3117</v>
      </c>
      <c r="O679" s="60"/>
      <c r="P679" s="60"/>
      <c r="Q679" s="60"/>
      <c r="R679" s="60" t="n">
        <v>7</v>
      </c>
      <c r="S679" s="60" t="n">
        <v>0</v>
      </c>
      <c r="T679" s="61"/>
      <c r="U679" s="60"/>
      <c r="V679" s="60"/>
      <c r="W679" s="60" t="s">
        <v>3047</v>
      </c>
      <c r="X679" s="4"/>
      <c r="Y679" s="4"/>
      <c r="Z679" s="4"/>
    </row>
    <row r="680" customFormat="false" ht="15.75" hidden="false" customHeight="true" outlineLevel="0" collapsed="false">
      <c r="A680" s="60"/>
      <c r="B680" s="60" t="s">
        <v>3238</v>
      </c>
      <c r="C680" s="61"/>
      <c r="D680" s="60"/>
      <c r="E680" s="60"/>
      <c r="F680" s="60" t="s">
        <v>1194</v>
      </c>
      <c r="G680" s="60" t="s">
        <v>1194</v>
      </c>
      <c r="H680" s="60" t="s">
        <v>1235</v>
      </c>
      <c r="I680" s="60" t="s">
        <v>3130</v>
      </c>
      <c r="J680" s="60"/>
      <c r="K680" s="60" t="s">
        <v>3149</v>
      </c>
      <c r="L680" s="60" t="n">
        <v>1.75</v>
      </c>
      <c r="M680" s="60" t="n">
        <v>36</v>
      </c>
      <c r="N680" s="60" t="s">
        <v>3117</v>
      </c>
      <c r="O680" s="60"/>
      <c r="P680" s="60"/>
      <c r="Q680" s="60"/>
      <c r="R680" s="60" t="n">
        <v>7</v>
      </c>
      <c r="S680" s="60" t="n">
        <v>0</v>
      </c>
      <c r="T680" s="61"/>
      <c r="U680" s="60"/>
      <c r="V680" s="60"/>
      <c r="W680" s="60" t="s">
        <v>3047</v>
      </c>
      <c r="X680" s="4"/>
      <c r="Y680" s="4"/>
      <c r="Z680" s="4"/>
    </row>
    <row r="681" customFormat="false" ht="15.75" hidden="false" customHeight="true" outlineLevel="0" collapsed="false">
      <c r="A681" s="60"/>
      <c r="B681" s="60" t="s">
        <v>3239</v>
      </c>
      <c r="C681" s="61"/>
      <c r="D681" s="60"/>
      <c r="E681" s="60"/>
      <c r="F681" s="60" t="s">
        <v>1194</v>
      </c>
      <c r="G681" s="60" t="s">
        <v>1194</v>
      </c>
      <c r="H681" s="60" t="s">
        <v>1235</v>
      </c>
      <c r="I681" s="60" t="s">
        <v>3130</v>
      </c>
      <c r="J681" s="60"/>
      <c r="K681" s="60" t="s">
        <v>3149</v>
      </c>
      <c r="L681" s="60" t="n">
        <v>1.75</v>
      </c>
      <c r="M681" s="60" t="n">
        <v>36</v>
      </c>
      <c r="N681" s="60" t="s">
        <v>3117</v>
      </c>
      <c r="O681" s="60"/>
      <c r="P681" s="60"/>
      <c r="Q681" s="60"/>
      <c r="R681" s="60" t="n">
        <v>6</v>
      </c>
      <c r="S681" s="60" t="n">
        <v>0</v>
      </c>
      <c r="T681" s="61"/>
      <c r="U681" s="60"/>
      <c r="V681" s="60"/>
      <c r="W681" s="60" t="s">
        <v>3047</v>
      </c>
      <c r="X681" s="4"/>
      <c r="Y681" s="4"/>
      <c r="Z681" s="4"/>
    </row>
    <row r="682" customFormat="false" ht="15.75" hidden="false" customHeight="true" outlineLevel="0" collapsed="false">
      <c r="A682" s="60"/>
      <c r="B682" s="60" t="s">
        <v>3240</v>
      </c>
      <c r="C682" s="61"/>
      <c r="D682" s="60"/>
      <c r="E682" s="60"/>
      <c r="F682" s="60" t="s">
        <v>1194</v>
      </c>
      <c r="G682" s="60" t="s">
        <v>1194</v>
      </c>
      <c r="H682" s="60" t="s">
        <v>1235</v>
      </c>
      <c r="I682" s="60" t="s">
        <v>3130</v>
      </c>
      <c r="J682" s="60"/>
      <c r="K682" s="60" t="s">
        <v>3151</v>
      </c>
      <c r="L682" s="60" t="n">
        <v>1.75</v>
      </c>
      <c r="M682" s="60" t="n">
        <v>39</v>
      </c>
      <c r="N682" s="60" t="s">
        <v>3117</v>
      </c>
      <c r="O682" s="60"/>
      <c r="P682" s="60"/>
      <c r="Q682" s="60"/>
      <c r="R682" s="60" t="n">
        <v>7</v>
      </c>
      <c r="S682" s="60" t="n">
        <v>0</v>
      </c>
      <c r="T682" s="61"/>
      <c r="U682" s="60"/>
      <c r="V682" s="60"/>
      <c r="W682" s="60" t="s">
        <v>3047</v>
      </c>
      <c r="X682" s="4"/>
      <c r="Y682" s="4"/>
      <c r="Z682" s="4"/>
    </row>
    <row r="683" customFormat="false" ht="15.75" hidden="false" customHeight="true" outlineLevel="0" collapsed="false">
      <c r="A683" s="60"/>
      <c r="B683" s="60" t="s">
        <v>3241</v>
      </c>
      <c r="C683" s="61"/>
      <c r="D683" s="60"/>
      <c r="E683" s="60"/>
      <c r="F683" s="60" t="s">
        <v>1194</v>
      </c>
      <c r="G683" s="60" t="s">
        <v>1194</v>
      </c>
      <c r="H683" s="60" t="s">
        <v>1235</v>
      </c>
      <c r="I683" s="60" t="s">
        <v>3130</v>
      </c>
      <c r="J683" s="60"/>
      <c r="K683" s="60" t="s">
        <v>3151</v>
      </c>
      <c r="L683" s="60" t="n">
        <v>1.75</v>
      </c>
      <c r="M683" s="60" t="n">
        <v>39</v>
      </c>
      <c r="N683" s="60" t="s">
        <v>3117</v>
      </c>
      <c r="O683" s="60"/>
      <c r="P683" s="60"/>
      <c r="Q683" s="60"/>
      <c r="R683" s="60" t="n">
        <v>7</v>
      </c>
      <c r="S683" s="60" t="n">
        <v>0</v>
      </c>
      <c r="T683" s="61"/>
      <c r="U683" s="60"/>
      <c r="V683" s="60"/>
      <c r="W683" s="60" t="s">
        <v>3047</v>
      </c>
      <c r="X683" s="4"/>
      <c r="Y683" s="4"/>
      <c r="Z683" s="4"/>
    </row>
    <row r="684" customFormat="false" ht="15.75" hidden="false" customHeight="true" outlineLevel="0" collapsed="false">
      <c r="A684" s="60"/>
      <c r="B684" s="60" t="s">
        <v>3242</v>
      </c>
      <c r="C684" s="61"/>
      <c r="D684" s="60"/>
      <c r="E684" s="60"/>
      <c r="F684" s="60" t="s">
        <v>1194</v>
      </c>
      <c r="G684" s="60" t="s">
        <v>1194</v>
      </c>
      <c r="H684" s="60" t="s">
        <v>1235</v>
      </c>
      <c r="I684" s="60" t="s">
        <v>3130</v>
      </c>
      <c r="J684" s="60"/>
      <c r="K684" s="60" t="s">
        <v>3151</v>
      </c>
      <c r="L684" s="60" t="n">
        <v>1.75</v>
      </c>
      <c r="M684" s="60" t="n">
        <v>39</v>
      </c>
      <c r="N684" s="60" t="s">
        <v>3117</v>
      </c>
      <c r="O684" s="60"/>
      <c r="P684" s="60"/>
      <c r="Q684" s="60"/>
      <c r="R684" s="60" t="n">
        <v>6</v>
      </c>
      <c r="S684" s="60" t="n">
        <v>0</v>
      </c>
      <c r="T684" s="61"/>
      <c r="U684" s="60"/>
      <c r="V684" s="60"/>
      <c r="W684" s="60" t="s">
        <v>3047</v>
      </c>
      <c r="X684" s="4"/>
      <c r="Y684" s="4"/>
      <c r="Z684" s="4"/>
    </row>
    <row r="685" customFormat="false" ht="15.75" hidden="false" customHeight="true" outlineLevel="0" collapsed="false">
      <c r="A685" s="60"/>
      <c r="B685" s="60" t="s">
        <v>3243</v>
      </c>
      <c r="C685" s="61"/>
      <c r="D685" s="60"/>
      <c r="E685" s="60"/>
      <c r="F685" s="60" t="s">
        <v>1194</v>
      </c>
      <c r="G685" s="60" t="s">
        <v>1194</v>
      </c>
      <c r="H685" s="60" t="s">
        <v>1235</v>
      </c>
      <c r="I685" s="60" t="s">
        <v>3130</v>
      </c>
      <c r="J685" s="60"/>
      <c r="K685" s="60" t="s">
        <v>3244</v>
      </c>
      <c r="L685" s="60" t="n">
        <v>1.75</v>
      </c>
      <c r="M685" s="60" t="n">
        <v>42</v>
      </c>
      <c r="N685" s="60" t="s">
        <v>3117</v>
      </c>
      <c r="O685" s="60"/>
      <c r="P685" s="60"/>
      <c r="Q685" s="60"/>
      <c r="R685" s="60" t="n">
        <v>6</v>
      </c>
      <c r="S685" s="60" t="n">
        <v>0</v>
      </c>
      <c r="T685" s="61"/>
      <c r="U685" s="60"/>
      <c r="V685" s="60"/>
      <c r="W685" s="60" t="s">
        <v>3047</v>
      </c>
      <c r="X685" s="4"/>
      <c r="Y685" s="4"/>
      <c r="Z685" s="4"/>
    </row>
    <row r="686" customFormat="false" ht="15.75" hidden="false" customHeight="true" outlineLevel="0" collapsed="false">
      <c r="A686" s="60"/>
      <c r="B686" s="60" t="s">
        <v>3245</v>
      </c>
      <c r="C686" s="61"/>
      <c r="D686" s="60"/>
      <c r="E686" s="60"/>
      <c r="F686" s="60" t="s">
        <v>1194</v>
      </c>
      <c r="G686" s="60" t="s">
        <v>1194</v>
      </c>
      <c r="H686" s="60" t="s">
        <v>1235</v>
      </c>
      <c r="I686" s="60" t="s">
        <v>3130</v>
      </c>
      <c r="J686" s="60"/>
      <c r="K686" s="60"/>
      <c r="L686" s="60"/>
      <c r="M686" s="60"/>
      <c r="N686" s="60" t="s">
        <v>3117</v>
      </c>
      <c r="O686" s="60"/>
      <c r="P686" s="60"/>
      <c r="Q686" s="60"/>
      <c r="R686" s="60" t="n">
        <v>11</v>
      </c>
      <c r="S686" s="60" t="n">
        <v>0</v>
      </c>
      <c r="T686" s="61"/>
      <c r="U686" s="60"/>
      <c r="V686" s="60"/>
      <c r="W686" s="60" t="s">
        <v>3075</v>
      </c>
      <c r="X686" s="4"/>
      <c r="Y686" s="4"/>
      <c r="Z686" s="4"/>
    </row>
    <row r="687" customFormat="false" ht="15.75" hidden="false" customHeight="true" outlineLevel="0" collapsed="false">
      <c r="A687" s="60"/>
      <c r="B687" s="60" t="s">
        <v>3246</v>
      </c>
      <c r="C687" s="61"/>
      <c r="D687" s="60"/>
      <c r="E687" s="60"/>
      <c r="F687" s="60" t="s">
        <v>1194</v>
      </c>
      <c r="G687" s="60" t="s">
        <v>1194</v>
      </c>
      <c r="H687" s="60" t="s">
        <v>1235</v>
      </c>
      <c r="I687" s="60" t="s">
        <v>3130</v>
      </c>
      <c r="J687" s="60"/>
      <c r="K687" s="60" t="s">
        <v>3247</v>
      </c>
      <c r="L687" s="60" t="n">
        <v>1.0625</v>
      </c>
      <c r="M687" s="60" t="n">
        <v>11.25</v>
      </c>
      <c r="N687" s="60" t="s">
        <v>3117</v>
      </c>
      <c r="O687" s="60"/>
      <c r="P687" s="60"/>
      <c r="Q687" s="60"/>
      <c r="R687" s="60" t="n">
        <v>14</v>
      </c>
      <c r="S687" s="60" t="n">
        <v>0</v>
      </c>
      <c r="T687" s="61"/>
      <c r="U687" s="60"/>
      <c r="V687" s="60"/>
      <c r="W687" s="60" t="s">
        <v>3047</v>
      </c>
      <c r="X687" s="4"/>
      <c r="Y687" s="4"/>
      <c r="Z687" s="4"/>
    </row>
    <row r="688" customFormat="false" ht="15.75" hidden="false" customHeight="true" outlineLevel="0" collapsed="false">
      <c r="A688" s="60"/>
      <c r="B688" s="60" t="s">
        <v>3248</v>
      </c>
      <c r="C688" s="61"/>
      <c r="D688" s="60"/>
      <c r="E688" s="60"/>
      <c r="F688" s="60" t="s">
        <v>1194</v>
      </c>
      <c r="G688" s="60" t="s">
        <v>1194</v>
      </c>
      <c r="H688" s="60" t="s">
        <v>1235</v>
      </c>
      <c r="I688" s="60" t="s">
        <v>3130</v>
      </c>
      <c r="J688" s="60"/>
      <c r="K688" s="60" t="s">
        <v>3249</v>
      </c>
      <c r="L688" s="60" t="n">
        <v>1.0625</v>
      </c>
      <c r="M688" s="60" t="n">
        <v>10.5</v>
      </c>
      <c r="N688" s="60" t="s">
        <v>3117</v>
      </c>
      <c r="O688" s="60"/>
      <c r="P688" s="60"/>
      <c r="Q688" s="60"/>
      <c r="R688" s="60" t="n">
        <v>11</v>
      </c>
      <c r="S688" s="60" t="n">
        <v>0</v>
      </c>
      <c r="T688" s="61"/>
      <c r="U688" s="60"/>
      <c r="V688" s="60"/>
      <c r="W688" s="60" t="s">
        <v>3047</v>
      </c>
      <c r="X688" s="4"/>
      <c r="Y688" s="4"/>
      <c r="Z688" s="4"/>
    </row>
    <row r="689" customFormat="false" ht="15.75" hidden="false" customHeight="true" outlineLevel="0" collapsed="false">
      <c r="A689" s="60"/>
      <c r="B689" s="60" t="s">
        <v>3250</v>
      </c>
      <c r="C689" s="61"/>
      <c r="D689" s="60"/>
      <c r="E689" s="60"/>
      <c r="F689" s="60" t="s">
        <v>1194</v>
      </c>
      <c r="G689" s="60" t="s">
        <v>1194</v>
      </c>
      <c r="H689" s="60" t="s">
        <v>1235</v>
      </c>
      <c r="I689" s="60" t="s">
        <v>3130</v>
      </c>
      <c r="J689" s="60"/>
      <c r="K689" s="60"/>
      <c r="L689" s="60"/>
      <c r="M689" s="60"/>
      <c r="N689" s="60" t="s">
        <v>3117</v>
      </c>
      <c r="O689" s="60"/>
      <c r="P689" s="60"/>
      <c r="Q689" s="60"/>
      <c r="R689" s="60" t="n">
        <v>11</v>
      </c>
      <c r="S689" s="60" t="n">
        <v>0</v>
      </c>
      <c r="T689" s="61"/>
      <c r="U689" s="60"/>
      <c r="V689" s="60"/>
      <c r="W689" s="60" t="s">
        <v>3075</v>
      </c>
      <c r="X689" s="4"/>
      <c r="Y689" s="4"/>
      <c r="Z689" s="4"/>
    </row>
    <row r="690" customFormat="false" ht="15.75" hidden="false" customHeight="true" outlineLevel="0" collapsed="false">
      <c r="A690" s="60"/>
      <c r="B690" s="60" t="s">
        <v>3251</v>
      </c>
      <c r="C690" s="61"/>
      <c r="D690" s="60"/>
      <c r="E690" s="60"/>
      <c r="F690" s="60" t="s">
        <v>1194</v>
      </c>
      <c r="G690" s="60" t="s">
        <v>1194</v>
      </c>
      <c r="H690" s="60" t="s">
        <v>1235</v>
      </c>
      <c r="I690" s="60" t="s">
        <v>3130</v>
      </c>
      <c r="J690" s="60"/>
      <c r="K690" s="60" t="s">
        <v>3247</v>
      </c>
      <c r="L690" s="60" t="n">
        <v>1.0625</v>
      </c>
      <c r="M690" s="60" t="n">
        <v>11.25</v>
      </c>
      <c r="N690" s="60" t="s">
        <v>3117</v>
      </c>
      <c r="O690" s="60"/>
      <c r="P690" s="60"/>
      <c r="Q690" s="60"/>
      <c r="R690" s="60" t="n">
        <v>14</v>
      </c>
      <c r="S690" s="60" t="n">
        <v>0</v>
      </c>
      <c r="T690" s="61"/>
      <c r="U690" s="60"/>
      <c r="V690" s="60"/>
      <c r="W690" s="60" t="s">
        <v>3047</v>
      </c>
      <c r="X690" s="4"/>
      <c r="Y690" s="4"/>
      <c r="Z690" s="4"/>
    </row>
    <row r="691" customFormat="false" ht="15.75" hidden="false" customHeight="true" outlineLevel="0" collapsed="false">
      <c r="A691" s="60"/>
      <c r="B691" s="60" t="s">
        <v>3252</v>
      </c>
      <c r="C691" s="61"/>
      <c r="D691" s="60"/>
      <c r="E691" s="60"/>
      <c r="F691" s="60" t="s">
        <v>1194</v>
      </c>
      <c r="G691" s="60" t="s">
        <v>1194</v>
      </c>
      <c r="H691" s="60" t="s">
        <v>1235</v>
      </c>
      <c r="I691" s="60" t="s">
        <v>3130</v>
      </c>
      <c r="J691" s="60"/>
      <c r="K691" s="60"/>
      <c r="L691" s="60"/>
      <c r="M691" s="60"/>
      <c r="N691" s="60" t="s">
        <v>3117</v>
      </c>
      <c r="O691" s="60"/>
      <c r="P691" s="60"/>
      <c r="Q691" s="60"/>
      <c r="R691" s="60" t="n">
        <v>12</v>
      </c>
      <c r="S691" s="60" t="n">
        <v>0</v>
      </c>
      <c r="T691" s="61"/>
      <c r="U691" s="60"/>
      <c r="V691" s="60"/>
      <c r="W691" s="60" t="s">
        <v>3075</v>
      </c>
      <c r="X691" s="4"/>
      <c r="Y691" s="4"/>
      <c r="Z691" s="4"/>
    </row>
    <row r="692" customFormat="false" ht="15.75" hidden="false" customHeight="true" outlineLevel="0" collapsed="false">
      <c r="A692" s="60"/>
      <c r="B692" s="60" t="s">
        <v>3253</v>
      </c>
      <c r="C692" s="61"/>
      <c r="D692" s="60"/>
      <c r="E692" s="60"/>
      <c r="F692" s="60" t="s">
        <v>1194</v>
      </c>
      <c r="G692" s="60" t="s">
        <v>1194</v>
      </c>
      <c r="H692" s="60" t="s">
        <v>1235</v>
      </c>
      <c r="I692" s="60" t="s">
        <v>3130</v>
      </c>
      <c r="J692" s="60"/>
      <c r="K692" s="60"/>
      <c r="L692" s="60"/>
      <c r="M692" s="60"/>
      <c r="N692" s="60" t="s">
        <v>3117</v>
      </c>
      <c r="O692" s="60"/>
      <c r="P692" s="60"/>
      <c r="Q692" s="60"/>
      <c r="R692" s="60" t="n">
        <v>12</v>
      </c>
      <c r="S692" s="60" t="n">
        <v>0</v>
      </c>
      <c r="T692" s="61"/>
      <c r="U692" s="60"/>
      <c r="V692" s="60"/>
      <c r="W692" s="60" t="s">
        <v>3075</v>
      </c>
      <c r="X692" s="4"/>
      <c r="Y692" s="4"/>
      <c r="Z692" s="4"/>
    </row>
    <row r="693" customFormat="false" ht="15.75" hidden="false" customHeight="true" outlineLevel="0" collapsed="false">
      <c r="A693" s="60"/>
      <c r="B693" s="60" t="s">
        <v>3254</v>
      </c>
      <c r="C693" s="61"/>
      <c r="D693" s="60"/>
      <c r="E693" s="60"/>
      <c r="F693" s="60" t="s">
        <v>1194</v>
      </c>
      <c r="G693" s="60" t="s">
        <v>1194</v>
      </c>
      <c r="H693" s="60" t="s">
        <v>1235</v>
      </c>
      <c r="I693" s="60" t="s">
        <v>3130</v>
      </c>
      <c r="J693" s="60"/>
      <c r="K693" s="60"/>
      <c r="L693" s="60"/>
      <c r="M693" s="60"/>
      <c r="N693" s="60" t="s">
        <v>3117</v>
      </c>
      <c r="O693" s="60"/>
      <c r="P693" s="60"/>
      <c r="Q693" s="60"/>
      <c r="R693" s="60" t="n">
        <v>10</v>
      </c>
      <c r="S693" s="60" t="n">
        <v>0</v>
      </c>
      <c r="T693" s="61"/>
      <c r="U693" s="60"/>
      <c r="V693" s="60"/>
      <c r="W693" s="60" t="s">
        <v>3075</v>
      </c>
      <c r="X693" s="4"/>
      <c r="Y693" s="4"/>
      <c r="Z693" s="4"/>
    </row>
    <row r="694" customFormat="false" ht="15.75" hidden="false" customHeight="true" outlineLevel="0" collapsed="false">
      <c r="A694" s="60"/>
      <c r="B694" s="60" t="s">
        <v>3255</v>
      </c>
      <c r="C694" s="61"/>
      <c r="D694" s="60"/>
      <c r="E694" s="60"/>
      <c r="F694" s="60" t="s">
        <v>1194</v>
      </c>
      <c r="G694" s="60" t="s">
        <v>1194</v>
      </c>
      <c r="H694" s="60" t="s">
        <v>1235</v>
      </c>
      <c r="I694" s="60" t="s">
        <v>3130</v>
      </c>
      <c r="J694" s="60"/>
      <c r="K694" s="60" t="s">
        <v>3256</v>
      </c>
      <c r="L694" s="60" t="n">
        <v>27.5</v>
      </c>
      <c r="M694" s="60" t="n">
        <v>60</v>
      </c>
      <c r="N694" s="60" t="s">
        <v>3117</v>
      </c>
      <c r="O694" s="60"/>
      <c r="P694" s="60"/>
      <c r="Q694" s="60"/>
      <c r="R694" s="60" t="n">
        <v>18</v>
      </c>
      <c r="S694" s="60" t="n">
        <v>0</v>
      </c>
      <c r="T694" s="61"/>
      <c r="U694" s="60"/>
      <c r="V694" s="60"/>
      <c r="W694" s="60" t="s">
        <v>3047</v>
      </c>
      <c r="X694" s="4"/>
      <c r="Y694" s="4"/>
      <c r="Z694" s="4"/>
    </row>
    <row r="695" customFormat="false" ht="15.75" hidden="false" customHeight="true" outlineLevel="0" collapsed="false">
      <c r="A695" s="60"/>
      <c r="B695" s="60" t="s">
        <v>3257</v>
      </c>
      <c r="C695" s="61"/>
      <c r="D695" s="60"/>
      <c r="E695" s="60"/>
      <c r="F695" s="60" t="s">
        <v>1194</v>
      </c>
      <c r="G695" s="60" t="s">
        <v>1194</v>
      </c>
      <c r="H695" s="60" t="s">
        <v>1235</v>
      </c>
      <c r="I695" s="60" t="s">
        <v>3130</v>
      </c>
      <c r="J695" s="60"/>
      <c r="K695" s="60"/>
      <c r="L695" s="60"/>
      <c r="M695" s="60"/>
      <c r="N695" s="60" t="s">
        <v>3117</v>
      </c>
      <c r="O695" s="60"/>
      <c r="P695" s="60"/>
      <c r="Q695" s="60"/>
      <c r="R695" s="60" t="n">
        <v>9</v>
      </c>
      <c r="S695" s="60" t="n">
        <v>0</v>
      </c>
      <c r="T695" s="61"/>
      <c r="U695" s="60"/>
      <c r="V695" s="60"/>
      <c r="W695" s="60" t="s">
        <v>3200</v>
      </c>
      <c r="X695" s="4"/>
      <c r="Y695" s="4"/>
      <c r="Z695" s="4"/>
    </row>
    <row r="696" customFormat="false" ht="15.75" hidden="false" customHeight="true" outlineLevel="0" collapsed="false">
      <c r="A696" s="60"/>
      <c r="B696" s="60" t="s">
        <v>3258</v>
      </c>
      <c r="C696" s="61"/>
      <c r="D696" s="60"/>
      <c r="E696" s="60"/>
      <c r="F696" s="60" t="s">
        <v>1194</v>
      </c>
      <c r="G696" s="60" t="s">
        <v>1194</v>
      </c>
      <c r="H696" s="60" t="s">
        <v>1235</v>
      </c>
      <c r="I696" s="60" t="s">
        <v>3130</v>
      </c>
      <c r="J696" s="60"/>
      <c r="K696" s="60"/>
      <c r="L696" s="60"/>
      <c r="M696" s="60"/>
      <c r="N696" s="60" t="s">
        <v>3117</v>
      </c>
      <c r="O696" s="60"/>
      <c r="P696" s="60"/>
      <c r="Q696" s="60"/>
      <c r="R696" s="60" t="n">
        <v>9</v>
      </c>
      <c r="S696" s="60" t="n">
        <v>0</v>
      </c>
      <c r="T696" s="61"/>
      <c r="U696" s="60"/>
      <c r="V696" s="60"/>
      <c r="W696" s="60" t="s">
        <v>3200</v>
      </c>
      <c r="X696" s="4"/>
      <c r="Y696" s="4"/>
      <c r="Z696" s="4"/>
    </row>
    <row r="697" customFormat="false" ht="15.75" hidden="false" customHeight="true" outlineLevel="0" collapsed="false">
      <c r="A697" s="60"/>
      <c r="B697" s="60" t="s">
        <v>3259</v>
      </c>
      <c r="C697" s="61"/>
      <c r="D697" s="60"/>
      <c r="E697" s="60"/>
      <c r="F697" s="60" t="s">
        <v>1194</v>
      </c>
      <c r="G697" s="60" t="s">
        <v>1194</v>
      </c>
      <c r="H697" s="60" t="s">
        <v>1235</v>
      </c>
      <c r="I697" s="60" t="s">
        <v>3130</v>
      </c>
      <c r="J697" s="60"/>
      <c r="K697" s="60"/>
      <c r="L697" s="60"/>
      <c r="M697" s="60"/>
      <c r="N697" s="60" t="s">
        <v>3117</v>
      </c>
      <c r="O697" s="60"/>
      <c r="P697" s="60"/>
      <c r="Q697" s="60"/>
      <c r="R697" s="60" t="n">
        <v>10</v>
      </c>
      <c r="S697" s="60" t="n">
        <v>0</v>
      </c>
      <c r="T697" s="61"/>
      <c r="U697" s="60"/>
      <c r="V697" s="60"/>
      <c r="W697" s="60" t="s">
        <v>3075</v>
      </c>
      <c r="X697" s="4"/>
      <c r="Y697" s="4"/>
      <c r="Z697" s="4"/>
    </row>
    <row r="698" customFormat="false" ht="15.75" hidden="false" customHeight="true" outlineLevel="0" collapsed="false">
      <c r="A698" s="60"/>
      <c r="B698" s="60" t="s">
        <v>3260</v>
      </c>
      <c r="C698" s="61"/>
      <c r="D698" s="60"/>
      <c r="E698" s="60"/>
      <c r="F698" s="60" t="s">
        <v>1194</v>
      </c>
      <c r="G698" s="60" t="s">
        <v>1194</v>
      </c>
      <c r="H698" s="60" t="s">
        <v>1235</v>
      </c>
      <c r="I698" s="60" t="s">
        <v>3130</v>
      </c>
      <c r="J698" s="60"/>
      <c r="K698" s="60"/>
      <c r="L698" s="60"/>
      <c r="M698" s="60"/>
      <c r="N698" s="60" t="s">
        <v>3117</v>
      </c>
      <c r="O698" s="60"/>
      <c r="P698" s="60"/>
      <c r="Q698" s="60"/>
      <c r="R698" s="60" t="n">
        <v>10</v>
      </c>
      <c r="S698" s="60" t="n">
        <v>0</v>
      </c>
      <c r="T698" s="61"/>
      <c r="U698" s="60"/>
      <c r="V698" s="60"/>
      <c r="W698" s="60" t="s">
        <v>3075</v>
      </c>
      <c r="X698" s="4"/>
      <c r="Y698" s="4"/>
      <c r="Z698" s="4"/>
    </row>
    <row r="699" customFormat="false" ht="15.75" hidden="false" customHeight="true" outlineLevel="0" collapsed="false">
      <c r="A699" s="60"/>
      <c r="B699" s="60" t="s">
        <v>3261</v>
      </c>
      <c r="C699" s="61"/>
      <c r="D699" s="60"/>
      <c r="E699" s="60"/>
      <c r="F699" s="60" t="s">
        <v>1194</v>
      </c>
      <c r="G699" s="60" t="s">
        <v>1194</v>
      </c>
      <c r="H699" s="60" t="s">
        <v>1235</v>
      </c>
      <c r="I699" s="60" t="s">
        <v>3130</v>
      </c>
      <c r="J699" s="60"/>
      <c r="K699" s="60"/>
      <c r="L699" s="60"/>
      <c r="M699" s="60"/>
      <c r="N699" s="60" t="s">
        <v>3117</v>
      </c>
      <c r="O699" s="60"/>
      <c r="P699" s="60"/>
      <c r="Q699" s="60"/>
      <c r="R699" s="60" t="n">
        <v>11</v>
      </c>
      <c r="S699" s="60" t="n">
        <v>0</v>
      </c>
      <c r="T699" s="61"/>
      <c r="U699" s="60"/>
      <c r="V699" s="60"/>
      <c r="W699" s="60" t="s">
        <v>3075</v>
      </c>
      <c r="X699" s="4"/>
      <c r="Y699" s="4"/>
      <c r="Z699" s="4"/>
    </row>
    <row r="700" customFormat="false" ht="15.75" hidden="false" customHeight="true" outlineLevel="0" collapsed="false">
      <c r="A700" s="60"/>
      <c r="B700" s="60" t="s">
        <v>3262</v>
      </c>
      <c r="C700" s="61"/>
      <c r="D700" s="60"/>
      <c r="E700" s="60"/>
      <c r="F700" s="60" t="s">
        <v>1194</v>
      </c>
      <c r="G700" s="60" t="s">
        <v>1194</v>
      </c>
      <c r="H700" s="60" t="s">
        <v>1235</v>
      </c>
      <c r="I700" s="60" t="s">
        <v>3130</v>
      </c>
      <c r="J700" s="60"/>
      <c r="K700" s="60"/>
      <c r="L700" s="60"/>
      <c r="M700" s="60"/>
      <c r="N700" s="60" t="s">
        <v>3117</v>
      </c>
      <c r="O700" s="60"/>
      <c r="P700" s="60"/>
      <c r="Q700" s="60"/>
      <c r="R700" s="60" t="n">
        <v>11</v>
      </c>
      <c r="S700" s="60" t="n">
        <v>0</v>
      </c>
      <c r="T700" s="61"/>
      <c r="U700" s="60"/>
      <c r="V700" s="60"/>
      <c r="W700" s="60" t="s">
        <v>3075</v>
      </c>
      <c r="X700" s="4"/>
      <c r="Y700" s="4"/>
      <c r="Z700" s="4"/>
    </row>
    <row r="701" customFormat="false" ht="15.75" hidden="false" customHeight="true" outlineLevel="0" collapsed="false">
      <c r="A701" s="60"/>
      <c r="B701" s="60" t="s">
        <v>3263</v>
      </c>
      <c r="C701" s="61"/>
      <c r="D701" s="60"/>
      <c r="E701" s="60"/>
      <c r="F701" s="60" t="s">
        <v>1194</v>
      </c>
      <c r="G701" s="60" t="s">
        <v>1194</v>
      </c>
      <c r="H701" s="60" t="s">
        <v>1235</v>
      </c>
      <c r="I701" s="60" t="s">
        <v>3130</v>
      </c>
      <c r="J701" s="60"/>
      <c r="K701" s="60"/>
      <c r="L701" s="60"/>
      <c r="M701" s="60"/>
      <c r="N701" s="60" t="s">
        <v>3117</v>
      </c>
      <c r="O701" s="60"/>
      <c r="P701" s="60"/>
      <c r="Q701" s="60"/>
      <c r="R701" s="60" t="n">
        <v>11</v>
      </c>
      <c r="S701" s="60" t="n">
        <v>0</v>
      </c>
      <c r="T701" s="61"/>
      <c r="U701" s="60"/>
      <c r="V701" s="60"/>
      <c r="W701" s="60" t="s">
        <v>3075</v>
      </c>
      <c r="X701" s="4"/>
      <c r="Y701" s="4"/>
      <c r="Z701" s="4"/>
    </row>
    <row r="702" customFormat="false" ht="15.75" hidden="false" customHeight="true" outlineLevel="0" collapsed="false">
      <c r="A702" s="60"/>
      <c r="B702" s="60" t="s">
        <v>3264</v>
      </c>
      <c r="C702" s="61"/>
      <c r="D702" s="60"/>
      <c r="E702" s="60"/>
      <c r="F702" s="60" t="s">
        <v>1194</v>
      </c>
      <c r="G702" s="60" t="s">
        <v>1194</v>
      </c>
      <c r="H702" s="60" t="s">
        <v>1235</v>
      </c>
      <c r="I702" s="60" t="s">
        <v>3130</v>
      </c>
      <c r="J702" s="60"/>
      <c r="K702" s="60"/>
      <c r="L702" s="60"/>
      <c r="M702" s="60"/>
      <c r="N702" s="60" t="s">
        <v>3117</v>
      </c>
      <c r="O702" s="60"/>
      <c r="P702" s="60"/>
      <c r="Q702" s="60"/>
      <c r="R702" s="60" t="n">
        <v>11</v>
      </c>
      <c r="S702" s="60" t="n">
        <v>0</v>
      </c>
      <c r="T702" s="61"/>
      <c r="U702" s="60"/>
      <c r="V702" s="60"/>
      <c r="W702" s="60" t="s">
        <v>3075</v>
      </c>
      <c r="X702" s="4"/>
      <c r="Y702" s="4"/>
      <c r="Z702" s="4"/>
    </row>
    <row r="703" customFormat="false" ht="15.75" hidden="false" customHeight="true" outlineLevel="0" collapsed="false">
      <c r="A703" s="60"/>
      <c r="B703" s="60" t="s">
        <v>3265</v>
      </c>
      <c r="C703" s="61"/>
      <c r="D703" s="60"/>
      <c r="E703" s="60"/>
      <c r="F703" s="60" t="s">
        <v>1194</v>
      </c>
      <c r="G703" s="60" t="s">
        <v>1194</v>
      </c>
      <c r="H703" s="60" t="s">
        <v>1235</v>
      </c>
      <c r="I703" s="60" t="s">
        <v>3130</v>
      </c>
      <c r="J703" s="60"/>
      <c r="K703" s="60"/>
      <c r="L703" s="60"/>
      <c r="M703" s="60"/>
      <c r="N703" s="60" t="s">
        <v>3117</v>
      </c>
      <c r="O703" s="60"/>
      <c r="P703" s="60"/>
      <c r="Q703" s="60"/>
      <c r="R703" s="60" t="n">
        <v>10</v>
      </c>
      <c r="S703" s="60" t="n">
        <v>0</v>
      </c>
      <c r="T703" s="61"/>
      <c r="U703" s="60"/>
      <c r="V703" s="60"/>
      <c r="W703" s="60" t="s">
        <v>3075</v>
      </c>
      <c r="X703" s="4"/>
      <c r="Y703" s="4"/>
      <c r="Z703" s="4"/>
    </row>
    <row r="704" customFormat="false" ht="15.75" hidden="false" customHeight="true" outlineLevel="0" collapsed="false">
      <c r="A704" s="60"/>
      <c r="B704" s="60" t="s">
        <v>3266</v>
      </c>
      <c r="C704" s="61"/>
      <c r="D704" s="60"/>
      <c r="E704" s="60"/>
      <c r="F704" s="60" t="s">
        <v>1194</v>
      </c>
      <c r="G704" s="60" t="s">
        <v>1194</v>
      </c>
      <c r="H704" s="60" t="s">
        <v>1235</v>
      </c>
      <c r="I704" s="60" t="s">
        <v>3130</v>
      </c>
      <c r="J704" s="60"/>
      <c r="K704" s="60"/>
      <c r="L704" s="60"/>
      <c r="M704" s="60"/>
      <c r="N704" s="60" t="s">
        <v>3117</v>
      </c>
      <c r="O704" s="60"/>
      <c r="P704" s="60"/>
      <c r="Q704" s="60"/>
      <c r="R704" s="60" t="n">
        <v>10</v>
      </c>
      <c r="S704" s="60" t="n">
        <v>0</v>
      </c>
      <c r="T704" s="61"/>
      <c r="U704" s="60"/>
      <c r="V704" s="60"/>
      <c r="W704" s="60" t="s">
        <v>3075</v>
      </c>
      <c r="X704" s="4"/>
      <c r="Y704" s="4"/>
      <c r="Z704" s="4"/>
    </row>
    <row r="705" customFormat="false" ht="15.75" hidden="false" customHeight="true" outlineLevel="0" collapsed="false">
      <c r="A705" s="60"/>
      <c r="B705" s="60" t="s">
        <v>3267</v>
      </c>
      <c r="C705" s="61"/>
      <c r="D705" s="60"/>
      <c r="E705" s="60"/>
      <c r="F705" s="60" t="s">
        <v>1194</v>
      </c>
      <c r="G705" s="60" t="s">
        <v>1194</v>
      </c>
      <c r="H705" s="60" t="s">
        <v>1235</v>
      </c>
      <c r="I705" s="60" t="s">
        <v>3130</v>
      </c>
      <c r="J705" s="60"/>
      <c r="K705" s="60" t="s">
        <v>3133</v>
      </c>
      <c r="L705" s="60" t="n">
        <v>1.3125</v>
      </c>
      <c r="M705" s="60" t="n">
        <v>36</v>
      </c>
      <c r="N705" s="60" t="s">
        <v>3117</v>
      </c>
      <c r="O705" s="60"/>
      <c r="P705" s="60"/>
      <c r="Q705" s="60"/>
      <c r="R705" s="60" t="n">
        <v>6</v>
      </c>
      <c r="S705" s="60" t="n">
        <v>0</v>
      </c>
      <c r="T705" s="61"/>
      <c r="U705" s="60"/>
      <c r="V705" s="60"/>
      <c r="W705" s="60" t="s">
        <v>3047</v>
      </c>
      <c r="X705" s="4"/>
      <c r="Y705" s="4"/>
      <c r="Z705" s="4"/>
    </row>
    <row r="706" customFormat="false" ht="15.75" hidden="false" customHeight="true" outlineLevel="0" collapsed="false">
      <c r="A706" s="60"/>
      <c r="B706" s="60" t="s">
        <v>3268</v>
      </c>
      <c r="C706" s="61"/>
      <c r="D706" s="60"/>
      <c r="E706" s="60"/>
      <c r="F706" s="60" t="s">
        <v>1194</v>
      </c>
      <c r="G706" s="60" t="s">
        <v>1194</v>
      </c>
      <c r="H706" s="60" t="s">
        <v>1235</v>
      </c>
      <c r="I706" s="60" t="s">
        <v>3130</v>
      </c>
      <c r="J706" s="60"/>
      <c r="K706" s="60" t="s">
        <v>3137</v>
      </c>
      <c r="L706" s="60" t="n">
        <v>1.3125</v>
      </c>
      <c r="M706" s="60" t="n">
        <v>39</v>
      </c>
      <c r="N706" s="60" t="s">
        <v>3117</v>
      </c>
      <c r="O706" s="60"/>
      <c r="P706" s="60"/>
      <c r="Q706" s="60"/>
      <c r="R706" s="60" t="n">
        <v>6</v>
      </c>
      <c r="S706" s="60" t="n">
        <v>0</v>
      </c>
      <c r="T706" s="61"/>
      <c r="U706" s="60"/>
      <c r="V706" s="60"/>
      <c r="W706" s="60" t="s">
        <v>3047</v>
      </c>
      <c r="X706" s="4"/>
      <c r="Y706" s="4"/>
      <c r="Z706" s="4"/>
    </row>
    <row r="707" customFormat="false" ht="15.75" hidden="false" customHeight="true" outlineLevel="0" collapsed="false">
      <c r="A707" s="60"/>
      <c r="B707" s="60" t="s">
        <v>3269</v>
      </c>
      <c r="C707" s="61"/>
      <c r="D707" s="60"/>
      <c r="E707" s="60"/>
      <c r="F707" s="60" t="s">
        <v>1194</v>
      </c>
      <c r="G707" s="60" t="s">
        <v>1194</v>
      </c>
      <c r="H707" s="60" t="s">
        <v>3270</v>
      </c>
      <c r="I707" s="60" t="s">
        <v>116</v>
      </c>
      <c r="J707" s="60"/>
      <c r="K707" s="60" t="s">
        <v>367</v>
      </c>
      <c r="L707" s="60" t="n">
        <v>0.5</v>
      </c>
      <c r="M707" s="60" t="n">
        <v>0.5</v>
      </c>
      <c r="N707" s="60" t="s">
        <v>3271</v>
      </c>
      <c r="O707" s="60" t="s">
        <v>116</v>
      </c>
      <c r="P707" s="60" t="s">
        <v>3272</v>
      </c>
      <c r="Q707" s="60"/>
      <c r="R707" s="60" t="n">
        <v>4</v>
      </c>
      <c r="S707" s="60" t="n">
        <v>0</v>
      </c>
      <c r="T707" s="61"/>
      <c r="U707" s="60"/>
      <c r="V707" s="60"/>
      <c r="W707" s="60" t="s">
        <v>3273</v>
      </c>
      <c r="X707" s="4"/>
      <c r="Y707" s="4"/>
      <c r="Z707" s="4"/>
    </row>
    <row r="708" customFormat="false" ht="15.75" hidden="false" customHeight="true" outlineLevel="0" collapsed="false">
      <c r="A708" s="60"/>
      <c r="B708" s="60" t="s">
        <v>3274</v>
      </c>
      <c r="C708" s="61"/>
      <c r="D708" s="60"/>
      <c r="E708" s="60"/>
      <c r="F708" s="60" t="s">
        <v>1194</v>
      </c>
      <c r="G708" s="60" t="s">
        <v>1194</v>
      </c>
      <c r="H708" s="60" t="s">
        <v>3270</v>
      </c>
      <c r="I708" s="60" t="s">
        <v>116</v>
      </c>
      <c r="J708" s="60"/>
      <c r="K708" s="60" t="s">
        <v>241</v>
      </c>
      <c r="L708" s="60" t="n">
        <v>0.5</v>
      </c>
      <c r="M708" s="60" t="n">
        <v>1.5</v>
      </c>
      <c r="N708" s="60" t="s">
        <v>3271</v>
      </c>
      <c r="O708" s="60" t="s">
        <v>116</v>
      </c>
      <c r="P708" s="60" t="s">
        <v>3272</v>
      </c>
      <c r="Q708" s="60"/>
      <c r="R708" s="60" t="n">
        <v>4</v>
      </c>
      <c r="S708" s="60" t="n">
        <v>0</v>
      </c>
      <c r="T708" s="61"/>
      <c r="U708" s="60"/>
      <c r="V708" s="60"/>
      <c r="W708" s="60" t="s">
        <v>3273</v>
      </c>
      <c r="X708" s="4"/>
      <c r="Y708" s="4"/>
      <c r="Z708" s="4"/>
    </row>
    <row r="709" customFormat="false" ht="15.75" hidden="false" customHeight="true" outlineLevel="0" collapsed="false">
      <c r="A709" s="60"/>
      <c r="B709" s="60" t="s">
        <v>3275</v>
      </c>
      <c r="C709" s="61"/>
      <c r="D709" s="60"/>
      <c r="E709" s="60"/>
      <c r="F709" s="60" t="s">
        <v>1194</v>
      </c>
      <c r="G709" s="60" t="s">
        <v>1194</v>
      </c>
      <c r="H709" s="60" t="s">
        <v>3270</v>
      </c>
      <c r="I709" s="60" t="s">
        <v>116</v>
      </c>
      <c r="J709" s="60"/>
      <c r="K709" s="60" t="s">
        <v>3276</v>
      </c>
      <c r="L709" s="60" t="n">
        <v>0.5</v>
      </c>
      <c r="M709" s="60" t="n">
        <v>2</v>
      </c>
      <c r="N709" s="60" t="s">
        <v>3271</v>
      </c>
      <c r="O709" s="60" t="s">
        <v>116</v>
      </c>
      <c r="P709" s="60" t="s">
        <v>3272</v>
      </c>
      <c r="Q709" s="60"/>
      <c r="R709" s="60" t="n">
        <v>4</v>
      </c>
      <c r="S709" s="60" t="n">
        <v>0</v>
      </c>
      <c r="T709" s="61"/>
      <c r="U709" s="60"/>
      <c r="V709" s="60"/>
      <c r="W709" s="60" t="s">
        <v>3273</v>
      </c>
      <c r="X709" s="4"/>
      <c r="Y709" s="4"/>
      <c r="Z709" s="4"/>
    </row>
    <row r="710" customFormat="false" ht="15.75" hidden="false" customHeight="true" outlineLevel="0" collapsed="false">
      <c r="A710" s="60"/>
      <c r="B710" s="60" t="s">
        <v>3277</v>
      </c>
      <c r="C710" s="61"/>
      <c r="D710" s="60"/>
      <c r="E710" s="60"/>
      <c r="F710" s="60" t="s">
        <v>1194</v>
      </c>
      <c r="G710" s="60" t="s">
        <v>1194</v>
      </c>
      <c r="H710" s="60" t="s">
        <v>3270</v>
      </c>
      <c r="I710" s="60" t="s">
        <v>116</v>
      </c>
      <c r="J710" s="60"/>
      <c r="K710" s="60" t="s">
        <v>421</v>
      </c>
      <c r="L710" s="60" t="n">
        <v>0.5</v>
      </c>
      <c r="M710" s="60" t="n">
        <v>2.5</v>
      </c>
      <c r="N710" s="60" t="s">
        <v>3271</v>
      </c>
      <c r="O710" s="60" t="s">
        <v>116</v>
      </c>
      <c r="P710" s="60" t="s">
        <v>3272</v>
      </c>
      <c r="Q710" s="60"/>
      <c r="R710" s="60" t="n">
        <v>4</v>
      </c>
      <c r="S710" s="60" t="n">
        <v>0</v>
      </c>
      <c r="T710" s="61"/>
      <c r="U710" s="60"/>
      <c r="V710" s="60"/>
      <c r="W710" s="60" t="s">
        <v>3273</v>
      </c>
      <c r="X710" s="4"/>
      <c r="Y710" s="4"/>
      <c r="Z710" s="4"/>
    </row>
    <row r="711" customFormat="false" ht="15.75" hidden="false" customHeight="true" outlineLevel="0" collapsed="false">
      <c r="A711" s="60"/>
      <c r="B711" s="60" t="s">
        <v>3278</v>
      </c>
      <c r="C711" s="61"/>
      <c r="D711" s="60"/>
      <c r="E711" s="60"/>
      <c r="F711" s="60" t="s">
        <v>1194</v>
      </c>
      <c r="G711" s="60" t="s">
        <v>1194</v>
      </c>
      <c r="H711" s="60" t="s">
        <v>3270</v>
      </c>
      <c r="I711" s="60" t="s">
        <v>116</v>
      </c>
      <c r="J711" s="60"/>
      <c r="K711" s="60" t="s">
        <v>474</v>
      </c>
      <c r="L711" s="60" t="n">
        <v>0.5</v>
      </c>
      <c r="M711" s="60" t="n">
        <v>0.75</v>
      </c>
      <c r="N711" s="60" t="s">
        <v>3271</v>
      </c>
      <c r="O711" s="60" t="s">
        <v>116</v>
      </c>
      <c r="P711" s="60" t="s">
        <v>3272</v>
      </c>
      <c r="Q711" s="60"/>
      <c r="R711" s="60" t="n">
        <v>4</v>
      </c>
      <c r="S711" s="60" t="n">
        <v>0</v>
      </c>
      <c r="T711" s="61"/>
      <c r="U711" s="60"/>
      <c r="V711" s="60"/>
      <c r="W711" s="60" t="s">
        <v>3273</v>
      </c>
      <c r="X711" s="4"/>
      <c r="Y711" s="4"/>
      <c r="Z711" s="4"/>
    </row>
    <row r="712" customFormat="false" ht="15.75" hidden="false" customHeight="true" outlineLevel="0" collapsed="false">
      <c r="A712" s="60"/>
      <c r="B712" s="60" t="s">
        <v>3279</v>
      </c>
      <c r="C712" s="61"/>
      <c r="D712" s="60"/>
      <c r="E712" s="60"/>
      <c r="F712" s="60" t="s">
        <v>1194</v>
      </c>
      <c r="G712" s="60" t="s">
        <v>1194</v>
      </c>
      <c r="H712" s="60" t="s">
        <v>3270</v>
      </c>
      <c r="I712" s="60" t="s">
        <v>116</v>
      </c>
      <c r="J712" s="60"/>
      <c r="K712" s="60" t="s">
        <v>3280</v>
      </c>
      <c r="L712" s="60" t="n">
        <v>0.5</v>
      </c>
      <c r="M712" s="60" t="n">
        <v>3.5</v>
      </c>
      <c r="N712" s="60" t="s">
        <v>3271</v>
      </c>
      <c r="O712" s="60" t="s">
        <v>116</v>
      </c>
      <c r="P712" s="60" t="s">
        <v>3272</v>
      </c>
      <c r="Q712" s="60"/>
      <c r="R712" s="60" t="n">
        <v>4</v>
      </c>
      <c r="S712" s="60" t="n">
        <v>0</v>
      </c>
      <c r="T712" s="61"/>
      <c r="U712" s="60"/>
      <c r="V712" s="60"/>
      <c r="W712" s="60" t="s">
        <v>3273</v>
      </c>
      <c r="X712" s="4"/>
      <c r="Y712" s="4"/>
      <c r="Z712" s="4"/>
    </row>
    <row r="713" customFormat="false" ht="15.75" hidden="false" customHeight="true" outlineLevel="0" collapsed="false">
      <c r="A713" s="60"/>
      <c r="B713" s="60" t="s">
        <v>3281</v>
      </c>
      <c r="C713" s="61"/>
      <c r="D713" s="60"/>
      <c r="E713" s="60"/>
      <c r="F713" s="60" t="s">
        <v>1194</v>
      </c>
      <c r="G713" s="60" t="s">
        <v>1194</v>
      </c>
      <c r="H713" s="60" t="s">
        <v>3270</v>
      </c>
      <c r="I713" s="60" t="s">
        <v>116</v>
      </c>
      <c r="J713" s="60"/>
      <c r="K713" s="60" t="s">
        <v>3282</v>
      </c>
      <c r="L713" s="60" t="n">
        <v>0.5</v>
      </c>
      <c r="M713" s="60" t="n">
        <v>5.5</v>
      </c>
      <c r="N713" s="60" t="s">
        <v>3271</v>
      </c>
      <c r="O713" s="60" t="s">
        <v>116</v>
      </c>
      <c r="P713" s="60" t="s">
        <v>3272</v>
      </c>
      <c r="Q713" s="60"/>
      <c r="R713" s="60" t="n">
        <v>4</v>
      </c>
      <c r="S713" s="60" t="n">
        <v>0</v>
      </c>
      <c r="T713" s="61"/>
      <c r="U713" s="60"/>
      <c r="V713" s="60"/>
      <c r="W713" s="60" t="s">
        <v>3273</v>
      </c>
      <c r="X713" s="4"/>
      <c r="Y713" s="4"/>
      <c r="Z713" s="4"/>
    </row>
    <row r="714" customFormat="false" ht="15.75" hidden="false" customHeight="true" outlineLevel="0" collapsed="false">
      <c r="A714" s="60"/>
      <c r="B714" s="60" t="s">
        <v>3283</v>
      </c>
      <c r="C714" s="61"/>
      <c r="D714" s="60"/>
      <c r="E714" s="60"/>
      <c r="F714" s="60" t="s">
        <v>1194</v>
      </c>
      <c r="G714" s="60" t="s">
        <v>1194</v>
      </c>
      <c r="H714" s="60" t="s">
        <v>3270</v>
      </c>
      <c r="I714" s="60" t="s">
        <v>116</v>
      </c>
      <c r="J714" s="60"/>
      <c r="K714" s="60" t="s">
        <v>3284</v>
      </c>
      <c r="L714" s="60" t="n">
        <v>0.5</v>
      </c>
      <c r="M714" s="60" t="n">
        <v>7.25</v>
      </c>
      <c r="N714" s="60" t="s">
        <v>3271</v>
      </c>
      <c r="O714" s="60" t="s">
        <v>116</v>
      </c>
      <c r="P714" s="60" t="s">
        <v>3272</v>
      </c>
      <c r="Q714" s="60"/>
      <c r="R714" s="60" t="n">
        <v>4</v>
      </c>
      <c r="S714" s="60" t="n">
        <v>0</v>
      </c>
      <c r="T714" s="61"/>
      <c r="U714" s="60"/>
      <c r="V714" s="60"/>
      <c r="W714" s="60" t="s">
        <v>3273</v>
      </c>
      <c r="X714" s="4"/>
      <c r="Y714" s="4"/>
      <c r="Z714" s="4"/>
    </row>
    <row r="715" customFormat="false" ht="15.75" hidden="false" customHeight="true" outlineLevel="0" collapsed="false">
      <c r="A715" s="60"/>
      <c r="B715" s="60" t="s">
        <v>3285</v>
      </c>
      <c r="C715" s="61"/>
      <c r="D715" s="60"/>
      <c r="E715" s="60"/>
      <c r="F715" s="60" t="s">
        <v>1194</v>
      </c>
      <c r="G715" s="60" t="s">
        <v>1194</v>
      </c>
      <c r="H715" s="60" t="s">
        <v>3270</v>
      </c>
      <c r="I715" s="60" t="s">
        <v>116</v>
      </c>
      <c r="J715" s="60"/>
      <c r="K715" s="60" t="s">
        <v>3286</v>
      </c>
      <c r="L715" s="60" t="n">
        <v>0.25</v>
      </c>
      <c r="M715" s="60" t="n">
        <v>1.5</v>
      </c>
      <c r="N715" s="60" t="s">
        <v>3271</v>
      </c>
      <c r="O715" s="60" t="s">
        <v>116</v>
      </c>
      <c r="P715" s="60" t="s">
        <v>3272</v>
      </c>
      <c r="Q715" s="60"/>
      <c r="R715" s="60" t="n">
        <v>4</v>
      </c>
      <c r="S715" s="60" t="n">
        <v>0</v>
      </c>
      <c r="T715" s="61"/>
      <c r="U715" s="60"/>
      <c r="V715" s="60"/>
      <c r="W715" s="60" t="s">
        <v>3273</v>
      </c>
      <c r="X715" s="4"/>
      <c r="Y715" s="4"/>
      <c r="Z715" s="4"/>
    </row>
    <row r="716" customFormat="false" ht="15.75" hidden="false" customHeight="true" outlineLevel="0" collapsed="false">
      <c r="A716" s="60"/>
      <c r="B716" s="60" t="s">
        <v>3287</v>
      </c>
      <c r="C716" s="61"/>
      <c r="D716" s="60"/>
      <c r="E716" s="60"/>
      <c r="F716" s="60" t="s">
        <v>1194</v>
      </c>
      <c r="G716" s="60" t="s">
        <v>1194</v>
      </c>
      <c r="H716" s="60" t="s">
        <v>3270</v>
      </c>
      <c r="I716" s="60" t="s">
        <v>116</v>
      </c>
      <c r="J716" s="60"/>
      <c r="K716" s="60" t="s">
        <v>3288</v>
      </c>
      <c r="L716" s="60" t="n">
        <v>0.25</v>
      </c>
      <c r="M716" s="60" t="n">
        <v>2.5</v>
      </c>
      <c r="N716" s="60" t="s">
        <v>3271</v>
      </c>
      <c r="O716" s="60" t="s">
        <v>116</v>
      </c>
      <c r="P716" s="60" t="s">
        <v>3272</v>
      </c>
      <c r="Q716" s="60"/>
      <c r="R716" s="60" t="n">
        <v>4</v>
      </c>
      <c r="S716" s="60" t="n">
        <v>0</v>
      </c>
      <c r="T716" s="61"/>
      <c r="U716" s="60"/>
      <c r="V716" s="60"/>
      <c r="W716" s="60" t="s">
        <v>3273</v>
      </c>
      <c r="X716" s="4"/>
      <c r="Y716" s="4"/>
      <c r="Z716" s="4"/>
    </row>
    <row r="717" customFormat="false" ht="15.75" hidden="false" customHeight="true" outlineLevel="0" collapsed="false">
      <c r="A717" s="60"/>
      <c r="B717" s="60" t="s">
        <v>3289</v>
      </c>
      <c r="C717" s="61"/>
      <c r="D717" s="60"/>
      <c r="E717" s="60"/>
      <c r="F717" s="60" t="s">
        <v>1194</v>
      </c>
      <c r="G717" s="60" t="s">
        <v>1194</v>
      </c>
      <c r="H717" s="60" t="s">
        <v>3270</v>
      </c>
      <c r="I717" s="60" t="s">
        <v>116</v>
      </c>
      <c r="J717" s="60"/>
      <c r="K717" s="60" t="s">
        <v>471</v>
      </c>
      <c r="L717" s="60" t="n">
        <v>0.25</v>
      </c>
      <c r="M717" s="60" t="n">
        <v>0.75</v>
      </c>
      <c r="N717" s="60" t="s">
        <v>3271</v>
      </c>
      <c r="O717" s="60" t="s">
        <v>116</v>
      </c>
      <c r="P717" s="60" t="s">
        <v>3272</v>
      </c>
      <c r="Q717" s="60"/>
      <c r="R717" s="60" t="n">
        <v>4</v>
      </c>
      <c r="S717" s="60" t="n">
        <v>0</v>
      </c>
      <c r="T717" s="61"/>
      <c r="U717" s="60"/>
      <c r="V717" s="60"/>
      <c r="W717" s="60" t="s">
        <v>3273</v>
      </c>
      <c r="X717" s="4"/>
      <c r="Y717" s="4"/>
      <c r="Z717" s="4"/>
    </row>
    <row r="718" customFormat="false" ht="15.75" hidden="false" customHeight="true" outlineLevel="0" collapsed="false">
      <c r="A718" s="60"/>
      <c r="B718" s="60" t="s">
        <v>3290</v>
      </c>
      <c r="C718" s="61"/>
      <c r="D718" s="60"/>
      <c r="E718" s="60"/>
      <c r="F718" s="60" t="s">
        <v>1194</v>
      </c>
      <c r="G718" s="60" t="s">
        <v>1194</v>
      </c>
      <c r="H718" s="60" t="s">
        <v>3270</v>
      </c>
      <c r="I718" s="60" t="s">
        <v>116</v>
      </c>
      <c r="J718" s="60"/>
      <c r="K718" s="60" t="s">
        <v>3291</v>
      </c>
      <c r="L718" s="60" t="n">
        <v>0.25</v>
      </c>
      <c r="M718" s="60" t="n">
        <v>3.5</v>
      </c>
      <c r="N718" s="60" t="s">
        <v>3271</v>
      </c>
      <c r="O718" s="60" t="s">
        <v>116</v>
      </c>
      <c r="P718" s="60" t="s">
        <v>3272</v>
      </c>
      <c r="Q718" s="60"/>
      <c r="R718" s="60" t="n">
        <v>4</v>
      </c>
      <c r="S718" s="60" t="n">
        <v>0</v>
      </c>
      <c r="T718" s="61"/>
      <c r="U718" s="60"/>
      <c r="V718" s="60"/>
      <c r="W718" s="60" t="s">
        <v>3273</v>
      </c>
      <c r="X718" s="4"/>
      <c r="Y718" s="4"/>
      <c r="Z718" s="4"/>
    </row>
    <row r="719" customFormat="false" ht="15.75" hidden="false" customHeight="true" outlineLevel="0" collapsed="false">
      <c r="A719" s="60"/>
      <c r="B719" s="60" t="s">
        <v>3292</v>
      </c>
      <c r="C719" s="61"/>
      <c r="D719" s="60"/>
      <c r="E719" s="60"/>
      <c r="F719" s="60" t="s">
        <v>1194</v>
      </c>
      <c r="G719" s="60" t="s">
        <v>1194</v>
      </c>
      <c r="H719" s="60" t="s">
        <v>3270</v>
      </c>
      <c r="I719" s="60" t="s">
        <v>116</v>
      </c>
      <c r="J719" s="60"/>
      <c r="K719" s="60" t="s">
        <v>3293</v>
      </c>
      <c r="L719" s="60" t="n">
        <v>0.25</v>
      </c>
      <c r="M719" s="60" t="n">
        <v>5.5</v>
      </c>
      <c r="N719" s="60" t="s">
        <v>3271</v>
      </c>
      <c r="O719" s="60" t="s">
        <v>116</v>
      </c>
      <c r="P719" s="60" t="s">
        <v>3272</v>
      </c>
      <c r="Q719" s="60"/>
      <c r="R719" s="60" t="n">
        <v>4</v>
      </c>
      <c r="S719" s="60" t="n">
        <v>0</v>
      </c>
      <c r="T719" s="61"/>
      <c r="U719" s="60"/>
      <c r="V719" s="60"/>
      <c r="W719" s="60" t="s">
        <v>3273</v>
      </c>
      <c r="X719" s="4"/>
      <c r="Y719" s="4"/>
      <c r="Z719" s="4"/>
    </row>
    <row r="720" customFormat="false" ht="15.75" hidden="false" customHeight="true" outlineLevel="0" collapsed="false">
      <c r="A720" s="60"/>
      <c r="B720" s="60" t="s">
        <v>3294</v>
      </c>
      <c r="C720" s="61"/>
      <c r="D720" s="60"/>
      <c r="E720" s="60"/>
      <c r="F720" s="60" t="s">
        <v>1194</v>
      </c>
      <c r="G720" s="60" t="s">
        <v>1194</v>
      </c>
      <c r="H720" s="60" t="s">
        <v>3270</v>
      </c>
      <c r="I720" s="60" t="s">
        <v>116</v>
      </c>
      <c r="J720" s="60"/>
      <c r="K720" s="60" t="s">
        <v>3295</v>
      </c>
      <c r="L720" s="60" t="n">
        <v>1.25</v>
      </c>
      <c r="M720" s="60" t="n">
        <v>2.5</v>
      </c>
      <c r="N720" s="60" t="s">
        <v>3271</v>
      </c>
      <c r="O720" s="60" t="s">
        <v>116</v>
      </c>
      <c r="P720" s="60" t="s">
        <v>3272</v>
      </c>
      <c r="Q720" s="60"/>
      <c r="R720" s="60" t="n">
        <v>4</v>
      </c>
      <c r="S720" s="60" t="n">
        <v>0</v>
      </c>
      <c r="T720" s="61"/>
      <c r="U720" s="60"/>
      <c r="V720" s="60"/>
      <c r="W720" s="60" t="s">
        <v>3273</v>
      </c>
      <c r="X720" s="4"/>
      <c r="Y720" s="4"/>
      <c r="Z720" s="4"/>
    </row>
    <row r="721" customFormat="false" ht="15.75" hidden="false" customHeight="true" outlineLevel="0" collapsed="false">
      <c r="A721" s="60"/>
      <c r="B721" s="60" t="s">
        <v>3296</v>
      </c>
      <c r="C721" s="61"/>
      <c r="D721" s="60"/>
      <c r="E721" s="60"/>
      <c r="F721" s="60" t="s">
        <v>1194</v>
      </c>
      <c r="G721" s="60" t="s">
        <v>1194</v>
      </c>
      <c r="H721" s="60" t="s">
        <v>3270</v>
      </c>
      <c r="I721" s="60" t="s">
        <v>116</v>
      </c>
      <c r="J721" s="60"/>
      <c r="K721" s="60" t="s">
        <v>3297</v>
      </c>
      <c r="L721" s="60" t="n">
        <v>1.25</v>
      </c>
      <c r="M721" s="60" t="n">
        <v>3.5</v>
      </c>
      <c r="N721" s="60" t="s">
        <v>3271</v>
      </c>
      <c r="O721" s="60" t="s">
        <v>116</v>
      </c>
      <c r="P721" s="60" t="s">
        <v>3272</v>
      </c>
      <c r="Q721" s="60"/>
      <c r="R721" s="60" t="n">
        <v>4</v>
      </c>
      <c r="S721" s="60" t="n">
        <v>0</v>
      </c>
      <c r="T721" s="61"/>
      <c r="U721" s="60"/>
      <c r="V721" s="60"/>
      <c r="W721" s="60" t="s">
        <v>3273</v>
      </c>
      <c r="X721" s="4"/>
      <c r="Y721" s="4"/>
      <c r="Z721" s="4"/>
    </row>
    <row r="722" customFormat="false" ht="15.75" hidden="false" customHeight="true" outlineLevel="0" collapsed="false">
      <c r="A722" s="60"/>
      <c r="B722" s="60" t="s">
        <v>3298</v>
      </c>
      <c r="C722" s="61"/>
      <c r="D722" s="60"/>
      <c r="E722" s="60"/>
      <c r="F722" s="60" t="s">
        <v>1194</v>
      </c>
      <c r="G722" s="60" t="s">
        <v>1194</v>
      </c>
      <c r="H722" s="60" t="s">
        <v>3270</v>
      </c>
      <c r="I722" s="60" t="s">
        <v>116</v>
      </c>
      <c r="J722" s="60"/>
      <c r="K722" s="60" t="s">
        <v>3299</v>
      </c>
      <c r="L722" s="60" t="n">
        <v>1.25</v>
      </c>
      <c r="M722" s="60" t="n">
        <v>5.5</v>
      </c>
      <c r="N722" s="60" t="s">
        <v>3271</v>
      </c>
      <c r="O722" s="60" t="s">
        <v>116</v>
      </c>
      <c r="P722" s="60" t="s">
        <v>3272</v>
      </c>
      <c r="Q722" s="60"/>
      <c r="R722" s="60" t="n">
        <v>4</v>
      </c>
      <c r="S722" s="60" t="n">
        <v>0</v>
      </c>
      <c r="T722" s="61"/>
      <c r="U722" s="60"/>
      <c r="V722" s="60"/>
      <c r="W722" s="60" t="s">
        <v>3273</v>
      </c>
      <c r="X722" s="4"/>
      <c r="Y722" s="4"/>
      <c r="Z722" s="4"/>
    </row>
    <row r="723" customFormat="false" ht="15.75" hidden="false" customHeight="true" outlineLevel="0" collapsed="false">
      <c r="A723" s="60"/>
      <c r="B723" s="60" t="s">
        <v>3300</v>
      </c>
      <c r="C723" s="61"/>
      <c r="D723" s="60"/>
      <c r="E723" s="60"/>
      <c r="F723" s="60" t="s">
        <v>1194</v>
      </c>
      <c r="G723" s="60" t="s">
        <v>1194</v>
      </c>
      <c r="H723" s="60" t="s">
        <v>3270</v>
      </c>
      <c r="I723" s="60" t="s">
        <v>116</v>
      </c>
      <c r="J723" s="60"/>
      <c r="K723" s="60" t="s">
        <v>3301</v>
      </c>
      <c r="L723" s="60" t="n">
        <v>1.25</v>
      </c>
      <c r="M723" s="60" t="n">
        <v>7.25</v>
      </c>
      <c r="N723" s="60" t="s">
        <v>3271</v>
      </c>
      <c r="O723" s="60" t="s">
        <v>116</v>
      </c>
      <c r="P723" s="60" t="s">
        <v>3272</v>
      </c>
      <c r="Q723" s="60"/>
      <c r="R723" s="60" t="n">
        <v>4</v>
      </c>
      <c r="S723" s="60" t="n">
        <v>0</v>
      </c>
      <c r="T723" s="61"/>
      <c r="U723" s="60"/>
      <c r="V723" s="60"/>
      <c r="W723" s="60" t="s">
        <v>3273</v>
      </c>
      <c r="X723" s="4"/>
      <c r="Y723" s="4"/>
      <c r="Z723" s="4"/>
    </row>
    <row r="724" customFormat="false" ht="15.75" hidden="false" customHeight="true" outlineLevel="0" collapsed="false">
      <c r="A724" s="60"/>
      <c r="B724" s="60" t="s">
        <v>3302</v>
      </c>
      <c r="C724" s="61"/>
      <c r="D724" s="60"/>
      <c r="E724" s="60"/>
      <c r="F724" s="60" t="s">
        <v>1194</v>
      </c>
      <c r="G724" s="60" t="s">
        <v>1194</v>
      </c>
      <c r="H724" s="60" t="s">
        <v>3270</v>
      </c>
      <c r="I724" s="60" t="s">
        <v>116</v>
      </c>
      <c r="J724" s="60"/>
      <c r="K724" s="60" t="s">
        <v>3303</v>
      </c>
      <c r="L724" s="60" t="n">
        <v>1.625</v>
      </c>
      <c r="M724" s="60" t="n">
        <v>11.25</v>
      </c>
      <c r="N724" s="60" t="s">
        <v>3271</v>
      </c>
      <c r="O724" s="60" t="s">
        <v>116</v>
      </c>
      <c r="P724" s="60" t="s">
        <v>3272</v>
      </c>
      <c r="Q724" s="60"/>
      <c r="R724" s="60" t="n">
        <v>4</v>
      </c>
      <c r="S724" s="60" t="n">
        <v>0</v>
      </c>
      <c r="T724" s="61"/>
      <c r="U724" s="60"/>
      <c r="V724" s="60"/>
      <c r="W724" s="60" t="s">
        <v>3273</v>
      </c>
      <c r="X724" s="4"/>
      <c r="Y724" s="4"/>
      <c r="Z724" s="4"/>
    </row>
    <row r="725" customFormat="false" ht="15.75" hidden="false" customHeight="true" outlineLevel="0" collapsed="false">
      <c r="A725" s="60"/>
      <c r="B725" s="60" t="s">
        <v>3304</v>
      </c>
      <c r="C725" s="61"/>
      <c r="D725" s="60"/>
      <c r="E725" s="60"/>
      <c r="F725" s="60" t="s">
        <v>1194</v>
      </c>
      <c r="G725" s="60" t="s">
        <v>1194</v>
      </c>
      <c r="H725" s="60" t="s">
        <v>3270</v>
      </c>
      <c r="I725" s="60" t="s">
        <v>116</v>
      </c>
      <c r="J725" s="60"/>
      <c r="K725" s="60" t="s">
        <v>155</v>
      </c>
      <c r="L725" s="60" t="n">
        <v>1.625</v>
      </c>
      <c r="M725" s="60" t="n">
        <v>1.625</v>
      </c>
      <c r="N725" s="60" t="s">
        <v>3271</v>
      </c>
      <c r="O725" s="60" t="s">
        <v>116</v>
      </c>
      <c r="P725" s="60" t="s">
        <v>3272</v>
      </c>
      <c r="Q725" s="60"/>
      <c r="R725" s="60" t="n">
        <v>4</v>
      </c>
      <c r="S725" s="60" t="n">
        <v>0</v>
      </c>
      <c r="T725" s="61"/>
      <c r="U725" s="60"/>
      <c r="V725" s="60"/>
      <c r="W725" s="60" t="s">
        <v>3273</v>
      </c>
      <c r="X725" s="4"/>
      <c r="Y725" s="4"/>
      <c r="Z725" s="4"/>
    </row>
    <row r="726" customFormat="false" ht="15.75" hidden="false" customHeight="true" outlineLevel="0" collapsed="false">
      <c r="A726" s="60"/>
      <c r="B726" s="60" t="s">
        <v>3305</v>
      </c>
      <c r="C726" s="61"/>
      <c r="D726" s="60"/>
      <c r="E726" s="60"/>
      <c r="F726" s="60" t="s">
        <v>1194</v>
      </c>
      <c r="G726" s="60" t="s">
        <v>1194</v>
      </c>
      <c r="H726" s="60" t="s">
        <v>3270</v>
      </c>
      <c r="I726" s="60" t="s">
        <v>116</v>
      </c>
      <c r="J726" s="60"/>
      <c r="K726" s="60" t="s">
        <v>3306</v>
      </c>
      <c r="L726" s="60" t="n">
        <v>1.625</v>
      </c>
      <c r="M726" s="60" t="n">
        <v>2.5</v>
      </c>
      <c r="N726" s="60" t="s">
        <v>3271</v>
      </c>
      <c r="O726" s="60" t="s">
        <v>116</v>
      </c>
      <c r="P726" s="60" t="s">
        <v>3272</v>
      </c>
      <c r="Q726" s="60"/>
      <c r="R726" s="60" t="n">
        <v>4</v>
      </c>
      <c r="S726" s="60" t="n">
        <v>0</v>
      </c>
      <c r="T726" s="61"/>
      <c r="U726" s="60"/>
      <c r="V726" s="60"/>
      <c r="W726" s="60" t="s">
        <v>3273</v>
      </c>
      <c r="X726" s="4"/>
      <c r="Y726" s="4"/>
      <c r="Z726" s="4"/>
    </row>
    <row r="727" customFormat="false" ht="15.75" hidden="false" customHeight="true" outlineLevel="0" collapsed="false">
      <c r="A727" s="60"/>
      <c r="B727" s="60" t="s">
        <v>3307</v>
      </c>
      <c r="C727" s="61"/>
      <c r="D727" s="60"/>
      <c r="E727" s="60"/>
      <c r="F727" s="60" t="s">
        <v>1194</v>
      </c>
      <c r="G727" s="60" t="s">
        <v>1194</v>
      </c>
      <c r="H727" s="60" t="s">
        <v>3270</v>
      </c>
      <c r="I727" s="60" t="s">
        <v>116</v>
      </c>
      <c r="J727" s="60"/>
      <c r="K727" s="60" t="s">
        <v>3308</v>
      </c>
      <c r="L727" s="60" t="n">
        <v>1.625</v>
      </c>
      <c r="M727" s="60" t="n">
        <v>3.5</v>
      </c>
      <c r="N727" s="60" t="s">
        <v>3271</v>
      </c>
      <c r="O727" s="60" t="s">
        <v>116</v>
      </c>
      <c r="P727" s="60" t="s">
        <v>3272</v>
      </c>
      <c r="Q727" s="60"/>
      <c r="R727" s="60" t="n">
        <v>4</v>
      </c>
      <c r="S727" s="60" t="n">
        <v>0</v>
      </c>
      <c r="T727" s="61"/>
      <c r="U727" s="60"/>
      <c r="V727" s="60"/>
      <c r="W727" s="60" t="s">
        <v>3273</v>
      </c>
      <c r="X727" s="4"/>
      <c r="Y727" s="4"/>
      <c r="Z727" s="4"/>
    </row>
    <row r="728" customFormat="false" ht="15.75" hidden="false" customHeight="true" outlineLevel="0" collapsed="false">
      <c r="A728" s="60"/>
      <c r="B728" s="60" t="s">
        <v>3309</v>
      </c>
      <c r="C728" s="61"/>
      <c r="D728" s="60"/>
      <c r="E728" s="60"/>
      <c r="F728" s="60" t="s">
        <v>1194</v>
      </c>
      <c r="G728" s="60" t="s">
        <v>1194</v>
      </c>
      <c r="H728" s="60" t="s">
        <v>3270</v>
      </c>
      <c r="I728" s="60" t="s">
        <v>116</v>
      </c>
      <c r="J728" s="60"/>
      <c r="K728" s="60" t="s">
        <v>3310</v>
      </c>
      <c r="L728" s="60" t="n">
        <v>1.625</v>
      </c>
      <c r="M728" s="60" t="n">
        <v>5.5</v>
      </c>
      <c r="N728" s="60" t="s">
        <v>3271</v>
      </c>
      <c r="O728" s="60" t="s">
        <v>116</v>
      </c>
      <c r="P728" s="60" t="s">
        <v>3272</v>
      </c>
      <c r="Q728" s="60"/>
      <c r="R728" s="60" t="n">
        <v>4</v>
      </c>
      <c r="S728" s="60" t="n">
        <v>0</v>
      </c>
      <c r="T728" s="61"/>
      <c r="U728" s="60"/>
      <c r="V728" s="60"/>
      <c r="W728" s="60" t="s">
        <v>3273</v>
      </c>
      <c r="X728" s="4"/>
      <c r="Y728" s="4"/>
      <c r="Z728" s="4"/>
    </row>
    <row r="729" customFormat="false" ht="15.75" hidden="false" customHeight="true" outlineLevel="0" collapsed="false">
      <c r="A729" s="60"/>
      <c r="B729" s="60" t="s">
        <v>3311</v>
      </c>
      <c r="C729" s="61"/>
      <c r="D729" s="60"/>
      <c r="E729" s="60"/>
      <c r="F729" s="60" t="s">
        <v>1194</v>
      </c>
      <c r="G729" s="60" t="s">
        <v>1194</v>
      </c>
      <c r="H729" s="60" t="s">
        <v>3270</v>
      </c>
      <c r="I729" s="60" t="s">
        <v>116</v>
      </c>
      <c r="J729" s="60"/>
      <c r="K729" s="60" t="s">
        <v>3312</v>
      </c>
      <c r="L729" s="60" t="n">
        <v>1.625</v>
      </c>
      <c r="M729" s="60" t="n">
        <v>7.25</v>
      </c>
      <c r="N729" s="60" t="s">
        <v>3271</v>
      </c>
      <c r="O729" s="60" t="s">
        <v>116</v>
      </c>
      <c r="P729" s="60" t="s">
        <v>3272</v>
      </c>
      <c r="Q729" s="60"/>
      <c r="R729" s="60" t="n">
        <v>4</v>
      </c>
      <c r="S729" s="60" t="n">
        <v>0</v>
      </c>
      <c r="T729" s="61"/>
      <c r="U729" s="60"/>
      <c r="V729" s="60"/>
      <c r="W729" s="60" t="s">
        <v>3273</v>
      </c>
      <c r="X729" s="4"/>
      <c r="Y729" s="4"/>
      <c r="Z729" s="4"/>
    </row>
    <row r="730" customFormat="false" ht="15.75" hidden="false" customHeight="true" outlineLevel="0" collapsed="false">
      <c r="A730" s="60"/>
      <c r="B730" s="60" t="s">
        <v>3313</v>
      </c>
      <c r="C730" s="61"/>
      <c r="D730" s="60"/>
      <c r="E730" s="60"/>
      <c r="F730" s="60" t="s">
        <v>1194</v>
      </c>
      <c r="G730" s="60" t="s">
        <v>1194</v>
      </c>
      <c r="H730" s="60" t="s">
        <v>3270</v>
      </c>
      <c r="I730" s="60" t="s">
        <v>116</v>
      </c>
      <c r="J730" s="60"/>
      <c r="K730" s="60" t="s">
        <v>3314</v>
      </c>
      <c r="L730" s="60" t="n">
        <v>1.625</v>
      </c>
      <c r="M730" s="60" t="n">
        <v>9.25</v>
      </c>
      <c r="N730" s="60" t="s">
        <v>3271</v>
      </c>
      <c r="O730" s="60" t="s">
        <v>116</v>
      </c>
      <c r="P730" s="60" t="s">
        <v>3272</v>
      </c>
      <c r="Q730" s="60"/>
      <c r="R730" s="60" t="n">
        <v>4</v>
      </c>
      <c r="S730" s="60" t="n">
        <v>0</v>
      </c>
      <c r="T730" s="61"/>
      <c r="U730" s="60"/>
      <c r="V730" s="60"/>
      <c r="W730" s="60" t="s">
        <v>3273</v>
      </c>
      <c r="X730" s="4"/>
      <c r="Y730" s="4"/>
      <c r="Z730" s="4"/>
    </row>
    <row r="731" customFormat="false" ht="15.75" hidden="false" customHeight="true" outlineLevel="0" collapsed="false">
      <c r="A731" s="60"/>
      <c r="B731" s="60" t="s">
        <v>3315</v>
      </c>
      <c r="C731" s="61"/>
      <c r="D731" s="60"/>
      <c r="E731" s="60"/>
      <c r="F731" s="60" t="s">
        <v>1194</v>
      </c>
      <c r="G731" s="60" t="s">
        <v>1194</v>
      </c>
      <c r="H731" s="60" t="s">
        <v>3270</v>
      </c>
      <c r="I731" s="60" t="s">
        <v>116</v>
      </c>
      <c r="J731" s="60"/>
      <c r="K731" s="60" t="s">
        <v>3316</v>
      </c>
      <c r="L731" s="60" t="n">
        <v>1</v>
      </c>
      <c r="M731" s="60" t="n">
        <v>1</v>
      </c>
      <c r="N731" s="60" t="s">
        <v>3271</v>
      </c>
      <c r="O731" s="60" t="s">
        <v>116</v>
      </c>
      <c r="P731" s="60" t="s">
        <v>3272</v>
      </c>
      <c r="Q731" s="60"/>
      <c r="R731" s="60" t="n">
        <v>4</v>
      </c>
      <c r="S731" s="60" t="n">
        <v>0</v>
      </c>
      <c r="T731" s="61"/>
      <c r="U731" s="60"/>
      <c r="V731" s="60"/>
      <c r="W731" s="60" t="s">
        <v>3273</v>
      </c>
      <c r="X731" s="4"/>
      <c r="Y731" s="4"/>
      <c r="Z731" s="4"/>
    </row>
    <row r="732" customFormat="false" ht="15.75" hidden="false" customHeight="true" outlineLevel="0" collapsed="false">
      <c r="A732" s="60"/>
      <c r="B732" s="60" t="s">
        <v>3317</v>
      </c>
      <c r="C732" s="61"/>
      <c r="D732" s="60"/>
      <c r="E732" s="60"/>
      <c r="F732" s="60" t="s">
        <v>1194</v>
      </c>
      <c r="G732" s="60" t="s">
        <v>1194</v>
      </c>
      <c r="H732" s="60" t="s">
        <v>3270</v>
      </c>
      <c r="I732" s="60" t="s">
        <v>116</v>
      </c>
      <c r="J732" s="60"/>
      <c r="K732" s="60" t="s">
        <v>169</v>
      </c>
      <c r="L732" s="60" t="n">
        <v>0.75</v>
      </c>
      <c r="M732" s="60" t="n">
        <v>1.5</v>
      </c>
      <c r="N732" s="60" t="s">
        <v>3271</v>
      </c>
      <c r="O732" s="60" t="s">
        <v>116</v>
      </c>
      <c r="P732" s="60" t="s">
        <v>3272</v>
      </c>
      <c r="Q732" s="60"/>
      <c r="R732" s="60" t="n">
        <v>4</v>
      </c>
      <c r="S732" s="60" t="n">
        <v>0</v>
      </c>
      <c r="T732" s="61"/>
      <c r="U732" s="60"/>
      <c r="V732" s="60"/>
      <c r="W732" s="60" t="s">
        <v>3273</v>
      </c>
      <c r="X732" s="4"/>
      <c r="Y732" s="4"/>
      <c r="Z732" s="4"/>
    </row>
    <row r="733" customFormat="false" ht="15.75" hidden="false" customHeight="true" outlineLevel="0" collapsed="false">
      <c r="A733" s="60"/>
      <c r="B733" s="60" t="s">
        <v>3318</v>
      </c>
      <c r="C733" s="61"/>
      <c r="D733" s="60"/>
      <c r="E733" s="60"/>
      <c r="F733" s="60" t="s">
        <v>1194</v>
      </c>
      <c r="G733" s="60" t="s">
        <v>1194</v>
      </c>
      <c r="H733" s="60" t="s">
        <v>3270</v>
      </c>
      <c r="I733" s="60" t="s">
        <v>117</v>
      </c>
      <c r="J733" s="60"/>
      <c r="K733" s="60" t="s">
        <v>169</v>
      </c>
      <c r="L733" s="60" t="n">
        <v>0.75</v>
      </c>
      <c r="M733" s="60" t="n">
        <v>1.5</v>
      </c>
      <c r="N733" s="60" t="s">
        <v>3319</v>
      </c>
      <c r="O733" s="60" t="s">
        <v>117</v>
      </c>
      <c r="P733" s="60" t="s">
        <v>3320</v>
      </c>
      <c r="Q733" s="60" t="s">
        <v>1262</v>
      </c>
      <c r="R733" s="60" t="n">
        <v>5</v>
      </c>
      <c r="S733" s="60" t="n">
        <v>0</v>
      </c>
      <c r="T733" s="61"/>
      <c r="U733" s="60"/>
      <c r="V733" s="60"/>
      <c r="W733" s="60" t="s">
        <v>3273</v>
      </c>
      <c r="X733" s="4"/>
      <c r="Y733" s="4"/>
      <c r="Z733" s="4"/>
    </row>
    <row r="734" customFormat="false" ht="15.75" hidden="false" customHeight="true" outlineLevel="0" collapsed="false">
      <c r="A734" s="60"/>
      <c r="B734" s="60" t="s">
        <v>3321</v>
      </c>
      <c r="C734" s="61"/>
      <c r="D734" s="60"/>
      <c r="E734" s="60"/>
      <c r="F734" s="60" t="s">
        <v>1194</v>
      </c>
      <c r="G734" s="60" t="s">
        <v>1194</v>
      </c>
      <c r="H734" s="60" t="s">
        <v>3270</v>
      </c>
      <c r="I734" s="60" t="s">
        <v>116</v>
      </c>
      <c r="J734" s="60"/>
      <c r="K734" s="60" t="s">
        <v>3322</v>
      </c>
      <c r="L734" s="60" t="n">
        <v>0.75</v>
      </c>
      <c r="M734" s="60" t="n">
        <v>11.25</v>
      </c>
      <c r="N734" s="60" t="s">
        <v>3271</v>
      </c>
      <c r="O734" s="60" t="s">
        <v>116</v>
      </c>
      <c r="P734" s="60" t="s">
        <v>3272</v>
      </c>
      <c r="Q734" s="60"/>
      <c r="R734" s="60" t="n">
        <v>4</v>
      </c>
      <c r="S734" s="60" t="n">
        <v>0</v>
      </c>
      <c r="T734" s="61"/>
      <c r="U734" s="60"/>
      <c r="V734" s="60"/>
      <c r="W734" s="60" t="s">
        <v>3273</v>
      </c>
      <c r="X734" s="4"/>
      <c r="Y734" s="4"/>
      <c r="Z734" s="4"/>
    </row>
    <row r="735" customFormat="false" ht="15.75" hidden="false" customHeight="true" outlineLevel="0" collapsed="false">
      <c r="A735" s="60"/>
      <c r="B735" s="60" t="s">
        <v>3323</v>
      </c>
      <c r="C735" s="61"/>
      <c r="D735" s="60"/>
      <c r="E735" s="60"/>
      <c r="F735" s="60" t="s">
        <v>1194</v>
      </c>
      <c r="G735" s="60" t="s">
        <v>1194</v>
      </c>
      <c r="H735" s="60" t="s">
        <v>3270</v>
      </c>
      <c r="I735" s="60" t="s">
        <v>116</v>
      </c>
      <c r="J735" s="60"/>
      <c r="K735" s="60" t="s">
        <v>284</v>
      </c>
      <c r="L735" s="60" t="n">
        <v>0.75</v>
      </c>
      <c r="M735" s="60" t="n">
        <v>2.5</v>
      </c>
      <c r="N735" s="60" t="s">
        <v>3271</v>
      </c>
      <c r="O735" s="60" t="s">
        <v>116</v>
      </c>
      <c r="P735" s="60" t="s">
        <v>3272</v>
      </c>
      <c r="Q735" s="60"/>
      <c r="R735" s="60" t="n">
        <v>4</v>
      </c>
      <c r="S735" s="60" t="n">
        <v>0</v>
      </c>
      <c r="T735" s="61"/>
      <c r="U735" s="60"/>
      <c r="V735" s="60"/>
      <c r="W735" s="60" t="s">
        <v>3273</v>
      </c>
      <c r="X735" s="4"/>
      <c r="Y735" s="4"/>
      <c r="Z735" s="4"/>
    </row>
    <row r="736" customFormat="false" ht="15.75" hidden="false" customHeight="true" outlineLevel="0" collapsed="false">
      <c r="A736" s="60"/>
      <c r="B736" s="60" t="s">
        <v>3324</v>
      </c>
      <c r="C736" s="61"/>
      <c r="D736" s="60"/>
      <c r="E736" s="60"/>
      <c r="F736" s="60" t="s">
        <v>1194</v>
      </c>
      <c r="G736" s="60" t="s">
        <v>1194</v>
      </c>
      <c r="H736" s="60" t="s">
        <v>3270</v>
      </c>
      <c r="I736" s="60" t="s">
        <v>117</v>
      </c>
      <c r="J736" s="60"/>
      <c r="K736" s="60" t="s">
        <v>284</v>
      </c>
      <c r="L736" s="60" t="n">
        <v>0.75</v>
      </c>
      <c r="M736" s="60" t="n">
        <v>2.5</v>
      </c>
      <c r="N736" s="60" t="s">
        <v>3319</v>
      </c>
      <c r="O736" s="60" t="s">
        <v>117</v>
      </c>
      <c r="P736" s="60" t="s">
        <v>3320</v>
      </c>
      <c r="Q736" s="60" t="s">
        <v>1262</v>
      </c>
      <c r="R736" s="60" t="n">
        <v>5</v>
      </c>
      <c r="S736" s="60" t="n">
        <v>0</v>
      </c>
      <c r="T736" s="61"/>
      <c r="U736" s="60"/>
      <c r="V736" s="60"/>
      <c r="W736" s="60" t="s">
        <v>3273</v>
      </c>
      <c r="X736" s="4"/>
      <c r="Y736" s="4"/>
      <c r="Z736" s="4"/>
    </row>
    <row r="737" customFormat="false" ht="15.75" hidden="false" customHeight="true" outlineLevel="0" collapsed="false">
      <c r="A737" s="60"/>
      <c r="B737" s="60" t="s">
        <v>3325</v>
      </c>
      <c r="C737" s="61"/>
      <c r="D737" s="60"/>
      <c r="E737" s="60"/>
      <c r="F737" s="60" t="s">
        <v>1194</v>
      </c>
      <c r="G737" s="60" t="s">
        <v>1194</v>
      </c>
      <c r="H737" s="60" t="s">
        <v>3270</v>
      </c>
      <c r="I737" s="60" t="s">
        <v>116</v>
      </c>
      <c r="J737" s="60"/>
      <c r="K737" s="60" t="s">
        <v>370</v>
      </c>
      <c r="L737" s="60" t="n">
        <v>0.75</v>
      </c>
      <c r="M737" s="60" t="n">
        <v>0.75</v>
      </c>
      <c r="N737" s="60" t="s">
        <v>3271</v>
      </c>
      <c r="O737" s="60" t="s">
        <v>116</v>
      </c>
      <c r="P737" s="60" t="s">
        <v>3272</v>
      </c>
      <c r="Q737" s="60"/>
      <c r="R737" s="60" t="n">
        <v>4</v>
      </c>
      <c r="S737" s="60" t="n">
        <v>0</v>
      </c>
      <c r="T737" s="61"/>
      <c r="U737" s="60"/>
      <c r="V737" s="60"/>
      <c r="W737" s="60" t="s">
        <v>3273</v>
      </c>
      <c r="X737" s="4"/>
      <c r="Y737" s="4"/>
      <c r="Z737" s="4"/>
    </row>
    <row r="738" customFormat="false" ht="15.75" hidden="false" customHeight="true" outlineLevel="0" collapsed="false">
      <c r="A738" s="60"/>
      <c r="B738" s="60" t="s">
        <v>3326</v>
      </c>
      <c r="C738" s="61"/>
      <c r="D738" s="60"/>
      <c r="E738" s="60"/>
      <c r="F738" s="60" t="s">
        <v>1194</v>
      </c>
      <c r="G738" s="60" t="s">
        <v>1194</v>
      </c>
      <c r="H738" s="60" t="s">
        <v>3270</v>
      </c>
      <c r="I738" s="60" t="s">
        <v>116</v>
      </c>
      <c r="J738" s="60"/>
      <c r="K738" s="60" t="s">
        <v>329</v>
      </c>
      <c r="L738" s="60" t="n">
        <v>0.75</v>
      </c>
      <c r="M738" s="60" t="n">
        <v>3.5</v>
      </c>
      <c r="N738" s="60" t="s">
        <v>3271</v>
      </c>
      <c r="O738" s="60" t="s">
        <v>116</v>
      </c>
      <c r="P738" s="60" t="s">
        <v>3272</v>
      </c>
      <c r="Q738" s="60"/>
      <c r="R738" s="60" t="n">
        <v>4</v>
      </c>
      <c r="S738" s="60" t="n">
        <v>0</v>
      </c>
      <c r="T738" s="61"/>
      <c r="U738" s="60"/>
      <c r="V738" s="60"/>
      <c r="W738" s="60" t="s">
        <v>3273</v>
      </c>
      <c r="X738" s="4"/>
      <c r="Y738" s="4"/>
      <c r="Z738" s="4"/>
    </row>
    <row r="739" customFormat="false" ht="15.75" hidden="false" customHeight="true" outlineLevel="0" collapsed="false">
      <c r="A739" s="60"/>
      <c r="B739" s="60" t="s">
        <v>3327</v>
      </c>
      <c r="C739" s="61"/>
      <c r="D739" s="60"/>
      <c r="E739" s="60"/>
      <c r="F739" s="60" t="s">
        <v>1194</v>
      </c>
      <c r="G739" s="60" t="s">
        <v>1194</v>
      </c>
      <c r="H739" s="60" t="s">
        <v>3270</v>
      </c>
      <c r="I739" s="60" t="s">
        <v>117</v>
      </c>
      <c r="J739" s="60"/>
      <c r="K739" s="60" t="s">
        <v>329</v>
      </c>
      <c r="L739" s="60" t="n">
        <v>0.75</v>
      </c>
      <c r="M739" s="60" t="n">
        <v>3.5</v>
      </c>
      <c r="N739" s="60" t="s">
        <v>3319</v>
      </c>
      <c r="O739" s="60" t="s">
        <v>117</v>
      </c>
      <c r="P739" s="60" t="s">
        <v>3320</v>
      </c>
      <c r="Q739" s="60" t="s">
        <v>1262</v>
      </c>
      <c r="R739" s="60" t="n">
        <v>5</v>
      </c>
      <c r="S739" s="60" t="n">
        <v>0</v>
      </c>
      <c r="T739" s="61"/>
      <c r="U739" s="60"/>
      <c r="V739" s="60"/>
      <c r="W739" s="60" t="s">
        <v>3273</v>
      </c>
      <c r="X739" s="4"/>
      <c r="Y739" s="4"/>
      <c r="Z739" s="4"/>
    </row>
    <row r="740" customFormat="false" ht="15.75" hidden="false" customHeight="true" outlineLevel="0" collapsed="false">
      <c r="A740" s="60"/>
      <c r="B740" s="60" t="s">
        <v>3328</v>
      </c>
      <c r="C740" s="61"/>
      <c r="D740" s="60"/>
      <c r="E740" s="60"/>
      <c r="F740" s="60" t="s">
        <v>1194</v>
      </c>
      <c r="G740" s="60" t="s">
        <v>1194</v>
      </c>
      <c r="H740" s="60" t="s">
        <v>3270</v>
      </c>
      <c r="I740" s="60" t="s">
        <v>116</v>
      </c>
      <c r="J740" s="60"/>
      <c r="K740" s="60" t="s">
        <v>3329</v>
      </c>
      <c r="L740" s="60" t="n">
        <v>0.75</v>
      </c>
      <c r="M740" s="60" t="n">
        <v>4.625</v>
      </c>
      <c r="N740" s="60" t="s">
        <v>3271</v>
      </c>
      <c r="O740" s="60" t="s">
        <v>116</v>
      </c>
      <c r="P740" s="60" t="s">
        <v>3272</v>
      </c>
      <c r="Q740" s="60"/>
      <c r="R740" s="60" t="n">
        <v>4</v>
      </c>
      <c r="S740" s="60" t="n">
        <v>0</v>
      </c>
      <c r="T740" s="61"/>
      <c r="U740" s="60"/>
      <c r="V740" s="60"/>
      <c r="W740" s="60" t="s">
        <v>3273</v>
      </c>
      <c r="X740" s="4"/>
      <c r="Y740" s="4"/>
      <c r="Z740" s="4"/>
    </row>
    <row r="741" customFormat="false" ht="15.75" hidden="false" customHeight="true" outlineLevel="0" collapsed="false">
      <c r="A741" s="60"/>
      <c r="B741" s="60" t="s">
        <v>3330</v>
      </c>
      <c r="C741" s="61"/>
      <c r="D741" s="60"/>
      <c r="E741" s="60"/>
      <c r="F741" s="60" t="s">
        <v>1194</v>
      </c>
      <c r="G741" s="60" t="s">
        <v>1194</v>
      </c>
      <c r="H741" s="60" t="s">
        <v>3270</v>
      </c>
      <c r="I741" s="60" t="s">
        <v>116</v>
      </c>
      <c r="J741" s="60"/>
      <c r="K741" s="60" t="s">
        <v>701</v>
      </c>
      <c r="L741" s="60" t="n">
        <v>0.75</v>
      </c>
      <c r="M741" s="60" t="n">
        <v>5.5</v>
      </c>
      <c r="N741" s="60" t="s">
        <v>3271</v>
      </c>
      <c r="O741" s="60" t="s">
        <v>116</v>
      </c>
      <c r="P741" s="60" t="s">
        <v>3272</v>
      </c>
      <c r="Q741" s="60"/>
      <c r="R741" s="60" t="n">
        <v>4</v>
      </c>
      <c r="S741" s="60" t="n">
        <v>0</v>
      </c>
      <c r="T741" s="61"/>
      <c r="U741" s="60"/>
      <c r="V741" s="60"/>
      <c r="W741" s="60" t="s">
        <v>3273</v>
      </c>
      <c r="X741" s="4"/>
      <c r="Y741" s="4"/>
      <c r="Z741" s="4"/>
    </row>
    <row r="742" customFormat="false" ht="15.75" hidden="false" customHeight="true" outlineLevel="0" collapsed="false">
      <c r="A742" s="60"/>
      <c r="B742" s="60" t="s">
        <v>3331</v>
      </c>
      <c r="C742" s="61"/>
      <c r="D742" s="60"/>
      <c r="E742" s="60"/>
      <c r="F742" s="60" t="s">
        <v>1194</v>
      </c>
      <c r="G742" s="60" t="s">
        <v>1194</v>
      </c>
      <c r="H742" s="60" t="s">
        <v>3270</v>
      </c>
      <c r="I742" s="60" t="s">
        <v>117</v>
      </c>
      <c r="J742" s="60"/>
      <c r="K742" s="60" t="s">
        <v>701</v>
      </c>
      <c r="L742" s="60" t="n">
        <v>0.75</v>
      </c>
      <c r="M742" s="60" t="n">
        <v>5.5</v>
      </c>
      <c r="N742" s="60" t="s">
        <v>3319</v>
      </c>
      <c r="O742" s="60" t="s">
        <v>117</v>
      </c>
      <c r="P742" s="60" t="s">
        <v>3320</v>
      </c>
      <c r="Q742" s="60" t="s">
        <v>1262</v>
      </c>
      <c r="R742" s="60" t="n">
        <v>5</v>
      </c>
      <c r="S742" s="60" t="n">
        <v>0</v>
      </c>
      <c r="T742" s="61"/>
      <c r="U742" s="60"/>
      <c r="V742" s="60"/>
      <c r="W742" s="60" t="s">
        <v>3273</v>
      </c>
      <c r="X742" s="4"/>
      <c r="Y742" s="4"/>
      <c r="Z742" s="4"/>
    </row>
    <row r="743" customFormat="false" ht="15.75" hidden="false" customHeight="true" outlineLevel="0" collapsed="false">
      <c r="A743" s="60"/>
      <c r="B743" s="60" t="s">
        <v>3332</v>
      </c>
      <c r="C743" s="61"/>
      <c r="D743" s="60"/>
      <c r="E743" s="60"/>
      <c r="F743" s="60" t="s">
        <v>1194</v>
      </c>
      <c r="G743" s="60" t="s">
        <v>1194</v>
      </c>
      <c r="H743" s="60" t="s">
        <v>3270</v>
      </c>
      <c r="I743" s="60" t="s">
        <v>116</v>
      </c>
      <c r="J743" s="60"/>
      <c r="K743" s="60" t="s">
        <v>219</v>
      </c>
      <c r="L743" s="60" t="n">
        <v>0.75</v>
      </c>
      <c r="M743" s="60" t="n">
        <v>7.25</v>
      </c>
      <c r="N743" s="60" t="s">
        <v>3271</v>
      </c>
      <c r="O743" s="60" t="s">
        <v>116</v>
      </c>
      <c r="P743" s="60" t="s">
        <v>3272</v>
      </c>
      <c r="Q743" s="60"/>
      <c r="R743" s="60" t="n">
        <v>4</v>
      </c>
      <c r="S743" s="60" t="n">
        <v>0</v>
      </c>
      <c r="T743" s="61"/>
      <c r="U743" s="60"/>
      <c r="V743" s="60"/>
      <c r="W743" s="60" t="s">
        <v>3273</v>
      </c>
      <c r="X743" s="4"/>
      <c r="Y743" s="4"/>
      <c r="Z743" s="4"/>
    </row>
    <row r="744" customFormat="false" ht="15.75" hidden="false" customHeight="true" outlineLevel="0" collapsed="false">
      <c r="A744" s="60"/>
      <c r="B744" s="60" t="s">
        <v>3333</v>
      </c>
      <c r="C744" s="61"/>
      <c r="D744" s="60"/>
      <c r="E744" s="60"/>
      <c r="F744" s="60" t="s">
        <v>1194</v>
      </c>
      <c r="G744" s="60" t="s">
        <v>1194</v>
      </c>
      <c r="H744" s="60" t="s">
        <v>3270</v>
      </c>
      <c r="I744" s="60" t="s">
        <v>117</v>
      </c>
      <c r="J744" s="60"/>
      <c r="K744" s="60" t="s">
        <v>219</v>
      </c>
      <c r="L744" s="60" t="n">
        <v>0.75</v>
      </c>
      <c r="M744" s="60" t="n">
        <v>7.25</v>
      </c>
      <c r="N744" s="60" t="s">
        <v>3319</v>
      </c>
      <c r="O744" s="60" t="s">
        <v>117</v>
      </c>
      <c r="P744" s="60" t="s">
        <v>3320</v>
      </c>
      <c r="Q744" s="60" t="s">
        <v>1262</v>
      </c>
      <c r="R744" s="60" t="n">
        <v>5</v>
      </c>
      <c r="S744" s="60" t="n">
        <v>0</v>
      </c>
      <c r="T744" s="61"/>
      <c r="U744" s="60"/>
      <c r="V744" s="60"/>
      <c r="W744" s="60" t="s">
        <v>3273</v>
      </c>
      <c r="X744" s="4"/>
      <c r="Y744" s="4"/>
      <c r="Z744" s="4"/>
    </row>
    <row r="745" customFormat="false" ht="15.75" hidden="false" customHeight="true" outlineLevel="0" collapsed="false">
      <c r="A745" s="60"/>
      <c r="B745" s="60" t="s">
        <v>3334</v>
      </c>
      <c r="C745" s="61"/>
      <c r="D745" s="60"/>
      <c r="E745" s="60"/>
      <c r="F745" s="60" t="s">
        <v>1194</v>
      </c>
      <c r="G745" s="60" t="s">
        <v>1194</v>
      </c>
      <c r="H745" s="60" t="s">
        <v>3270</v>
      </c>
      <c r="I745" s="60" t="s">
        <v>116</v>
      </c>
      <c r="J745" s="60"/>
      <c r="K745" s="60" t="s">
        <v>3335</v>
      </c>
      <c r="L745" s="60" t="n">
        <v>0.75</v>
      </c>
      <c r="M745" s="60" t="n">
        <v>9.25</v>
      </c>
      <c r="N745" s="60" t="s">
        <v>3271</v>
      </c>
      <c r="O745" s="60" t="s">
        <v>116</v>
      </c>
      <c r="P745" s="60" t="s">
        <v>3272</v>
      </c>
      <c r="Q745" s="60"/>
      <c r="R745" s="60" t="n">
        <v>4</v>
      </c>
      <c r="S745" s="60" t="n">
        <v>0</v>
      </c>
      <c r="T745" s="61"/>
      <c r="U745" s="60"/>
      <c r="V745" s="60"/>
      <c r="W745" s="60" t="s">
        <v>3273</v>
      </c>
      <c r="X745" s="4"/>
      <c r="Y745" s="4"/>
      <c r="Z745" s="4"/>
    </row>
    <row r="746" customFormat="false" ht="15.75" hidden="false" customHeight="true" outlineLevel="0" collapsed="false">
      <c r="A746" s="60"/>
      <c r="B746" s="60" t="s">
        <v>3336</v>
      </c>
      <c r="C746" s="61"/>
      <c r="D746" s="60"/>
      <c r="E746" s="60"/>
      <c r="F746" s="60" t="s">
        <v>1194</v>
      </c>
      <c r="G746" s="60" t="s">
        <v>1194</v>
      </c>
      <c r="H746" s="60" t="s">
        <v>3270</v>
      </c>
      <c r="I746" s="60" t="s">
        <v>117</v>
      </c>
      <c r="J746" s="60"/>
      <c r="K746" s="60" t="s">
        <v>3335</v>
      </c>
      <c r="L746" s="60" t="n">
        <v>0.75</v>
      </c>
      <c r="M746" s="60" t="n">
        <v>9.25</v>
      </c>
      <c r="N746" s="60" t="s">
        <v>3319</v>
      </c>
      <c r="O746" s="60" t="s">
        <v>117</v>
      </c>
      <c r="P746" s="60" t="s">
        <v>3320</v>
      </c>
      <c r="Q746" s="60" t="s">
        <v>1262</v>
      </c>
      <c r="R746" s="60" t="n">
        <v>5</v>
      </c>
      <c r="S746" s="60" t="n">
        <v>0</v>
      </c>
      <c r="T746" s="61"/>
      <c r="U746" s="60"/>
      <c r="V746" s="60"/>
      <c r="W746" s="60" t="s">
        <v>3273</v>
      </c>
      <c r="X746" s="4"/>
      <c r="Y746" s="4"/>
      <c r="Z746" s="4"/>
    </row>
    <row r="747" customFormat="false" ht="15.75" hidden="false" customHeight="true" outlineLevel="0" collapsed="false">
      <c r="A747" s="60"/>
      <c r="B747" s="60" t="s">
        <v>3337</v>
      </c>
      <c r="C747" s="61"/>
      <c r="D747" s="60"/>
      <c r="E747" s="60"/>
      <c r="F747" s="60" t="s">
        <v>1194</v>
      </c>
      <c r="G747" s="60" t="s">
        <v>1194</v>
      </c>
      <c r="H747" s="60" t="s">
        <v>3270</v>
      </c>
      <c r="I747" s="60" t="s">
        <v>116</v>
      </c>
      <c r="J747" s="60"/>
      <c r="K747" s="60" t="s">
        <v>3338</v>
      </c>
      <c r="L747" s="60" t="n">
        <v>0.3125</v>
      </c>
      <c r="M747" s="60" t="n">
        <v>1.75</v>
      </c>
      <c r="N747" s="60" t="s">
        <v>3271</v>
      </c>
      <c r="O747" s="60" t="s">
        <v>116</v>
      </c>
      <c r="P747" s="60" t="s">
        <v>3272</v>
      </c>
      <c r="Q747" s="60"/>
      <c r="R747" s="60" t="n">
        <v>6</v>
      </c>
      <c r="S747" s="60" t="n">
        <v>0</v>
      </c>
      <c r="T747" s="61"/>
      <c r="U747" s="60"/>
      <c r="V747" s="60"/>
      <c r="W747" s="60" t="s">
        <v>3273</v>
      </c>
      <c r="X747" s="4"/>
      <c r="Y747" s="4"/>
      <c r="Z747" s="4"/>
    </row>
    <row r="748" customFormat="false" ht="15.75" hidden="false" customHeight="true" outlineLevel="0" collapsed="false">
      <c r="A748" s="60"/>
      <c r="B748" s="60" t="s">
        <v>3339</v>
      </c>
      <c r="C748" s="61"/>
      <c r="D748" s="60"/>
      <c r="E748" s="60"/>
      <c r="F748" s="60" t="s">
        <v>1194</v>
      </c>
      <c r="G748" s="60" t="s">
        <v>1194</v>
      </c>
      <c r="H748" s="60" t="s">
        <v>3270</v>
      </c>
      <c r="I748" s="60" t="s">
        <v>116</v>
      </c>
      <c r="J748" s="60"/>
      <c r="K748" s="60" t="s">
        <v>3340</v>
      </c>
      <c r="L748" s="60" t="n">
        <v>0.3125</v>
      </c>
      <c r="M748" s="60" t="n">
        <v>1.3125</v>
      </c>
      <c r="N748" s="60" t="s">
        <v>3271</v>
      </c>
      <c r="O748" s="60" t="s">
        <v>116</v>
      </c>
      <c r="P748" s="60" t="s">
        <v>3272</v>
      </c>
      <c r="Q748" s="60"/>
      <c r="R748" s="60" t="n">
        <v>6</v>
      </c>
      <c r="S748" s="60" t="n">
        <v>0</v>
      </c>
      <c r="T748" s="61"/>
      <c r="U748" s="60"/>
      <c r="V748" s="60"/>
      <c r="W748" s="60" t="s">
        <v>3273</v>
      </c>
      <c r="X748" s="4"/>
      <c r="Y748" s="4"/>
      <c r="Z748" s="4"/>
    </row>
    <row r="749" customFormat="false" ht="15.75" hidden="false" customHeight="true" outlineLevel="0" collapsed="false">
      <c r="A749" s="60"/>
      <c r="B749" s="60" t="s">
        <v>3341</v>
      </c>
      <c r="C749" s="61"/>
      <c r="D749" s="60"/>
      <c r="E749" s="60"/>
      <c r="F749" s="60" t="s">
        <v>1194</v>
      </c>
      <c r="G749" s="60" t="s">
        <v>1194</v>
      </c>
      <c r="H749" s="60" t="s">
        <v>3270</v>
      </c>
      <c r="I749" s="60" t="s">
        <v>124</v>
      </c>
      <c r="J749" s="60"/>
      <c r="K749" s="60" t="s">
        <v>284</v>
      </c>
      <c r="L749" s="60" t="n">
        <v>0.75</v>
      </c>
      <c r="M749" s="60" t="n">
        <v>2.5</v>
      </c>
      <c r="N749" s="60" t="s">
        <v>3342</v>
      </c>
      <c r="O749" s="60" t="s">
        <v>124</v>
      </c>
      <c r="P749" s="60" t="s">
        <v>3272</v>
      </c>
      <c r="Q749" s="60"/>
      <c r="R749" s="60" t="n">
        <v>4</v>
      </c>
      <c r="S749" s="60" t="n">
        <v>0</v>
      </c>
      <c r="T749" s="61"/>
      <c r="U749" s="60"/>
      <c r="V749" s="60"/>
      <c r="W749" s="60" t="s">
        <v>3273</v>
      </c>
      <c r="X749" s="4"/>
      <c r="Y749" s="4"/>
      <c r="Z749" s="4"/>
    </row>
    <row r="750" customFormat="false" ht="15.75" hidden="false" customHeight="true" outlineLevel="0" collapsed="false">
      <c r="A750" s="60"/>
      <c r="B750" s="60" t="s">
        <v>3343</v>
      </c>
      <c r="C750" s="61"/>
      <c r="D750" s="60"/>
      <c r="E750" s="60"/>
      <c r="F750" s="60" t="s">
        <v>1194</v>
      </c>
      <c r="G750" s="60" t="s">
        <v>1194</v>
      </c>
      <c r="H750" s="60" t="s">
        <v>3270</v>
      </c>
      <c r="I750" s="60" t="s">
        <v>124</v>
      </c>
      <c r="J750" s="60"/>
      <c r="K750" s="60" t="s">
        <v>329</v>
      </c>
      <c r="L750" s="60" t="n">
        <v>0.75</v>
      </c>
      <c r="M750" s="60" t="n">
        <v>3.5</v>
      </c>
      <c r="N750" s="60" t="s">
        <v>3342</v>
      </c>
      <c r="O750" s="60" t="s">
        <v>124</v>
      </c>
      <c r="P750" s="60" t="s">
        <v>3272</v>
      </c>
      <c r="Q750" s="60"/>
      <c r="R750" s="60" t="n">
        <v>4</v>
      </c>
      <c r="S750" s="60" t="n">
        <v>0</v>
      </c>
      <c r="T750" s="61"/>
      <c r="U750" s="60"/>
      <c r="V750" s="60"/>
      <c r="W750" s="60" t="s">
        <v>3273</v>
      </c>
      <c r="X750" s="4"/>
      <c r="Y750" s="4"/>
      <c r="Z750" s="4"/>
    </row>
    <row r="751" customFormat="false" ht="15.75" hidden="false" customHeight="true" outlineLevel="0" collapsed="false">
      <c r="A751" s="60"/>
      <c r="B751" s="60" t="s">
        <v>3344</v>
      </c>
      <c r="C751" s="61"/>
      <c r="D751" s="60"/>
      <c r="E751" s="60"/>
      <c r="F751" s="60" t="s">
        <v>1194</v>
      </c>
      <c r="G751" s="60" t="s">
        <v>1194</v>
      </c>
      <c r="H751" s="60" t="s">
        <v>3270</v>
      </c>
      <c r="I751" s="60" t="s">
        <v>124</v>
      </c>
      <c r="J751" s="60"/>
      <c r="K751" s="60" t="s">
        <v>701</v>
      </c>
      <c r="L751" s="60" t="n">
        <v>0.75</v>
      </c>
      <c r="M751" s="60" t="n">
        <v>5.5</v>
      </c>
      <c r="N751" s="60" t="s">
        <v>3342</v>
      </c>
      <c r="O751" s="60" t="s">
        <v>124</v>
      </c>
      <c r="P751" s="60" t="s">
        <v>3272</v>
      </c>
      <c r="Q751" s="60"/>
      <c r="R751" s="60" t="n">
        <v>4</v>
      </c>
      <c r="S751" s="60" t="n">
        <v>0</v>
      </c>
      <c r="T751" s="61"/>
      <c r="U751" s="60"/>
      <c r="V751" s="60"/>
      <c r="W751" s="60" t="s">
        <v>3273</v>
      </c>
      <c r="X751" s="4"/>
      <c r="Y751" s="4"/>
      <c r="Z751" s="4"/>
    </row>
    <row r="752" customFormat="false" ht="15.75" hidden="false" customHeight="true" outlineLevel="0" collapsed="false">
      <c r="A752" s="60"/>
      <c r="B752" s="60" t="s">
        <v>3345</v>
      </c>
      <c r="C752" s="61"/>
      <c r="D752" s="60"/>
      <c r="E752" s="60"/>
      <c r="F752" s="60" t="s">
        <v>1194</v>
      </c>
      <c r="G752" s="60" t="s">
        <v>1194</v>
      </c>
      <c r="H752" s="60" t="s">
        <v>3270</v>
      </c>
      <c r="I752" s="60" t="s">
        <v>3346</v>
      </c>
      <c r="J752" s="60"/>
      <c r="K752" s="60" t="s">
        <v>3347</v>
      </c>
      <c r="L752" s="60" t="n">
        <v>1.0625</v>
      </c>
      <c r="M752" s="60" t="n">
        <v>9</v>
      </c>
      <c r="N752" s="60" t="s">
        <v>3348</v>
      </c>
      <c r="O752" s="60"/>
      <c r="P752" s="60" t="s">
        <v>3349</v>
      </c>
      <c r="Q752" s="60"/>
      <c r="R752" s="60" t="n">
        <v>10</v>
      </c>
      <c r="S752" s="60" t="n">
        <v>0</v>
      </c>
      <c r="T752" s="61"/>
      <c r="U752" s="60"/>
      <c r="V752" s="60"/>
      <c r="W752" s="60" t="s">
        <v>3047</v>
      </c>
      <c r="X752" s="4"/>
      <c r="Y752" s="4"/>
      <c r="Z752" s="4"/>
    </row>
    <row r="753" customFormat="false" ht="15.75" hidden="false" customHeight="true" outlineLevel="0" collapsed="false">
      <c r="A753" s="60"/>
      <c r="B753" s="60" t="s">
        <v>3350</v>
      </c>
      <c r="C753" s="61"/>
      <c r="D753" s="60"/>
      <c r="E753" s="60"/>
      <c r="F753" s="60" t="s">
        <v>1194</v>
      </c>
      <c r="G753" s="60" t="s">
        <v>1194</v>
      </c>
      <c r="H753" s="60" t="s">
        <v>3270</v>
      </c>
      <c r="I753" s="60" t="s">
        <v>3346</v>
      </c>
      <c r="J753" s="60"/>
      <c r="K753" s="60" t="s">
        <v>3351</v>
      </c>
      <c r="L753" s="60" t="n">
        <v>1.0625</v>
      </c>
      <c r="M753" s="60" t="n">
        <v>1.625</v>
      </c>
      <c r="N753" s="60" t="s">
        <v>3348</v>
      </c>
      <c r="O753" s="60"/>
      <c r="P753" s="60" t="s">
        <v>3349</v>
      </c>
      <c r="Q753" s="60"/>
      <c r="R753" s="60" t="n">
        <v>10</v>
      </c>
      <c r="S753" s="60" t="n">
        <v>0</v>
      </c>
      <c r="T753" s="61"/>
      <c r="U753" s="60"/>
      <c r="V753" s="60"/>
      <c r="W753" s="60" t="s">
        <v>3047</v>
      </c>
      <c r="X753" s="4"/>
      <c r="Y753" s="4"/>
      <c r="Z753" s="4"/>
    </row>
    <row r="754" customFormat="false" ht="15.75" hidden="false" customHeight="true" outlineLevel="0" collapsed="false">
      <c r="A754" s="60"/>
      <c r="B754" s="60" t="s">
        <v>3352</v>
      </c>
      <c r="C754" s="61"/>
      <c r="D754" s="60"/>
      <c r="E754" s="60"/>
      <c r="F754" s="60" t="s">
        <v>1194</v>
      </c>
      <c r="G754" s="60" t="s">
        <v>1194</v>
      </c>
      <c r="H754" s="60" t="s">
        <v>3270</v>
      </c>
      <c r="I754" s="60" t="s">
        <v>3346</v>
      </c>
      <c r="J754" s="60"/>
      <c r="K754" s="60" t="s">
        <v>3297</v>
      </c>
      <c r="L754" s="60" t="n">
        <v>1.25</v>
      </c>
      <c r="M754" s="60" t="n">
        <v>3.5</v>
      </c>
      <c r="N754" s="60" t="s">
        <v>3348</v>
      </c>
      <c r="O754" s="60"/>
      <c r="P754" s="60" t="s">
        <v>3349</v>
      </c>
      <c r="Q754" s="60"/>
      <c r="R754" s="60" t="n">
        <v>10</v>
      </c>
      <c r="S754" s="60" t="n">
        <v>0</v>
      </c>
      <c r="T754" s="61"/>
      <c r="U754" s="60"/>
      <c r="V754" s="60"/>
      <c r="W754" s="60" t="s">
        <v>3047</v>
      </c>
      <c r="X754" s="4"/>
      <c r="Y754" s="4"/>
      <c r="Z754" s="4"/>
    </row>
    <row r="755" customFormat="false" ht="15.75" hidden="false" customHeight="true" outlineLevel="0" collapsed="false">
      <c r="A755" s="60"/>
      <c r="B755" s="60" t="s">
        <v>3353</v>
      </c>
      <c r="C755" s="61"/>
      <c r="D755" s="60"/>
      <c r="E755" s="60"/>
      <c r="F755" s="60" t="s">
        <v>1194</v>
      </c>
      <c r="G755" s="60" t="s">
        <v>1194</v>
      </c>
      <c r="H755" s="60" t="s">
        <v>3270</v>
      </c>
      <c r="I755" s="60" t="s">
        <v>3346</v>
      </c>
      <c r="J755" s="60"/>
      <c r="K755" s="60" t="s">
        <v>3299</v>
      </c>
      <c r="L755" s="60" t="n">
        <v>1.25</v>
      </c>
      <c r="M755" s="60" t="n">
        <v>5.5</v>
      </c>
      <c r="N755" s="60" t="s">
        <v>3348</v>
      </c>
      <c r="O755" s="60"/>
      <c r="P755" s="60" t="s">
        <v>3349</v>
      </c>
      <c r="Q755" s="60"/>
      <c r="R755" s="60" t="n">
        <v>10</v>
      </c>
      <c r="S755" s="60" t="n">
        <v>0</v>
      </c>
      <c r="T755" s="61"/>
      <c r="U755" s="60"/>
      <c r="V755" s="60"/>
      <c r="W755" s="60" t="s">
        <v>3047</v>
      </c>
      <c r="X755" s="4"/>
      <c r="Y755" s="4"/>
      <c r="Z755" s="4"/>
    </row>
    <row r="756" customFormat="false" ht="15.75" hidden="false" customHeight="true" outlineLevel="0" collapsed="false">
      <c r="A756" s="60"/>
      <c r="B756" s="60" t="s">
        <v>3354</v>
      </c>
      <c r="C756" s="61"/>
      <c r="D756" s="60"/>
      <c r="E756" s="60"/>
      <c r="F756" s="60" t="s">
        <v>1194</v>
      </c>
      <c r="G756" s="60" t="s">
        <v>1194</v>
      </c>
      <c r="H756" s="60" t="s">
        <v>3270</v>
      </c>
      <c r="I756" s="60" t="s">
        <v>3346</v>
      </c>
      <c r="J756" s="60"/>
      <c r="K756" s="60" t="s">
        <v>3355</v>
      </c>
      <c r="L756" s="60" t="n">
        <v>1.25</v>
      </c>
      <c r="M756" s="60" t="n">
        <v>7</v>
      </c>
      <c r="N756" s="60" t="s">
        <v>3348</v>
      </c>
      <c r="O756" s="60"/>
      <c r="P756" s="60" t="s">
        <v>3349</v>
      </c>
      <c r="Q756" s="60"/>
      <c r="R756" s="60" t="n">
        <v>10</v>
      </c>
      <c r="S756" s="60" t="n">
        <v>0</v>
      </c>
      <c r="T756" s="61"/>
      <c r="U756" s="60"/>
      <c r="V756" s="60"/>
      <c r="W756" s="60" t="s">
        <v>3047</v>
      </c>
      <c r="X756" s="4"/>
      <c r="Y756" s="4"/>
      <c r="Z756" s="4"/>
    </row>
    <row r="757" customFormat="false" ht="15.75" hidden="false" customHeight="true" outlineLevel="0" collapsed="false">
      <c r="A757" s="60"/>
      <c r="B757" s="60" t="s">
        <v>3356</v>
      </c>
      <c r="C757" s="61"/>
      <c r="D757" s="60"/>
      <c r="E757" s="60"/>
      <c r="F757" s="60" t="s">
        <v>1194</v>
      </c>
      <c r="G757" s="60" t="s">
        <v>1194</v>
      </c>
      <c r="H757" s="60" t="s">
        <v>3270</v>
      </c>
      <c r="I757" s="60" t="s">
        <v>3346</v>
      </c>
      <c r="J757" s="60"/>
      <c r="K757" s="60" t="s">
        <v>483</v>
      </c>
      <c r="L757" s="60" t="n">
        <v>1.25</v>
      </c>
      <c r="M757" s="60" t="n">
        <v>2.25</v>
      </c>
      <c r="N757" s="60" t="s">
        <v>3348</v>
      </c>
      <c r="O757" s="60"/>
      <c r="P757" s="60" t="s">
        <v>3349</v>
      </c>
      <c r="Q757" s="60"/>
      <c r="R757" s="60" t="n">
        <v>10</v>
      </c>
      <c r="S757" s="60" t="n">
        <v>0</v>
      </c>
      <c r="T757" s="61"/>
      <c r="U757" s="60"/>
      <c r="V757" s="60"/>
      <c r="W757" s="60" t="s">
        <v>3047</v>
      </c>
      <c r="X757" s="4"/>
      <c r="Y757" s="4"/>
      <c r="Z757" s="4"/>
    </row>
    <row r="758" customFormat="false" ht="15.75" hidden="false" customHeight="true" outlineLevel="0" collapsed="false">
      <c r="A758" s="60"/>
      <c r="B758" s="60" t="s">
        <v>3357</v>
      </c>
      <c r="C758" s="61"/>
      <c r="D758" s="60"/>
      <c r="E758" s="60"/>
      <c r="F758" s="60" t="s">
        <v>1194</v>
      </c>
      <c r="G758" s="60" t="s">
        <v>1194</v>
      </c>
      <c r="H758" s="60" t="s">
        <v>3270</v>
      </c>
      <c r="I758" s="60" t="s">
        <v>3346</v>
      </c>
      <c r="J758" s="60"/>
      <c r="K758" s="60" t="s">
        <v>3358</v>
      </c>
      <c r="L758" s="60" t="n">
        <v>1</v>
      </c>
      <c r="M758" s="60" t="n">
        <v>2.125</v>
      </c>
      <c r="N758" s="60" t="s">
        <v>3348</v>
      </c>
      <c r="O758" s="60"/>
      <c r="P758" s="60" t="s">
        <v>3349</v>
      </c>
      <c r="Q758" s="60"/>
      <c r="R758" s="60" t="n">
        <v>9</v>
      </c>
      <c r="S758" s="60" t="n">
        <v>0</v>
      </c>
      <c r="T758" s="61"/>
      <c r="U758" s="60"/>
      <c r="V758" s="60"/>
      <c r="W758" s="60" t="s">
        <v>3047</v>
      </c>
      <c r="X758" s="4"/>
      <c r="Y758" s="4"/>
      <c r="Z758" s="4"/>
    </row>
    <row r="759" customFormat="false" ht="15.75" hidden="false" customHeight="true" outlineLevel="0" collapsed="false">
      <c r="A759" s="60"/>
      <c r="B759" s="60" t="s">
        <v>3359</v>
      </c>
      <c r="C759" s="61"/>
      <c r="D759" s="60"/>
      <c r="E759" s="60"/>
      <c r="F759" s="60" t="s">
        <v>1194</v>
      </c>
      <c r="G759" s="60" t="s">
        <v>1194</v>
      </c>
      <c r="H759" s="60" t="s">
        <v>3270</v>
      </c>
      <c r="I759" s="60" t="s">
        <v>3360</v>
      </c>
      <c r="J759" s="60"/>
      <c r="K759" s="60" t="s">
        <v>3361</v>
      </c>
      <c r="L759" s="60" t="n">
        <v>1.0625</v>
      </c>
      <c r="M759" s="60" t="n">
        <v>3.5</v>
      </c>
      <c r="N759" s="60" t="s">
        <v>3362</v>
      </c>
      <c r="O759" s="60" t="s">
        <v>3360</v>
      </c>
      <c r="P759" s="60" t="s">
        <v>3363</v>
      </c>
      <c r="Q759" s="60"/>
      <c r="R759" s="60" t="n">
        <v>4</v>
      </c>
      <c r="S759" s="60" t="n">
        <v>0</v>
      </c>
      <c r="T759" s="61"/>
      <c r="U759" s="60"/>
      <c r="V759" s="60"/>
      <c r="W759" s="60" t="s">
        <v>3273</v>
      </c>
      <c r="X759" s="4"/>
      <c r="Y759" s="4"/>
      <c r="Z759" s="4"/>
    </row>
    <row r="760" customFormat="false" ht="15.75" hidden="false" customHeight="true" outlineLevel="0" collapsed="false">
      <c r="A760" s="60"/>
      <c r="B760" s="60" t="s">
        <v>3364</v>
      </c>
      <c r="C760" s="61"/>
      <c r="D760" s="60"/>
      <c r="E760" s="60"/>
      <c r="F760" s="60" t="s">
        <v>1194</v>
      </c>
      <c r="G760" s="60" t="s">
        <v>1194</v>
      </c>
      <c r="H760" s="60" t="s">
        <v>3270</v>
      </c>
      <c r="I760" s="60" t="s">
        <v>3360</v>
      </c>
      <c r="J760" s="60"/>
      <c r="K760" s="60" t="s">
        <v>3365</v>
      </c>
      <c r="L760" s="60" t="n">
        <v>1.0625</v>
      </c>
      <c r="M760" s="60" t="n">
        <v>5.5</v>
      </c>
      <c r="N760" s="60" t="s">
        <v>3362</v>
      </c>
      <c r="O760" s="60" t="s">
        <v>3360</v>
      </c>
      <c r="P760" s="60" t="s">
        <v>3363</v>
      </c>
      <c r="Q760" s="60"/>
      <c r="R760" s="60" t="n">
        <v>4</v>
      </c>
      <c r="S760" s="60" t="n">
        <v>0</v>
      </c>
      <c r="T760" s="61"/>
      <c r="U760" s="60"/>
      <c r="V760" s="60"/>
      <c r="W760" s="60" t="s">
        <v>3273</v>
      </c>
      <c r="X760" s="4"/>
      <c r="Y760" s="4"/>
      <c r="Z760" s="4"/>
    </row>
    <row r="761" customFormat="false" ht="15.75" hidden="false" customHeight="true" outlineLevel="0" collapsed="false">
      <c r="A761" s="60"/>
      <c r="B761" s="60" t="s">
        <v>3366</v>
      </c>
      <c r="C761" s="61"/>
      <c r="D761" s="60"/>
      <c r="E761" s="60"/>
      <c r="F761" s="60" t="s">
        <v>1194</v>
      </c>
      <c r="G761" s="60" t="s">
        <v>1194</v>
      </c>
      <c r="H761" s="60" t="s">
        <v>3270</v>
      </c>
      <c r="I761" s="60" t="s">
        <v>3360</v>
      </c>
      <c r="J761" s="60"/>
      <c r="K761" s="60" t="s">
        <v>211</v>
      </c>
      <c r="L761" s="60" t="n">
        <v>1.0625</v>
      </c>
      <c r="M761" s="60" t="n">
        <v>7.25</v>
      </c>
      <c r="N761" s="60" t="s">
        <v>3362</v>
      </c>
      <c r="O761" s="60" t="s">
        <v>3360</v>
      </c>
      <c r="P761" s="60" t="s">
        <v>3363</v>
      </c>
      <c r="Q761" s="60"/>
      <c r="R761" s="60" t="n">
        <v>4</v>
      </c>
      <c r="S761" s="60" t="n">
        <v>0</v>
      </c>
      <c r="T761" s="61"/>
      <c r="U761" s="60"/>
      <c r="V761" s="60"/>
      <c r="W761" s="60" t="s">
        <v>3273</v>
      </c>
      <c r="X761" s="4"/>
      <c r="Y761" s="4"/>
      <c r="Z761" s="4"/>
    </row>
    <row r="762" customFormat="false" ht="15.75" hidden="false" customHeight="true" outlineLevel="0" collapsed="false">
      <c r="A762" s="60"/>
      <c r="B762" s="60" t="s">
        <v>3367</v>
      </c>
      <c r="C762" s="61"/>
      <c r="D762" s="60"/>
      <c r="E762" s="60"/>
      <c r="F762" s="60" t="s">
        <v>1194</v>
      </c>
      <c r="G762" s="60" t="s">
        <v>1194</v>
      </c>
      <c r="H762" s="60" t="s">
        <v>3270</v>
      </c>
      <c r="I762" s="60" t="s">
        <v>3360</v>
      </c>
      <c r="J762" s="60"/>
      <c r="K762" s="60" t="s">
        <v>3368</v>
      </c>
      <c r="L762" s="60" t="n">
        <v>1.5</v>
      </c>
      <c r="M762" s="60" t="n">
        <v>3.5</v>
      </c>
      <c r="N762" s="60" t="s">
        <v>3362</v>
      </c>
      <c r="O762" s="60" t="s">
        <v>3360</v>
      </c>
      <c r="P762" s="60" t="s">
        <v>3363</v>
      </c>
      <c r="Q762" s="60"/>
      <c r="R762" s="60" t="n">
        <v>4</v>
      </c>
      <c r="S762" s="60" t="n">
        <v>0</v>
      </c>
      <c r="T762" s="61"/>
      <c r="U762" s="60"/>
      <c r="V762" s="60"/>
      <c r="W762" s="60" t="s">
        <v>3273</v>
      </c>
      <c r="X762" s="4"/>
      <c r="Y762" s="4"/>
      <c r="Z762" s="4"/>
    </row>
    <row r="763" customFormat="false" ht="15.75" hidden="false" customHeight="true" outlineLevel="0" collapsed="false">
      <c r="A763" s="60"/>
      <c r="B763" s="60" t="s">
        <v>3369</v>
      </c>
      <c r="C763" s="61"/>
      <c r="D763" s="60"/>
      <c r="E763" s="60"/>
      <c r="F763" s="60" t="s">
        <v>1194</v>
      </c>
      <c r="G763" s="60" t="s">
        <v>1194</v>
      </c>
      <c r="H763" s="60" t="s">
        <v>3270</v>
      </c>
      <c r="I763" s="60" t="s">
        <v>3360</v>
      </c>
      <c r="J763" s="60"/>
      <c r="K763" s="60" t="s">
        <v>3370</v>
      </c>
      <c r="L763" s="60" t="n">
        <v>1.5</v>
      </c>
      <c r="M763" s="60" t="n">
        <v>5.5</v>
      </c>
      <c r="N763" s="60" t="s">
        <v>3362</v>
      </c>
      <c r="O763" s="60" t="s">
        <v>3360</v>
      </c>
      <c r="P763" s="60" t="s">
        <v>3363</v>
      </c>
      <c r="Q763" s="60"/>
      <c r="R763" s="60" t="n">
        <v>4</v>
      </c>
      <c r="S763" s="60" t="n">
        <v>0</v>
      </c>
      <c r="T763" s="61"/>
      <c r="U763" s="60"/>
      <c r="V763" s="60"/>
      <c r="W763" s="60" t="s">
        <v>3273</v>
      </c>
      <c r="X763" s="4"/>
      <c r="Y763" s="4"/>
      <c r="Z763" s="4"/>
    </row>
    <row r="764" customFormat="false" ht="15.75" hidden="false" customHeight="true" outlineLevel="0" collapsed="false">
      <c r="A764" s="60"/>
      <c r="B764" s="60" t="s">
        <v>3371</v>
      </c>
      <c r="C764" s="61"/>
      <c r="D764" s="60"/>
      <c r="E764" s="60"/>
      <c r="F764" s="60" t="s">
        <v>1194</v>
      </c>
      <c r="G764" s="60" t="s">
        <v>1194</v>
      </c>
      <c r="H764" s="60" t="s">
        <v>3270</v>
      </c>
      <c r="I764" s="60" t="s">
        <v>125</v>
      </c>
      <c r="J764" s="60"/>
      <c r="K764" s="60" t="s">
        <v>3372</v>
      </c>
      <c r="L764" s="60" t="n">
        <v>2</v>
      </c>
      <c r="M764" s="60" t="n">
        <v>6</v>
      </c>
      <c r="N764" s="60" t="s">
        <v>3373</v>
      </c>
      <c r="O764" s="60" t="s">
        <v>125</v>
      </c>
      <c r="P764" s="60" t="s">
        <v>3363</v>
      </c>
      <c r="Q764" s="60"/>
      <c r="R764" s="60" t="n">
        <v>19</v>
      </c>
      <c r="S764" s="60" t="n">
        <v>0</v>
      </c>
      <c r="T764" s="61"/>
      <c r="U764" s="60"/>
      <c r="V764" s="60"/>
      <c r="W764" s="60" t="s">
        <v>3273</v>
      </c>
      <c r="X764" s="4"/>
      <c r="Y764" s="4"/>
      <c r="Z764" s="4"/>
    </row>
    <row r="765" customFormat="false" ht="15.75" hidden="false" customHeight="true" outlineLevel="0" collapsed="false">
      <c r="A765" s="60"/>
      <c r="B765" s="60" t="s">
        <v>3374</v>
      </c>
      <c r="C765" s="61"/>
      <c r="D765" s="60"/>
      <c r="E765" s="60"/>
      <c r="F765" s="60" t="s">
        <v>1194</v>
      </c>
      <c r="G765" s="60" t="s">
        <v>1194</v>
      </c>
      <c r="H765" s="60" t="s">
        <v>3270</v>
      </c>
      <c r="I765" s="60" t="s">
        <v>125</v>
      </c>
      <c r="J765" s="60"/>
      <c r="K765" s="60" t="s">
        <v>3361</v>
      </c>
      <c r="L765" s="60" t="n">
        <v>1.0625</v>
      </c>
      <c r="M765" s="60" t="n">
        <v>3.5</v>
      </c>
      <c r="N765" s="60" t="s">
        <v>3373</v>
      </c>
      <c r="O765" s="60" t="s">
        <v>125</v>
      </c>
      <c r="P765" s="60" t="s">
        <v>3363</v>
      </c>
      <c r="Q765" s="60"/>
      <c r="R765" s="60" t="n">
        <v>6</v>
      </c>
      <c r="S765" s="60" t="n">
        <v>0</v>
      </c>
      <c r="T765" s="61"/>
      <c r="U765" s="60"/>
      <c r="V765" s="60"/>
      <c r="W765" s="60" t="s">
        <v>3273</v>
      </c>
      <c r="X765" s="4"/>
      <c r="Y765" s="4"/>
      <c r="Z765" s="4"/>
    </row>
    <row r="766" customFormat="false" ht="15.75" hidden="false" customHeight="true" outlineLevel="0" collapsed="false">
      <c r="A766" s="60"/>
      <c r="B766" s="60" t="s">
        <v>3375</v>
      </c>
      <c r="C766" s="61"/>
      <c r="D766" s="60"/>
      <c r="E766" s="60"/>
      <c r="F766" s="60" t="s">
        <v>1194</v>
      </c>
      <c r="G766" s="60" t="s">
        <v>1194</v>
      </c>
      <c r="H766" s="60" t="s">
        <v>3270</v>
      </c>
      <c r="I766" s="60" t="s">
        <v>125</v>
      </c>
      <c r="J766" s="60"/>
      <c r="K766" s="60" t="s">
        <v>3365</v>
      </c>
      <c r="L766" s="60" t="n">
        <v>1.0625</v>
      </c>
      <c r="M766" s="60" t="n">
        <v>5.5</v>
      </c>
      <c r="N766" s="60" t="s">
        <v>3373</v>
      </c>
      <c r="O766" s="60" t="s">
        <v>125</v>
      </c>
      <c r="P766" s="60" t="s">
        <v>3363</v>
      </c>
      <c r="Q766" s="60"/>
      <c r="R766" s="60" t="n">
        <v>6</v>
      </c>
      <c r="S766" s="60" t="n">
        <v>0</v>
      </c>
      <c r="T766" s="61"/>
      <c r="U766" s="60"/>
      <c r="V766" s="60"/>
      <c r="W766" s="60" t="s">
        <v>3273</v>
      </c>
      <c r="X766" s="4"/>
      <c r="Y766" s="4"/>
      <c r="Z766" s="4"/>
    </row>
    <row r="767" customFormat="false" ht="15.75" hidden="false" customHeight="true" outlineLevel="0" collapsed="false">
      <c r="A767" s="60"/>
      <c r="B767" s="60" t="s">
        <v>3376</v>
      </c>
      <c r="C767" s="61"/>
      <c r="D767" s="60"/>
      <c r="E767" s="60"/>
      <c r="F767" s="60" t="s">
        <v>1194</v>
      </c>
      <c r="G767" s="60" t="s">
        <v>1194</v>
      </c>
      <c r="H767" s="60" t="s">
        <v>3270</v>
      </c>
      <c r="I767" s="60" t="s">
        <v>125</v>
      </c>
      <c r="J767" s="60"/>
      <c r="K767" s="60" t="s">
        <v>211</v>
      </c>
      <c r="L767" s="60" t="n">
        <v>1.0625</v>
      </c>
      <c r="M767" s="60" t="n">
        <v>7.25</v>
      </c>
      <c r="N767" s="60" t="s">
        <v>3373</v>
      </c>
      <c r="O767" s="60" t="s">
        <v>125</v>
      </c>
      <c r="P767" s="60" t="s">
        <v>3363</v>
      </c>
      <c r="Q767" s="60"/>
      <c r="R767" s="60" t="n">
        <v>6</v>
      </c>
      <c r="S767" s="60" t="n">
        <v>0</v>
      </c>
      <c r="T767" s="61"/>
      <c r="U767" s="60"/>
      <c r="V767" s="60"/>
      <c r="W767" s="60" t="s">
        <v>3273</v>
      </c>
      <c r="X767" s="4"/>
      <c r="Y767" s="4"/>
      <c r="Z767" s="4"/>
    </row>
    <row r="768" customFormat="false" ht="15.75" hidden="false" customHeight="true" outlineLevel="0" collapsed="false">
      <c r="A768" s="60"/>
      <c r="B768" s="60" t="s">
        <v>3377</v>
      </c>
      <c r="C768" s="61"/>
      <c r="D768" s="60"/>
      <c r="E768" s="60"/>
      <c r="F768" s="60" t="s">
        <v>1194</v>
      </c>
      <c r="G768" s="60" t="s">
        <v>1194</v>
      </c>
      <c r="H768" s="60" t="s">
        <v>3270</v>
      </c>
      <c r="I768" s="60" t="s">
        <v>123</v>
      </c>
      <c r="J768" s="60"/>
      <c r="K768" s="60" t="s">
        <v>241</v>
      </c>
      <c r="L768" s="60" t="n">
        <v>0.5</v>
      </c>
      <c r="M768" s="60" t="n">
        <v>1.5</v>
      </c>
      <c r="N768" s="60" t="s">
        <v>3378</v>
      </c>
      <c r="O768" s="60" t="s">
        <v>123</v>
      </c>
      <c r="P768" s="60" t="s">
        <v>3272</v>
      </c>
      <c r="Q768" s="60"/>
      <c r="R768" s="60" t="n">
        <v>4</v>
      </c>
      <c r="S768" s="60" t="n">
        <v>0</v>
      </c>
      <c r="T768" s="61"/>
      <c r="U768" s="60"/>
      <c r="V768" s="60"/>
      <c r="W768" s="60" t="s">
        <v>3273</v>
      </c>
      <c r="X768" s="4"/>
      <c r="Y768" s="4"/>
      <c r="Z768" s="4"/>
    </row>
    <row r="769" customFormat="false" ht="15.75" hidden="false" customHeight="true" outlineLevel="0" collapsed="false">
      <c r="A769" s="60"/>
      <c r="B769" s="60" t="s">
        <v>3379</v>
      </c>
      <c r="C769" s="61"/>
      <c r="D769" s="60"/>
      <c r="E769" s="60"/>
      <c r="F769" s="60" t="s">
        <v>1194</v>
      </c>
      <c r="G769" s="60" t="s">
        <v>1194</v>
      </c>
      <c r="H769" s="60" t="s">
        <v>3270</v>
      </c>
      <c r="I769" s="60" t="s">
        <v>123</v>
      </c>
      <c r="J769" s="60"/>
      <c r="K769" s="60" t="s">
        <v>421</v>
      </c>
      <c r="L769" s="60" t="n">
        <v>0.5</v>
      </c>
      <c r="M769" s="60" t="n">
        <v>2.5</v>
      </c>
      <c r="N769" s="60" t="s">
        <v>3378</v>
      </c>
      <c r="O769" s="60" t="s">
        <v>123</v>
      </c>
      <c r="P769" s="60" t="s">
        <v>3272</v>
      </c>
      <c r="Q769" s="60"/>
      <c r="R769" s="60" t="n">
        <v>4</v>
      </c>
      <c r="S769" s="60" t="n">
        <v>0</v>
      </c>
      <c r="T769" s="61"/>
      <c r="U769" s="60"/>
      <c r="V769" s="60"/>
      <c r="W769" s="60" t="s">
        <v>3273</v>
      </c>
      <c r="X769" s="4"/>
      <c r="Y769" s="4"/>
      <c r="Z769" s="4"/>
    </row>
    <row r="770" customFormat="false" ht="15.75" hidden="false" customHeight="true" outlineLevel="0" collapsed="false">
      <c r="A770" s="60"/>
      <c r="B770" s="60" t="s">
        <v>3380</v>
      </c>
      <c r="C770" s="61"/>
      <c r="D770" s="60"/>
      <c r="E770" s="60"/>
      <c r="F770" s="60" t="s">
        <v>1194</v>
      </c>
      <c r="G770" s="60" t="s">
        <v>1194</v>
      </c>
      <c r="H770" s="60" t="s">
        <v>3270</v>
      </c>
      <c r="I770" s="60" t="s">
        <v>123</v>
      </c>
      <c r="J770" s="60"/>
      <c r="K770" s="60" t="s">
        <v>3280</v>
      </c>
      <c r="L770" s="60" t="n">
        <v>0.5</v>
      </c>
      <c r="M770" s="60" t="n">
        <v>3.5</v>
      </c>
      <c r="N770" s="60" t="s">
        <v>3378</v>
      </c>
      <c r="O770" s="60" t="s">
        <v>123</v>
      </c>
      <c r="P770" s="60" t="s">
        <v>3272</v>
      </c>
      <c r="Q770" s="60"/>
      <c r="R770" s="60" t="n">
        <v>4</v>
      </c>
      <c r="S770" s="60" t="n">
        <v>0</v>
      </c>
      <c r="T770" s="61"/>
      <c r="U770" s="60"/>
      <c r="V770" s="60"/>
      <c r="W770" s="60" t="s">
        <v>3273</v>
      </c>
      <c r="X770" s="4"/>
      <c r="Y770" s="4"/>
      <c r="Z770" s="4"/>
    </row>
    <row r="771" customFormat="false" ht="15.75" hidden="false" customHeight="true" outlineLevel="0" collapsed="false">
      <c r="A771" s="60"/>
      <c r="B771" s="60" t="s">
        <v>3381</v>
      </c>
      <c r="C771" s="61"/>
      <c r="D771" s="60"/>
      <c r="E771" s="60"/>
      <c r="F771" s="60" t="s">
        <v>1194</v>
      </c>
      <c r="G771" s="60" t="s">
        <v>1194</v>
      </c>
      <c r="H771" s="60" t="s">
        <v>3270</v>
      </c>
      <c r="I771" s="60" t="s">
        <v>123</v>
      </c>
      <c r="J771" s="60"/>
      <c r="K771" s="60" t="s">
        <v>3282</v>
      </c>
      <c r="L771" s="60" t="n">
        <v>0.5</v>
      </c>
      <c r="M771" s="60" t="n">
        <v>5.5</v>
      </c>
      <c r="N771" s="60" t="s">
        <v>3378</v>
      </c>
      <c r="O771" s="60" t="s">
        <v>123</v>
      </c>
      <c r="P771" s="60" t="s">
        <v>3272</v>
      </c>
      <c r="Q771" s="60"/>
      <c r="R771" s="60" t="n">
        <v>4</v>
      </c>
      <c r="S771" s="60" t="n">
        <v>0</v>
      </c>
      <c r="T771" s="61"/>
      <c r="U771" s="60"/>
      <c r="V771" s="60"/>
      <c r="W771" s="60" t="s">
        <v>3273</v>
      </c>
      <c r="X771" s="4"/>
      <c r="Y771" s="4"/>
      <c r="Z771" s="4"/>
    </row>
    <row r="772" customFormat="false" ht="15.75" hidden="false" customHeight="true" outlineLevel="0" collapsed="false">
      <c r="A772" s="60"/>
      <c r="B772" s="60" t="s">
        <v>3382</v>
      </c>
      <c r="C772" s="61"/>
      <c r="D772" s="60"/>
      <c r="E772" s="60"/>
      <c r="F772" s="60" t="s">
        <v>1194</v>
      </c>
      <c r="G772" s="60" t="s">
        <v>1194</v>
      </c>
      <c r="H772" s="60" t="s">
        <v>3270</v>
      </c>
      <c r="I772" s="60" t="s">
        <v>123</v>
      </c>
      <c r="J772" s="60"/>
      <c r="K772" s="60" t="s">
        <v>3288</v>
      </c>
      <c r="L772" s="60" t="n">
        <v>0.25</v>
      </c>
      <c r="M772" s="60" t="n">
        <v>2.5</v>
      </c>
      <c r="N772" s="60" t="s">
        <v>3378</v>
      </c>
      <c r="O772" s="60" t="s">
        <v>123</v>
      </c>
      <c r="P772" s="60" t="s">
        <v>3272</v>
      </c>
      <c r="Q772" s="60"/>
      <c r="R772" s="60" t="n">
        <v>4</v>
      </c>
      <c r="S772" s="60" t="n">
        <v>0</v>
      </c>
      <c r="T772" s="61"/>
      <c r="U772" s="60"/>
      <c r="V772" s="60"/>
      <c r="W772" s="60" t="s">
        <v>3273</v>
      </c>
      <c r="X772" s="4"/>
      <c r="Y772" s="4"/>
      <c r="Z772" s="4"/>
    </row>
    <row r="773" customFormat="false" ht="15.75" hidden="false" customHeight="true" outlineLevel="0" collapsed="false">
      <c r="A773" s="60"/>
      <c r="B773" s="60" t="s">
        <v>3383</v>
      </c>
      <c r="C773" s="61"/>
      <c r="D773" s="60"/>
      <c r="E773" s="60"/>
      <c r="F773" s="60" t="s">
        <v>1194</v>
      </c>
      <c r="G773" s="60" t="s">
        <v>1194</v>
      </c>
      <c r="H773" s="60" t="s">
        <v>3270</v>
      </c>
      <c r="I773" s="60" t="s">
        <v>123</v>
      </c>
      <c r="J773" s="60"/>
      <c r="K773" s="60" t="s">
        <v>471</v>
      </c>
      <c r="L773" s="60" t="n">
        <v>0.25</v>
      </c>
      <c r="M773" s="60" t="n">
        <v>0.75</v>
      </c>
      <c r="N773" s="60" t="s">
        <v>3378</v>
      </c>
      <c r="O773" s="60" t="s">
        <v>123</v>
      </c>
      <c r="P773" s="60" t="s">
        <v>3272</v>
      </c>
      <c r="Q773" s="60"/>
      <c r="R773" s="60" t="n">
        <v>4</v>
      </c>
      <c r="S773" s="60" t="n">
        <v>0</v>
      </c>
      <c r="T773" s="61"/>
      <c r="U773" s="60"/>
      <c r="V773" s="60"/>
      <c r="W773" s="60" t="s">
        <v>3273</v>
      </c>
      <c r="X773" s="4"/>
      <c r="Y773" s="4"/>
      <c r="Z773" s="4"/>
    </row>
    <row r="774" customFormat="false" ht="15.75" hidden="false" customHeight="true" outlineLevel="0" collapsed="false">
      <c r="A774" s="60"/>
      <c r="B774" s="60" t="s">
        <v>3384</v>
      </c>
      <c r="C774" s="61"/>
      <c r="D774" s="60"/>
      <c r="E774" s="60"/>
      <c r="F774" s="60" t="s">
        <v>1194</v>
      </c>
      <c r="G774" s="60" t="s">
        <v>1194</v>
      </c>
      <c r="H774" s="60" t="s">
        <v>3270</v>
      </c>
      <c r="I774" s="60" t="s">
        <v>123</v>
      </c>
      <c r="J774" s="60"/>
      <c r="K774" s="60" t="s">
        <v>3291</v>
      </c>
      <c r="L774" s="60" t="n">
        <v>0.25</v>
      </c>
      <c r="M774" s="60" t="n">
        <v>3.5</v>
      </c>
      <c r="N774" s="60" t="s">
        <v>3378</v>
      </c>
      <c r="O774" s="60" t="s">
        <v>123</v>
      </c>
      <c r="P774" s="60" t="s">
        <v>3272</v>
      </c>
      <c r="Q774" s="60"/>
      <c r="R774" s="60" t="n">
        <v>4</v>
      </c>
      <c r="S774" s="60" t="n">
        <v>0</v>
      </c>
      <c r="T774" s="61"/>
      <c r="U774" s="60"/>
      <c r="V774" s="60"/>
      <c r="W774" s="60" t="s">
        <v>3273</v>
      </c>
      <c r="X774" s="4"/>
      <c r="Y774" s="4"/>
      <c r="Z774" s="4"/>
    </row>
    <row r="775" customFormat="false" ht="15.75" hidden="false" customHeight="true" outlineLevel="0" collapsed="false">
      <c r="A775" s="60"/>
      <c r="B775" s="60" t="s">
        <v>3385</v>
      </c>
      <c r="C775" s="61"/>
      <c r="D775" s="60"/>
      <c r="E775" s="60"/>
      <c r="F775" s="60" t="s">
        <v>1194</v>
      </c>
      <c r="G775" s="60" t="s">
        <v>1194</v>
      </c>
      <c r="H775" s="60" t="s">
        <v>3270</v>
      </c>
      <c r="I775" s="60" t="s">
        <v>123</v>
      </c>
      <c r="J775" s="60"/>
      <c r="K775" s="60" t="s">
        <v>3306</v>
      </c>
      <c r="L775" s="60" t="n">
        <v>1.625</v>
      </c>
      <c r="M775" s="60" t="n">
        <v>2.5</v>
      </c>
      <c r="N775" s="60" t="s">
        <v>3378</v>
      </c>
      <c r="O775" s="60" t="s">
        <v>123</v>
      </c>
      <c r="P775" s="60" t="s">
        <v>3272</v>
      </c>
      <c r="Q775" s="60"/>
      <c r="R775" s="60" t="n">
        <v>4</v>
      </c>
      <c r="S775" s="60" t="n">
        <v>0</v>
      </c>
      <c r="T775" s="61"/>
      <c r="U775" s="60"/>
      <c r="V775" s="60"/>
      <c r="W775" s="60" t="s">
        <v>3273</v>
      </c>
      <c r="X775" s="4"/>
      <c r="Y775" s="4"/>
      <c r="Z775" s="4"/>
    </row>
    <row r="776" customFormat="false" ht="15.75" hidden="false" customHeight="true" outlineLevel="0" collapsed="false">
      <c r="A776" s="60"/>
      <c r="B776" s="60" t="s">
        <v>3386</v>
      </c>
      <c r="C776" s="61"/>
      <c r="D776" s="60"/>
      <c r="E776" s="60"/>
      <c r="F776" s="60" t="s">
        <v>1194</v>
      </c>
      <c r="G776" s="60" t="s">
        <v>1194</v>
      </c>
      <c r="H776" s="60" t="s">
        <v>3270</v>
      </c>
      <c r="I776" s="60" t="s">
        <v>123</v>
      </c>
      <c r="J776" s="60"/>
      <c r="K776" s="60" t="s">
        <v>3308</v>
      </c>
      <c r="L776" s="60" t="n">
        <v>1.625</v>
      </c>
      <c r="M776" s="60" t="n">
        <v>3.5</v>
      </c>
      <c r="N776" s="60" t="s">
        <v>3378</v>
      </c>
      <c r="O776" s="60" t="s">
        <v>123</v>
      </c>
      <c r="P776" s="60" t="s">
        <v>3272</v>
      </c>
      <c r="Q776" s="60"/>
      <c r="R776" s="60" t="n">
        <v>4</v>
      </c>
      <c r="S776" s="60" t="n">
        <v>0</v>
      </c>
      <c r="T776" s="61"/>
      <c r="U776" s="60"/>
      <c r="V776" s="60"/>
      <c r="W776" s="60" t="s">
        <v>3273</v>
      </c>
      <c r="X776" s="4"/>
      <c r="Y776" s="4"/>
      <c r="Z776" s="4"/>
    </row>
    <row r="777" customFormat="false" ht="15.75" hidden="false" customHeight="true" outlineLevel="0" collapsed="false">
      <c r="A777" s="60"/>
      <c r="B777" s="60" t="s">
        <v>3387</v>
      </c>
      <c r="C777" s="61"/>
      <c r="D777" s="60"/>
      <c r="E777" s="60"/>
      <c r="F777" s="60" t="s">
        <v>1194</v>
      </c>
      <c r="G777" s="60" t="s">
        <v>1194</v>
      </c>
      <c r="H777" s="60" t="s">
        <v>3270</v>
      </c>
      <c r="I777" s="60" t="s">
        <v>123</v>
      </c>
      <c r="J777" s="60"/>
      <c r="K777" s="60" t="s">
        <v>3310</v>
      </c>
      <c r="L777" s="60" t="n">
        <v>1.625</v>
      </c>
      <c r="M777" s="60" t="n">
        <v>5.5</v>
      </c>
      <c r="N777" s="60" t="s">
        <v>3378</v>
      </c>
      <c r="O777" s="60" t="s">
        <v>123</v>
      </c>
      <c r="P777" s="60" t="s">
        <v>3272</v>
      </c>
      <c r="Q777" s="60"/>
      <c r="R777" s="60" t="n">
        <v>4</v>
      </c>
      <c r="S777" s="60" t="n">
        <v>0</v>
      </c>
      <c r="T777" s="61"/>
      <c r="U777" s="60"/>
      <c r="V777" s="60"/>
      <c r="W777" s="60" t="s">
        <v>3273</v>
      </c>
      <c r="X777" s="4"/>
      <c r="Y777" s="4"/>
      <c r="Z777" s="4"/>
    </row>
    <row r="778" customFormat="false" ht="15.75" hidden="false" customHeight="true" outlineLevel="0" collapsed="false">
      <c r="A778" s="60"/>
      <c r="B778" s="60" t="s">
        <v>3388</v>
      </c>
      <c r="C778" s="61"/>
      <c r="D778" s="60"/>
      <c r="E778" s="60"/>
      <c r="F778" s="60" t="s">
        <v>1194</v>
      </c>
      <c r="G778" s="60" t="s">
        <v>1194</v>
      </c>
      <c r="H778" s="60" t="s">
        <v>3270</v>
      </c>
      <c r="I778" s="60" t="s">
        <v>123</v>
      </c>
      <c r="J778" s="60"/>
      <c r="K778" s="60" t="s">
        <v>169</v>
      </c>
      <c r="L778" s="60" t="n">
        <v>0.75</v>
      </c>
      <c r="M778" s="60" t="n">
        <v>1.5</v>
      </c>
      <c r="N778" s="60" t="s">
        <v>3378</v>
      </c>
      <c r="O778" s="60" t="s">
        <v>123</v>
      </c>
      <c r="P778" s="60" t="s">
        <v>3272</v>
      </c>
      <c r="Q778" s="60"/>
      <c r="R778" s="60" t="n">
        <v>4</v>
      </c>
      <c r="S778" s="60" t="n">
        <v>0</v>
      </c>
      <c r="T778" s="61"/>
      <c r="U778" s="60"/>
      <c r="V778" s="60"/>
      <c r="W778" s="60" t="s">
        <v>3273</v>
      </c>
      <c r="X778" s="4"/>
      <c r="Y778" s="4"/>
      <c r="Z778" s="4"/>
    </row>
    <row r="779" customFormat="false" ht="15.75" hidden="false" customHeight="true" outlineLevel="0" collapsed="false">
      <c r="A779" s="60"/>
      <c r="B779" s="60" t="s">
        <v>3389</v>
      </c>
      <c r="C779" s="61"/>
      <c r="D779" s="60"/>
      <c r="E779" s="60"/>
      <c r="F779" s="60" t="s">
        <v>1194</v>
      </c>
      <c r="G779" s="60" t="s">
        <v>1194</v>
      </c>
      <c r="H779" s="60" t="s">
        <v>3270</v>
      </c>
      <c r="I779" s="60" t="s">
        <v>123</v>
      </c>
      <c r="J779" s="60"/>
      <c r="K779" s="60" t="s">
        <v>284</v>
      </c>
      <c r="L779" s="60" t="n">
        <v>0.75</v>
      </c>
      <c r="M779" s="60" t="n">
        <v>2.5</v>
      </c>
      <c r="N779" s="60" t="s">
        <v>3378</v>
      </c>
      <c r="O779" s="60" t="s">
        <v>123</v>
      </c>
      <c r="P779" s="60" t="s">
        <v>3272</v>
      </c>
      <c r="Q779" s="60"/>
      <c r="R779" s="60" t="n">
        <v>4</v>
      </c>
      <c r="S779" s="60" t="n">
        <v>0</v>
      </c>
      <c r="T779" s="61"/>
      <c r="U779" s="60"/>
      <c r="V779" s="60"/>
      <c r="W779" s="60" t="s">
        <v>3273</v>
      </c>
      <c r="X779" s="4"/>
      <c r="Y779" s="4"/>
      <c r="Z779" s="4"/>
    </row>
    <row r="780" customFormat="false" ht="15.75" hidden="false" customHeight="true" outlineLevel="0" collapsed="false">
      <c r="A780" s="60"/>
      <c r="B780" s="60" t="s">
        <v>3390</v>
      </c>
      <c r="C780" s="61"/>
      <c r="D780" s="60"/>
      <c r="E780" s="60"/>
      <c r="F780" s="60" t="s">
        <v>1194</v>
      </c>
      <c r="G780" s="60" t="s">
        <v>1194</v>
      </c>
      <c r="H780" s="60" t="s">
        <v>3270</v>
      </c>
      <c r="I780" s="60" t="s">
        <v>123</v>
      </c>
      <c r="J780" s="60"/>
      <c r="K780" s="60" t="s">
        <v>329</v>
      </c>
      <c r="L780" s="60" t="n">
        <v>0.75</v>
      </c>
      <c r="M780" s="60" t="n">
        <v>3.5</v>
      </c>
      <c r="N780" s="60" t="s">
        <v>3378</v>
      </c>
      <c r="O780" s="60" t="s">
        <v>123</v>
      </c>
      <c r="P780" s="60" t="s">
        <v>3272</v>
      </c>
      <c r="Q780" s="60"/>
      <c r="R780" s="60" t="n">
        <v>4</v>
      </c>
      <c r="S780" s="60" t="n">
        <v>0</v>
      </c>
      <c r="T780" s="61"/>
      <c r="U780" s="60"/>
      <c r="V780" s="60"/>
      <c r="W780" s="60" t="s">
        <v>3273</v>
      </c>
      <c r="X780" s="4"/>
      <c r="Y780" s="4"/>
      <c r="Z780" s="4"/>
    </row>
    <row r="781" customFormat="false" ht="15.75" hidden="false" customHeight="true" outlineLevel="0" collapsed="false">
      <c r="A781" s="60"/>
      <c r="B781" s="60" t="s">
        <v>3391</v>
      </c>
      <c r="C781" s="61"/>
      <c r="D781" s="60"/>
      <c r="E781" s="60"/>
      <c r="F781" s="60" t="s">
        <v>1194</v>
      </c>
      <c r="G781" s="60" t="s">
        <v>1194</v>
      </c>
      <c r="H781" s="60" t="s">
        <v>3270</v>
      </c>
      <c r="I781" s="60" t="s">
        <v>123</v>
      </c>
      <c r="J781" s="60"/>
      <c r="K781" s="60" t="s">
        <v>3329</v>
      </c>
      <c r="L781" s="60" t="n">
        <v>0.75</v>
      </c>
      <c r="M781" s="60" t="n">
        <v>4.625</v>
      </c>
      <c r="N781" s="60" t="s">
        <v>3378</v>
      </c>
      <c r="O781" s="60" t="s">
        <v>123</v>
      </c>
      <c r="P781" s="60" t="s">
        <v>3272</v>
      </c>
      <c r="Q781" s="60"/>
      <c r="R781" s="60" t="n">
        <v>4</v>
      </c>
      <c r="S781" s="60" t="n">
        <v>0</v>
      </c>
      <c r="T781" s="61"/>
      <c r="U781" s="60"/>
      <c r="V781" s="60"/>
      <c r="W781" s="60" t="s">
        <v>3273</v>
      </c>
      <c r="X781" s="4"/>
      <c r="Y781" s="4"/>
      <c r="Z781" s="4"/>
    </row>
    <row r="782" customFormat="false" ht="15.75" hidden="false" customHeight="true" outlineLevel="0" collapsed="false">
      <c r="A782" s="60"/>
      <c r="B782" s="60" t="s">
        <v>3392</v>
      </c>
      <c r="C782" s="61"/>
      <c r="D782" s="60"/>
      <c r="E782" s="60"/>
      <c r="F782" s="60" t="s">
        <v>1194</v>
      </c>
      <c r="G782" s="60" t="s">
        <v>1194</v>
      </c>
      <c r="H782" s="60" t="s">
        <v>3270</v>
      </c>
      <c r="I782" s="60" t="s">
        <v>123</v>
      </c>
      <c r="J782" s="60"/>
      <c r="K782" s="60" t="s">
        <v>701</v>
      </c>
      <c r="L782" s="60" t="n">
        <v>0.75</v>
      </c>
      <c r="M782" s="60" t="n">
        <v>5.5</v>
      </c>
      <c r="N782" s="60" t="s">
        <v>3378</v>
      </c>
      <c r="O782" s="60" t="s">
        <v>123</v>
      </c>
      <c r="P782" s="60" t="s">
        <v>3272</v>
      </c>
      <c r="Q782" s="60"/>
      <c r="R782" s="60" t="n">
        <v>4</v>
      </c>
      <c r="S782" s="60" t="n">
        <v>0</v>
      </c>
      <c r="T782" s="61"/>
      <c r="U782" s="60"/>
      <c r="V782" s="60"/>
      <c r="W782" s="60" t="s">
        <v>3273</v>
      </c>
      <c r="X782" s="4"/>
      <c r="Y782" s="4"/>
      <c r="Z782" s="4"/>
    </row>
    <row r="783" customFormat="false" ht="15.75" hidden="false" customHeight="true" outlineLevel="0" collapsed="false">
      <c r="A783" s="60"/>
      <c r="B783" s="60" t="s">
        <v>3393</v>
      </c>
      <c r="C783" s="61"/>
      <c r="D783" s="60"/>
      <c r="E783" s="60"/>
      <c r="F783" s="60" t="s">
        <v>1194</v>
      </c>
      <c r="G783" s="60" t="s">
        <v>1194</v>
      </c>
      <c r="H783" s="60" t="s">
        <v>3270</v>
      </c>
      <c r="I783" s="60" t="s">
        <v>123</v>
      </c>
      <c r="J783" s="60"/>
      <c r="K783" s="60" t="s">
        <v>219</v>
      </c>
      <c r="L783" s="60" t="n">
        <v>0.75</v>
      </c>
      <c r="M783" s="60" t="n">
        <v>7.25</v>
      </c>
      <c r="N783" s="60" t="s">
        <v>3378</v>
      </c>
      <c r="O783" s="60" t="s">
        <v>123</v>
      </c>
      <c r="P783" s="60" t="s">
        <v>3272</v>
      </c>
      <c r="Q783" s="60"/>
      <c r="R783" s="60" t="n">
        <v>4</v>
      </c>
      <c r="S783" s="60" t="n">
        <v>0</v>
      </c>
      <c r="T783" s="61"/>
      <c r="U783" s="60"/>
      <c r="V783" s="60"/>
      <c r="W783" s="60" t="s">
        <v>3273</v>
      </c>
      <c r="X783" s="4"/>
      <c r="Y783" s="4"/>
      <c r="Z783" s="4"/>
    </row>
    <row r="784" customFormat="false" ht="15.75" hidden="false" customHeight="true" outlineLevel="0" collapsed="false">
      <c r="A784" s="60"/>
      <c r="B784" s="60" t="s">
        <v>3394</v>
      </c>
      <c r="C784" s="61"/>
      <c r="D784" s="60"/>
      <c r="E784" s="60"/>
      <c r="F784" s="60" t="s">
        <v>1194</v>
      </c>
      <c r="G784" s="60" t="s">
        <v>1194</v>
      </c>
      <c r="H784" s="60" t="s">
        <v>3270</v>
      </c>
      <c r="I784" s="60" t="s">
        <v>123</v>
      </c>
      <c r="J784" s="60"/>
      <c r="K784" s="60" t="s">
        <v>3335</v>
      </c>
      <c r="L784" s="60" t="n">
        <v>0.75</v>
      </c>
      <c r="M784" s="60" t="n">
        <v>9.25</v>
      </c>
      <c r="N784" s="60" t="s">
        <v>3378</v>
      </c>
      <c r="O784" s="60" t="s">
        <v>123</v>
      </c>
      <c r="P784" s="60" t="s">
        <v>3272</v>
      </c>
      <c r="Q784" s="60"/>
      <c r="R784" s="60" t="n">
        <v>4</v>
      </c>
      <c r="S784" s="60" t="n">
        <v>0</v>
      </c>
      <c r="T784" s="61"/>
      <c r="U784" s="60"/>
      <c r="V784" s="60"/>
      <c r="W784" s="60" t="s">
        <v>3273</v>
      </c>
      <c r="X784" s="4"/>
      <c r="Y784" s="4"/>
      <c r="Z784" s="4"/>
    </row>
    <row r="785" customFormat="false" ht="15.75" hidden="false" customHeight="true" outlineLevel="0" collapsed="false">
      <c r="A785" s="60"/>
      <c r="B785" s="60" t="s">
        <v>3395</v>
      </c>
      <c r="C785" s="61"/>
      <c r="D785" s="60"/>
      <c r="E785" s="60"/>
      <c r="F785" s="60" t="s">
        <v>1194</v>
      </c>
      <c r="G785" s="60" t="s">
        <v>1194</v>
      </c>
      <c r="H785" s="60" t="s">
        <v>3270</v>
      </c>
      <c r="I785" s="60" t="s">
        <v>118</v>
      </c>
      <c r="J785" s="60"/>
      <c r="K785" s="60" t="s">
        <v>3396</v>
      </c>
      <c r="L785" s="60" t="n">
        <v>1.0625</v>
      </c>
      <c r="M785" s="60" t="n">
        <v>6.625</v>
      </c>
      <c r="N785" s="60" t="s">
        <v>3397</v>
      </c>
      <c r="O785" s="60" t="s">
        <v>118</v>
      </c>
      <c r="P785" s="60" t="s">
        <v>3320</v>
      </c>
      <c r="Q785" s="60" t="s">
        <v>1262</v>
      </c>
      <c r="R785" s="60" t="n">
        <v>11</v>
      </c>
      <c r="S785" s="60" t="n">
        <v>0</v>
      </c>
      <c r="T785" s="61"/>
      <c r="U785" s="60"/>
      <c r="V785" s="60"/>
      <c r="W785" s="60" t="s">
        <v>3273</v>
      </c>
      <c r="X785" s="4"/>
      <c r="Y785" s="4"/>
      <c r="Z785" s="4"/>
    </row>
    <row r="786" customFormat="false" ht="15.75" hidden="false" customHeight="true" outlineLevel="0" collapsed="false">
      <c r="A786" s="60"/>
      <c r="B786" s="60" t="s">
        <v>3398</v>
      </c>
      <c r="C786" s="61"/>
      <c r="D786" s="60"/>
      <c r="E786" s="60"/>
      <c r="F786" s="60" t="s">
        <v>1194</v>
      </c>
      <c r="G786" s="60" t="s">
        <v>1194</v>
      </c>
      <c r="H786" s="60" t="s">
        <v>3270</v>
      </c>
      <c r="I786" s="60" t="s">
        <v>3399</v>
      </c>
      <c r="J786" s="60"/>
      <c r="K786" s="60" t="s">
        <v>155</v>
      </c>
      <c r="L786" s="60" t="n">
        <v>1.625</v>
      </c>
      <c r="M786" s="60" t="n">
        <v>1.625</v>
      </c>
      <c r="N786" s="60" t="s">
        <v>3400</v>
      </c>
      <c r="O786" s="60" t="s">
        <v>3399</v>
      </c>
      <c r="P786" s="60" t="s">
        <v>3363</v>
      </c>
      <c r="Q786" s="60"/>
      <c r="R786" s="60" t="n">
        <v>4</v>
      </c>
      <c r="S786" s="60" t="n">
        <v>0</v>
      </c>
      <c r="T786" s="61"/>
      <c r="U786" s="60"/>
      <c r="V786" s="60"/>
      <c r="W786" s="60" t="s">
        <v>3273</v>
      </c>
      <c r="X786" s="4"/>
      <c r="Y786" s="4"/>
      <c r="Z786" s="4"/>
    </row>
    <row r="787" customFormat="false" ht="15.75" hidden="false" customHeight="true" outlineLevel="0" collapsed="false">
      <c r="A787" s="60"/>
      <c r="B787" s="60" t="s">
        <v>3401</v>
      </c>
      <c r="C787" s="61"/>
      <c r="D787" s="60"/>
      <c r="E787" s="60"/>
      <c r="F787" s="60" t="s">
        <v>1194</v>
      </c>
      <c r="G787" s="60" t="s">
        <v>1194</v>
      </c>
      <c r="H787" s="60" t="s">
        <v>3270</v>
      </c>
      <c r="I787" s="60" t="s">
        <v>3399</v>
      </c>
      <c r="J787" s="60"/>
      <c r="K787" s="60" t="s">
        <v>3322</v>
      </c>
      <c r="L787" s="60" t="n">
        <v>0.75</v>
      </c>
      <c r="M787" s="60" t="n">
        <v>11.25</v>
      </c>
      <c r="N787" s="60" t="s">
        <v>3400</v>
      </c>
      <c r="O787" s="60" t="s">
        <v>3399</v>
      </c>
      <c r="P787" s="60" t="s">
        <v>3363</v>
      </c>
      <c r="Q787" s="60"/>
      <c r="R787" s="60" t="n">
        <v>4</v>
      </c>
      <c r="S787" s="60" t="n">
        <v>0</v>
      </c>
      <c r="T787" s="61"/>
      <c r="U787" s="60"/>
      <c r="V787" s="60"/>
      <c r="W787" s="60" t="s">
        <v>3273</v>
      </c>
      <c r="X787" s="4"/>
      <c r="Y787" s="4"/>
      <c r="Z787" s="4"/>
    </row>
    <row r="788" customFormat="false" ht="15.75" hidden="false" customHeight="true" outlineLevel="0" collapsed="false">
      <c r="A788" s="60"/>
      <c r="B788" s="60" t="s">
        <v>3402</v>
      </c>
      <c r="C788" s="61"/>
      <c r="D788" s="60"/>
      <c r="E788" s="60"/>
      <c r="F788" s="60" t="s">
        <v>1194</v>
      </c>
      <c r="G788" s="60" t="s">
        <v>1194</v>
      </c>
      <c r="H788" s="60" t="s">
        <v>3270</v>
      </c>
      <c r="I788" s="60" t="s">
        <v>3399</v>
      </c>
      <c r="J788" s="60"/>
      <c r="K788" s="60" t="s">
        <v>329</v>
      </c>
      <c r="L788" s="60" t="n">
        <v>0.75</v>
      </c>
      <c r="M788" s="60" t="n">
        <v>3.5</v>
      </c>
      <c r="N788" s="60" t="s">
        <v>3400</v>
      </c>
      <c r="O788" s="60" t="s">
        <v>3399</v>
      </c>
      <c r="P788" s="60" t="s">
        <v>3363</v>
      </c>
      <c r="Q788" s="60"/>
      <c r="R788" s="60" t="n">
        <v>4</v>
      </c>
      <c r="S788" s="60" t="n">
        <v>0</v>
      </c>
      <c r="T788" s="61"/>
      <c r="U788" s="60"/>
      <c r="V788" s="60"/>
      <c r="W788" s="60" t="s">
        <v>3273</v>
      </c>
      <c r="X788" s="4"/>
      <c r="Y788" s="4"/>
      <c r="Z788" s="4"/>
    </row>
    <row r="789" customFormat="false" ht="15.75" hidden="false" customHeight="true" outlineLevel="0" collapsed="false">
      <c r="A789" s="60"/>
      <c r="B789" s="60" t="s">
        <v>3403</v>
      </c>
      <c r="C789" s="61"/>
      <c r="D789" s="60"/>
      <c r="E789" s="60"/>
      <c r="F789" s="60" t="s">
        <v>1194</v>
      </c>
      <c r="G789" s="60" t="s">
        <v>1194</v>
      </c>
      <c r="H789" s="60" t="s">
        <v>3270</v>
      </c>
      <c r="I789" s="60" t="s">
        <v>3399</v>
      </c>
      <c r="J789" s="60"/>
      <c r="K789" s="60" t="s">
        <v>3329</v>
      </c>
      <c r="L789" s="60" t="n">
        <v>0.75</v>
      </c>
      <c r="M789" s="60" t="n">
        <v>4.625</v>
      </c>
      <c r="N789" s="60" t="s">
        <v>3400</v>
      </c>
      <c r="O789" s="60" t="s">
        <v>3399</v>
      </c>
      <c r="P789" s="60" t="s">
        <v>3363</v>
      </c>
      <c r="Q789" s="60"/>
      <c r="R789" s="60" t="n">
        <v>4</v>
      </c>
      <c r="S789" s="60" t="n">
        <v>0</v>
      </c>
      <c r="T789" s="61"/>
      <c r="U789" s="60"/>
      <c r="V789" s="60"/>
      <c r="W789" s="60" t="s">
        <v>3273</v>
      </c>
      <c r="X789" s="4"/>
      <c r="Y789" s="4"/>
      <c r="Z789" s="4"/>
    </row>
    <row r="790" customFormat="false" ht="15.75" hidden="false" customHeight="true" outlineLevel="0" collapsed="false">
      <c r="A790" s="60"/>
      <c r="B790" s="60" t="s">
        <v>3404</v>
      </c>
      <c r="C790" s="61"/>
      <c r="D790" s="60"/>
      <c r="E790" s="60"/>
      <c r="F790" s="60" t="s">
        <v>1194</v>
      </c>
      <c r="G790" s="60" t="s">
        <v>1194</v>
      </c>
      <c r="H790" s="60" t="s">
        <v>3270</v>
      </c>
      <c r="I790" s="60" t="s">
        <v>3399</v>
      </c>
      <c r="J790" s="60"/>
      <c r="K790" s="60" t="s">
        <v>701</v>
      </c>
      <c r="L790" s="60" t="n">
        <v>0.75</v>
      </c>
      <c r="M790" s="60" t="n">
        <v>5.5</v>
      </c>
      <c r="N790" s="60" t="s">
        <v>3400</v>
      </c>
      <c r="O790" s="60" t="s">
        <v>3399</v>
      </c>
      <c r="P790" s="60" t="s">
        <v>3363</v>
      </c>
      <c r="Q790" s="60"/>
      <c r="R790" s="60" t="n">
        <v>4</v>
      </c>
      <c r="S790" s="60" t="n">
        <v>0</v>
      </c>
      <c r="T790" s="61"/>
      <c r="U790" s="60"/>
      <c r="V790" s="60"/>
      <c r="W790" s="60" t="s">
        <v>3273</v>
      </c>
      <c r="X790" s="4"/>
      <c r="Y790" s="4"/>
      <c r="Z790" s="4"/>
    </row>
    <row r="791" customFormat="false" ht="15.75" hidden="false" customHeight="true" outlineLevel="0" collapsed="false">
      <c r="A791" s="60"/>
      <c r="B791" s="60" t="s">
        <v>3405</v>
      </c>
      <c r="C791" s="61"/>
      <c r="D791" s="60"/>
      <c r="E791" s="60"/>
      <c r="F791" s="60" t="s">
        <v>1194</v>
      </c>
      <c r="G791" s="60" t="s">
        <v>1194</v>
      </c>
      <c r="H791" s="60" t="s">
        <v>3270</v>
      </c>
      <c r="I791" s="60" t="s">
        <v>3399</v>
      </c>
      <c r="J791" s="60"/>
      <c r="K791" s="60" t="s">
        <v>219</v>
      </c>
      <c r="L791" s="60" t="n">
        <v>0.75</v>
      </c>
      <c r="M791" s="60" t="n">
        <v>7.25</v>
      </c>
      <c r="N791" s="60" t="s">
        <v>3400</v>
      </c>
      <c r="O791" s="60" t="s">
        <v>3399</v>
      </c>
      <c r="P791" s="60" t="s">
        <v>3363</v>
      </c>
      <c r="Q791" s="60"/>
      <c r="R791" s="60" t="n">
        <v>4</v>
      </c>
      <c r="S791" s="60" t="n">
        <v>0</v>
      </c>
      <c r="T791" s="61"/>
      <c r="U791" s="60"/>
      <c r="V791" s="60"/>
      <c r="W791" s="60" t="s">
        <v>3273</v>
      </c>
      <c r="X791" s="4"/>
      <c r="Y791" s="4"/>
      <c r="Z791" s="4"/>
    </row>
    <row r="792" customFormat="false" ht="15.75" hidden="false" customHeight="true" outlineLevel="0" collapsed="false">
      <c r="A792" s="60"/>
      <c r="B792" s="60" t="s">
        <v>3406</v>
      </c>
      <c r="C792" s="61"/>
      <c r="D792" s="60"/>
      <c r="E792" s="60"/>
      <c r="F792" s="60" t="s">
        <v>1194</v>
      </c>
      <c r="G792" s="60" t="s">
        <v>1194</v>
      </c>
      <c r="H792" s="60" t="s">
        <v>3270</v>
      </c>
      <c r="I792" s="60" t="s">
        <v>3399</v>
      </c>
      <c r="J792" s="60"/>
      <c r="K792" s="60" t="s">
        <v>3335</v>
      </c>
      <c r="L792" s="60" t="n">
        <v>0.75</v>
      </c>
      <c r="M792" s="60" t="n">
        <v>9.25</v>
      </c>
      <c r="N792" s="60" t="s">
        <v>3400</v>
      </c>
      <c r="O792" s="60" t="s">
        <v>3399</v>
      </c>
      <c r="P792" s="60" t="s">
        <v>3363</v>
      </c>
      <c r="Q792" s="60"/>
      <c r="R792" s="60" t="n">
        <v>4</v>
      </c>
      <c r="S792" s="60" t="n">
        <v>0</v>
      </c>
      <c r="T792" s="61"/>
      <c r="U792" s="60"/>
      <c r="V792" s="60"/>
      <c r="W792" s="60" t="s">
        <v>3273</v>
      </c>
      <c r="X792" s="4"/>
      <c r="Y792" s="4"/>
      <c r="Z792" s="4"/>
    </row>
    <row r="793" customFormat="false" ht="15.75" hidden="false" customHeight="true" outlineLevel="0" collapsed="false">
      <c r="A793" s="60"/>
      <c r="B793" s="60" t="s">
        <v>3407</v>
      </c>
      <c r="C793" s="61"/>
      <c r="D793" s="60"/>
      <c r="E793" s="60"/>
      <c r="F793" s="60" t="s">
        <v>1194</v>
      </c>
      <c r="G793" s="60" t="s">
        <v>1194</v>
      </c>
      <c r="H793" s="60" t="s">
        <v>3270</v>
      </c>
      <c r="I793" s="60" t="s">
        <v>120</v>
      </c>
      <c r="J793" s="60"/>
      <c r="K793" s="60" t="s">
        <v>3408</v>
      </c>
      <c r="L793" s="60" t="n">
        <v>0.625</v>
      </c>
      <c r="M793" s="60" t="n">
        <v>5.375</v>
      </c>
      <c r="N793" s="60" t="s">
        <v>1270</v>
      </c>
      <c r="O793" s="60" t="s">
        <v>120</v>
      </c>
      <c r="P793" s="60" t="s">
        <v>1270</v>
      </c>
      <c r="Q793" s="60" t="s">
        <v>1262</v>
      </c>
      <c r="R793" s="60" t="n">
        <v>10</v>
      </c>
      <c r="S793" s="60" t="n">
        <v>0</v>
      </c>
      <c r="T793" s="61"/>
      <c r="U793" s="60"/>
      <c r="V793" s="60"/>
      <c r="W793" s="60" t="s">
        <v>3273</v>
      </c>
      <c r="X793" s="4"/>
      <c r="Y793" s="4"/>
      <c r="Z793" s="4"/>
    </row>
    <row r="794" customFormat="false" ht="15.75" hidden="false" customHeight="true" outlineLevel="0" collapsed="false">
      <c r="A794" s="60"/>
      <c r="B794" s="60" t="s">
        <v>3409</v>
      </c>
      <c r="C794" s="61"/>
      <c r="D794" s="60"/>
      <c r="E794" s="60"/>
      <c r="F794" s="60" t="s">
        <v>1194</v>
      </c>
      <c r="G794" s="60" t="s">
        <v>1194</v>
      </c>
      <c r="H794" s="60" t="s">
        <v>3270</v>
      </c>
      <c r="I794" s="60" t="s">
        <v>122</v>
      </c>
      <c r="J794" s="60"/>
      <c r="K794" s="60" t="s">
        <v>241</v>
      </c>
      <c r="L794" s="60" t="n">
        <v>0.5</v>
      </c>
      <c r="M794" s="60" t="n">
        <v>1.5</v>
      </c>
      <c r="N794" s="60" t="s">
        <v>3410</v>
      </c>
      <c r="O794" s="60" t="s">
        <v>122</v>
      </c>
      <c r="P794" s="60" t="s">
        <v>3272</v>
      </c>
      <c r="Q794" s="60"/>
      <c r="R794" s="60" t="n">
        <v>4</v>
      </c>
      <c r="S794" s="60" t="n">
        <v>0</v>
      </c>
      <c r="T794" s="61"/>
      <c r="U794" s="60"/>
      <c r="V794" s="60"/>
      <c r="W794" s="60" t="s">
        <v>3273</v>
      </c>
      <c r="X794" s="4"/>
      <c r="Y794" s="4"/>
      <c r="Z794" s="4"/>
    </row>
    <row r="795" customFormat="false" ht="15.75" hidden="false" customHeight="true" outlineLevel="0" collapsed="false">
      <c r="A795" s="60"/>
      <c r="B795" s="60" t="s">
        <v>3411</v>
      </c>
      <c r="C795" s="61"/>
      <c r="D795" s="60"/>
      <c r="E795" s="60"/>
      <c r="F795" s="60" t="s">
        <v>1194</v>
      </c>
      <c r="G795" s="60" t="s">
        <v>1194</v>
      </c>
      <c r="H795" s="60" t="s">
        <v>3270</v>
      </c>
      <c r="I795" s="60" t="s">
        <v>122</v>
      </c>
      <c r="J795" s="60"/>
      <c r="K795" s="60" t="s">
        <v>421</v>
      </c>
      <c r="L795" s="60" t="n">
        <v>0.5</v>
      </c>
      <c r="M795" s="60" t="n">
        <v>2.5</v>
      </c>
      <c r="N795" s="60" t="s">
        <v>3410</v>
      </c>
      <c r="O795" s="60" t="s">
        <v>122</v>
      </c>
      <c r="P795" s="60" t="s">
        <v>3272</v>
      </c>
      <c r="Q795" s="60"/>
      <c r="R795" s="60" t="n">
        <v>4</v>
      </c>
      <c r="S795" s="60" t="n">
        <v>0</v>
      </c>
      <c r="T795" s="61"/>
      <c r="U795" s="60"/>
      <c r="V795" s="60"/>
      <c r="W795" s="60" t="s">
        <v>3273</v>
      </c>
      <c r="X795" s="4"/>
      <c r="Y795" s="4"/>
      <c r="Z795" s="4"/>
    </row>
    <row r="796" customFormat="false" ht="15.75" hidden="false" customHeight="true" outlineLevel="0" collapsed="false">
      <c r="A796" s="60"/>
      <c r="B796" s="60" t="s">
        <v>3412</v>
      </c>
      <c r="C796" s="61"/>
      <c r="D796" s="60"/>
      <c r="E796" s="60"/>
      <c r="F796" s="60" t="s">
        <v>1194</v>
      </c>
      <c r="G796" s="60" t="s">
        <v>1194</v>
      </c>
      <c r="H796" s="60" t="s">
        <v>3270</v>
      </c>
      <c r="I796" s="60" t="s">
        <v>122</v>
      </c>
      <c r="J796" s="60"/>
      <c r="K796" s="60" t="s">
        <v>474</v>
      </c>
      <c r="L796" s="60" t="n">
        <v>0.5</v>
      </c>
      <c r="M796" s="60" t="n">
        <v>0.75</v>
      </c>
      <c r="N796" s="60" t="s">
        <v>3410</v>
      </c>
      <c r="O796" s="60" t="s">
        <v>122</v>
      </c>
      <c r="P796" s="60" t="s">
        <v>3272</v>
      </c>
      <c r="Q796" s="60"/>
      <c r="R796" s="60" t="n">
        <v>4</v>
      </c>
      <c r="S796" s="60" t="n">
        <v>0</v>
      </c>
      <c r="T796" s="61"/>
      <c r="U796" s="60"/>
      <c r="V796" s="60"/>
      <c r="W796" s="60" t="s">
        <v>3273</v>
      </c>
      <c r="X796" s="4"/>
      <c r="Y796" s="4"/>
      <c r="Z796" s="4"/>
    </row>
    <row r="797" customFormat="false" ht="15.75" hidden="false" customHeight="true" outlineLevel="0" collapsed="false">
      <c r="A797" s="60"/>
      <c r="B797" s="60" t="s">
        <v>3413</v>
      </c>
      <c r="C797" s="61"/>
      <c r="D797" s="60"/>
      <c r="E797" s="60"/>
      <c r="F797" s="60" t="s">
        <v>1194</v>
      </c>
      <c r="G797" s="60" t="s">
        <v>1194</v>
      </c>
      <c r="H797" s="60" t="s">
        <v>3270</v>
      </c>
      <c r="I797" s="60" t="s">
        <v>122</v>
      </c>
      <c r="J797" s="60"/>
      <c r="K797" s="60" t="s">
        <v>3280</v>
      </c>
      <c r="L797" s="60" t="n">
        <v>0.5</v>
      </c>
      <c r="M797" s="60" t="n">
        <v>3.5</v>
      </c>
      <c r="N797" s="60" t="s">
        <v>3410</v>
      </c>
      <c r="O797" s="60" t="s">
        <v>122</v>
      </c>
      <c r="P797" s="60" t="s">
        <v>3272</v>
      </c>
      <c r="Q797" s="60"/>
      <c r="R797" s="60" t="n">
        <v>4</v>
      </c>
      <c r="S797" s="60" t="n">
        <v>0</v>
      </c>
      <c r="T797" s="61"/>
      <c r="U797" s="60"/>
      <c r="V797" s="60"/>
      <c r="W797" s="60" t="s">
        <v>3273</v>
      </c>
      <c r="X797" s="4"/>
      <c r="Y797" s="4"/>
      <c r="Z797" s="4"/>
    </row>
    <row r="798" customFormat="false" ht="15.75" hidden="false" customHeight="true" outlineLevel="0" collapsed="false">
      <c r="A798" s="60"/>
      <c r="B798" s="60" t="s">
        <v>3414</v>
      </c>
      <c r="C798" s="61"/>
      <c r="D798" s="60"/>
      <c r="E798" s="60"/>
      <c r="F798" s="60" t="s">
        <v>1194</v>
      </c>
      <c r="G798" s="60" t="s">
        <v>1194</v>
      </c>
      <c r="H798" s="60" t="s">
        <v>3270</v>
      </c>
      <c r="I798" s="60" t="s">
        <v>122</v>
      </c>
      <c r="J798" s="60"/>
      <c r="K798" s="60" t="s">
        <v>3282</v>
      </c>
      <c r="L798" s="60" t="n">
        <v>0.5</v>
      </c>
      <c r="M798" s="60" t="n">
        <v>5.5</v>
      </c>
      <c r="N798" s="60" t="s">
        <v>3410</v>
      </c>
      <c r="O798" s="60" t="s">
        <v>122</v>
      </c>
      <c r="P798" s="60" t="s">
        <v>3272</v>
      </c>
      <c r="Q798" s="60"/>
      <c r="R798" s="60" t="n">
        <v>4</v>
      </c>
      <c r="S798" s="60" t="n">
        <v>0</v>
      </c>
      <c r="T798" s="61"/>
      <c r="U798" s="60"/>
      <c r="V798" s="60"/>
      <c r="W798" s="60" t="s">
        <v>3273</v>
      </c>
      <c r="X798" s="4"/>
      <c r="Y798" s="4"/>
      <c r="Z798" s="4"/>
    </row>
    <row r="799" customFormat="false" ht="15.75" hidden="false" customHeight="true" outlineLevel="0" collapsed="false">
      <c r="A799" s="60"/>
      <c r="B799" s="60" t="s">
        <v>3415</v>
      </c>
      <c r="C799" s="61"/>
      <c r="D799" s="60"/>
      <c r="E799" s="60"/>
      <c r="F799" s="60" t="s">
        <v>1194</v>
      </c>
      <c r="G799" s="60" t="s">
        <v>1194</v>
      </c>
      <c r="H799" s="60" t="s">
        <v>3270</v>
      </c>
      <c r="I799" s="60" t="s">
        <v>122</v>
      </c>
      <c r="J799" s="60"/>
      <c r="K799" s="60" t="s">
        <v>3284</v>
      </c>
      <c r="L799" s="60" t="n">
        <v>0.5</v>
      </c>
      <c r="M799" s="60" t="n">
        <v>7.25</v>
      </c>
      <c r="N799" s="60" t="s">
        <v>3410</v>
      </c>
      <c r="O799" s="60" t="s">
        <v>122</v>
      </c>
      <c r="P799" s="60" t="s">
        <v>3272</v>
      </c>
      <c r="Q799" s="60"/>
      <c r="R799" s="60" t="n">
        <v>4</v>
      </c>
      <c r="S799" s="60" t="n">
        <v>0</v>
      </c>
      <c r="T799" s="61"/>
      <c r="U799" s="60"/>
      <c r="V799" s="60"/>
      <c r="W799" s="60" t="s">
        <v>3273</v>
      </c>
      <c r="X799" s="4"/>
      <c r="Y799" s="4"/>
      <c r="Z799" s="4"/>
    </row>
    <row r="800" customFormat="false" ht="15.75" hidden="false" customHeight="true" outlineLevel="0" collapsed="false">
      <c r="A800" s="60"/>
      <c r="B800" s="60" t="s">
        <v>3416</v>
      </c>
      <c r="C800" s="61"/>
      <c r="D800" s="60"/>
      <c r="E800" s="60"/>
      <c r="F800" s="60" t="s">
        <v>1194</v>
      </c>
      <c r="G800" s="60" t="s">
        <v>1194</v>
      </c>
      <c r="H800" s="60" t="s">
        <v>3270</v>
      </c>
      <c r="I800" s="60" t="s">
        <v>122</v>
      </c>
      <c r="J800" s="60"/>
      <c r="K800" s="60" t="s">
        <v>3288</v>
      </c>
      <c r="L800" s="60" t="n">
        <v>0.25</v>
      </c>
      <c r="M800" s="60" t="n">
        <v>2.5</v>
      </c>
      <c r="N800" s="60" t="s">
        <v>3410</v>
      </c>
      <c r="O800" s="60" t="s">
        <v>122</v>
      </c>
      <c r="P800" s="60" t="s">
        <v>3272</v>
      </c>
      <c r="Q800" s="60"/>
      <c r="R800" s="60" t="n">
        <v>4</v>
      </c>
      <c r="S800" s="60" t="n">
        <v>0</v>
      </c>
      <c r="T800" s="61"/>
      <c r="U800" s="60"/>
      <c r="V800" s="60"/>
      <c r="W800" s="60" t="s">
        <v>3273</v>
      </c>
      <c r="X800" s="4"/>
      <c r="Y800" s="4"/>
      <c r="Z800" s="4"/>
    </row>
    <row r="801" customFormat="false" ht="15.75" hidden="false" customHeight="true" outlineLevel="0" collapsed="false">
      <c r="A801" s="60"/>
      <c r="B801" s="60" t="s">
        <v>3417</v>
      </c>
      <c r="C801" s="61"/>
      <c r="D801" s="60"/>
      <c r="E801" s="60"/>
      <c r="F801" s="60" t="s">
        <v>1194</v>
      </c>
      <c r="G801" s="60" t="s">
        <v>1194</v>
      </c>
      <c r="H801" s="60" t="s">
        <v>3270</v>
      </c>
      <c r="I801" s="60" t="s">
        <v>122</v>
      </c>
      <c r="J801" s="60"/>
      <c r="K801" s="60" t="s">
        <v>471</v>
      </c>
      <c r="L801" s="60" t="n">
        <v>0.25</v>
      </c>
      <c r="M801" s="60" t="n">
        <v>0.75</v>
      </c>
      <c r="N801" s="60" t="s">
        <v>3410</v>
      </c>
      <c r="O801" s="60" t="s">
        <v>122</v>
      </c>
      <c r="P801" s="60" t="s">
        <v>3272</v>
      </c>
      <c r="Q801" s="60"/>
      <c r="R801" s="60" t="n">
        <v>4</v>
      </c>
      <c r="S801" s="60" t="n">
        <v>0</v>
      </c>
      <c r="T801" s="61"/>
      <c r="U801" s="60"/>
      <c r="V801" s="60"/>
      <c r="W801" s="60" t="s">
        <v>3273</v>
      </c>
      <c r="X801" s="4"/>
      <c r="Y801" s="4"/>
      <c r="Z801" s="4"/>
    </row>
    <row r="802" customFormat="false" ht="15.75" hidden="false" customHeight="true" outlineLevel="0" collapsed="false">
      <c r="A802" s="60"/>
      <c r="B802" s="60" t="s">
        <v>3418</v>
      </c>
      <c r="C802" s="61"/>
      <c r="D802" s="60"/>
      <c r="E802" s="60"/>
      <c r="F802" s="60" t="s">
        <v>1194</v>
      </c>
      <c r="G802" s="60" t="s">
        <v>1194</v>
      </c>
      <c r="H802" s="60" t="s">
        <v>3270</v>
      </c>
      <c r="I802" s="60" t="s">
        <v>122</v>
      </c>
      <c r="J802" s="60"/>
      <c r="K802" s="60" t="s">
        <v>3291</v>
      </c>
      <c r="L802" s="60" t="n">
        <v>0.25</v>
      </c>
      <c r="M802" s="60" t="n">
        <v>3.5</v>
      </c>
      <c r="N802" s="60" t="s">
        <v>3410</v>
      </c>
      <c r="O802" s="60" t="s">
        <v>122</v>
      </c>
      <c r="P802" s="60" t="s">
        <v>3272</v>
      </c>
      <c r="Q802" s="60"/>
      <c r="R802" s="60" t="n">
        <v>4</v>
      </c>
      <c r="S802" s="60" t="n">
        <v>0</v>
      </c>
      <c r="T802" s="61"/>
      <c r="U802" s="60"/>
      <c r="V802" s="60"/>
      <c r="W802" s="60" t="s">
        <v>3273</v>
      </c>
      <c r="X802" s="4"/>
      <c r="Y802" s="4"/>
      <c r="Z802" s="4"/>
    </row>
    <row r="803" customFormat="false" ht="15.75" hidden="false" customHeight="true" outlineLevel="0" collapsed="false">
      <c r="A803" s="60"/>
      <c r="B803" s="60" t="s">
        <v>3419</v>
      </c>
      <c r="C803" s="61"/>
      <c r="D803" s="60"/>
      <c r="E803" s="60"/>
      <c r="F803" s="60" t="s">
        <v>1194</v>
      </c>
      <c r="G803" s="60" t="s">
        <v>1194</v>
      </c>
      <c r="H803" s="60" t="s">
        <v>3270</v>
      </c>
      <c r="I803" s="60" t="s">
        <v>122</v>
      </c>
      <c r="J803" s="60"/>
      <c r="K803" s="60" t="s">
        <v>3293</v>
      </c>
      <c r="L803" s="60" t="n">
        <v>0.25</v>
      </c>
      <c r="M803" s="60" t="n">
        <v>5.5</v>
      </c>
      <c r="N803" s="60" t="s">
        <v>3410</v>
      </c>
      <c r="O803" s="60" t="s">
        <v>122</v>
      </c>
      <c r="P803" s="60" t="s">
        <v>3272</v>
      </c>
      <c r="Q803" s="60"/>
      <c r="R803" s="60" t="n">
        <v>4</v>
      </c>
      <c r="S803" s="60" t="n">
        <v>0</v>
      </c>
      <c r="T803" s="61"/>
      <c r="U803" s="60"/>
      <c r="V803" s="60"/>
      <c r="W803" s="60" t="s">
        <v>3273</v>
      </c>
      <c r="X803" s="4"/>
      <c r="Y803" s="4"/>
      <c r="Z803" s="4"/>
    </row>
    <row r="804" customFormat="false" ht="15.75" hidden="false" customHeight="true" outlineLevel="0" collapsed="false">
      <c r="A804" s="60"/>
      <c r="B804" s="60" t="s">
        <v>3420</v>
      </c>
      <c r="C804" s="61"/>
      <c r="D804" s="60"/>
      <c r="E804" s="60"/>
      <c r="F804" s="60" t="s">
        <v>1194</v>
      </c>
      <c r="G804" s="60" t="s">
        <v>1194</v>
      </c>
      <c r="H804" s="60" t="s">
        <v>3270</v>
      </c>
      <c r="I804" s="60" t="s">
        <v>122</v>
      </c>
      <c r="J804" s="60"/>
      <c r="K804" s="60" t="s">
        <v>3303</v>
      </c>
      <c r="L804" s="60" t="n">
        <v>1.625</v>
      </c>
      <c r="M804" s="60" t="n">
        <v>11.25</v>
      </c>
      <c r="N804" s="60" t="s">
        <v>3410</v>
      </c>
      <c r="O804" s="60" t="s">
        <v>122</v>
      </c>
      <c r="P804" s="60" t="s">
        <v>3272</v>
      </c>
      <c r="Q804" s="60"/>
      <c r="R804" s="60" t="n">
        <v>4</v>
      </c>
      <c r="S804" s="60" t="n">
        <v>0</v>
      </c>
      <c r="T804" s="61"/>
      <c r="U804" s="60"/>
      <c r="V804" s="60"/>
      <c r="W804" s="60" t="s">
        <v>3273</v>
      </c>
      <c r="X804" s="4"/>
      <c r="Y804" s="4"/>
      <c r="Z804" s="4"/>
    </row>
    <row r="805" customFormat="false" ht="15.75" hidden="false" customHeight="true" outlineLevel="0" collapsed="false">
      <c r="A805" s="60"/>
      <c r="B805" s="60" t="s">
        <v>3421</v>
      </c>
      <c r="C805" s="61"/>
      <c r="D805" s="60"/>
      <c r="E805" s="60"/>
      <c r="F805" s="60" t="s">
        <v>1194</v>
      </c>
      <c r="G805" s="60" t="s">
        <v>1194</v>
      </c>
      <c r="H805" s="60" t="s">
        <v>3270</v>
      </c>
      <c r="I805" s="60" t="s">
        <v>122</v>
      </c>
      <c r="J805" s="60"/>
      <c r="K805" s="60" t="s">
        <v>155</v>
      </c>
      <c r="L805" s="60" t="n">
        <v>1.625</v>
      </c>
      <c r="M805" s="60" t="n">
        <v>1.625</v>
      </c>
      <c r="N805" s="60" t="s">
        <v>3410</v>
      </c>
      <c r="O805" s="60" t="s">
        <v>122</v>
      </c>
      <c r="P805" s="60" t="s">
        <v>3272</v>
      </c>
      <c r="Q805" s="60"/>
      <c r="R805" s="60" t="n">
        <v>4</v>
      </c>
      <c r="S805" s="60" t="n">
        <v>0</v>
      </c>
      <c r="T805" s="61"/>
      <c r="U805" s="60"/>
      <c r="V805" s="60"/>
      <c r="W805" s="60" t="s">
        <v>3273</v>
      </c>
      <c r="X805" s="4"/>
      <c r="Y805" s="4"/>
      <c r="Z805" s="4"/>
    </row>
    <row r="806" customFormat="false" ht="15.75" hidden="false" customHeight="true" outlineLevel="0" collapsed="false">
      <c r="A806" s="60"/>
      <c r="B806" s="60" t="s">
        <v>3422</v>
      </c>
      <c r="C806" s="61"/>
      <c r="D806" s="60"/>
      <c r="E806" s="60"/>
      <c r="F806" s="60" t="s">
        <v>1194</v>
      </c>
      <c r="G806" s="60" t="s">
        <v>1194</v>
      </c>
      <c r="H806" s="60" t="s">
        <v>3270</v>
      </c>
      <c r="I806" s="60" t="s">
        <v>122</v>
      </c>
      <c r="J806" s="60"/>
      <c r="K806" s="60" t="s">
        <v>3306</v>
      </c>
      <c r="L806" s="60" t="n">
        <v>1.625</v>
      </c>
      <c r="M806" s="60" t="n">
        <v>2.5</v>
      </c>
      <c r="N806" s="60" t="s">
        <v>3410</v>
      </c>
      <c r="O806" s="60" t="s">
        <v>122</v>
      </c>
      <c r="P806" s="60" t="s">
        <v>3272</v>
      </c>
      <c r="Q806" s="60"/>
      <c r="R806" s="60" t="n">
        <v>4</v>
      </c>
      <c r="S806" s="60" t="n">
        <v>0</v>
      </c>
      <c r="T806" s="61"/>
      <c r="U806" s="60"/>
      <c r="V806" s="60"/>
      <c r="W806" s="60" t="s">
        <v>3273</v>
      </c>
      <c r="X806" s="4"/>
      <c r="Y806" s="4"/>
      <c r="Z806" s="4"/>
    </row>
    <row r="807" customFormat="false" ht="15.75" hidden="false" customHeight="true" outlineLevel="0" collapsed="false">
      <c r="A807" s="60"/>
      <c r="B807" s="60" t="s">
        <v>3423</v>
      </c>
      <c r="C807" s="61"/>
      <c r="D807" s="60"/>
      <c r="E807" s="60"/>
      <c r="F807" s="60" t="s">
        <v>1194</v>
      </c>
      <c r="G807" s="60" t="s">
        <v>1194</v>
      </c>
      <c r="H807" s="60" t="s">
        <v>3270</v>
      </c>
      <c r="I807" s="60" t="s">
        <v>122</v>
      </c>
      <c r="J807" s="60"/>
      <c r="K807" s="60" t="s">
        <v>3308</v>
      </c>
      <c r="L807" s="60" t="n">
        <v>1.625</v>
      </c>
      <c r="M807" s="60" t="n">
        <v>3.5</v>
      </c>
      <c r="N807" s="60" t="s">
        <v>3410</v>
      </c>
      <c r="O807" s="60" t="s">
        <v>122</v>
      </c>
      <c r="P807" s="60" t="s">
        <v>3272</v>
      </c>
      <c r="Q807" s="60"/>
      <c r="R807" s="60" t="n">
        <v>4</v>
      </c>
      <c r="S807" s="60" t="n">
        <v>0</v>
      </c>
      <c r="T807" s="61"/>
      <c r="U807" s="60"/>
      <c r="V807" s="60"/>
      <c r="W807" s="60" t="s">
        <v>3273</v>
      </c>
      <c r="X807" s="4"/>
      <c r="Y807" s="4"/>
      <c r="Z807" s="4"/>
    </row>
    <row r="808" customFormat="false" ht="15.75" hidden="false" customHeight="true" outlineLevel="0" collapsed="false">
      <c r="A808" s="60"/>
      <c r="B808" s="60" t="s">
        <v>3424</v>
      </c>
      <c r="C808" s="61"/>
      <c r="D808" s="60"/>
      <c r="E808" s="60"/>
      <c r="F808" s="60" t="s">
        <v>1194</v>
      </c>
      <c r="G808" s="60" t="s">
        <v>1194</v>
      </c>
      <c r="H808" s="60" t="s">
        <v>3270</v>
      </c>
      <c r="I808" s="60" t="s">
        <v>122</v>
      </c>
      <c r="J808" s="60"/>
      <c r="K808" s="60" t="s">
        <v>3310</v>
      </c>
      <c r="L808" s="60" t="n">
        <v>1.625</v>
      </c>
      <c r="M808" s="60" t="n">
        <v>5.5</v>
      </c>
      <c r="N808" s="60" t="s">
        <v>3410</v>
      </c>
      <c r="O808" s="60" t="s">
        <v>122</v>
      </c>
      <c r="P808" s="60" t="s">
        <v>3272</v>
      </c>
      <c r="Q808" s="60"/>
      <c r="R808" s="60" t="n">
        <v>4</v>
      </c>
      <c r="S808" s="60" t="n">
        <v>0</v>
      </c>
      <c r="T808" s="61"/>
      <c r="U808" s="60"/>
      <c r="V808" s="60"/>
      <c r="W808" s="60" t="s">
        <v>3273</v>
      </c>
      <c r="X808" s="4"/>
      <c r="Y808" s="4"/>
      <c r="Z808" s="4"/>
    </row>
    <row r="809" customFormat="false" ht="15.75" hidden="false" customHeight="true" outlineLevel="0" collapsed="false">
      <c r="A809" s="60"/>
      <c r="B809" s="60" t="s">
        <v>3425</v>
      </c>
      <c r="C809" s="61"/>
      <c r="D809" s="60"/>
      <c r="E809" s="60"/>
      <c r="F809" s="60" t="s">
        <v>1194</v>
      </c>
      <c r="G809" s="60" t="s">
        <v>1194</v>
      </c>
      <c r="H809" s="60" t="s">
        <v>3270</v>
      </c>
      <c r="I809" s="60" t="s">
        <v>122</v>
      </c>
      <c r="J809" s="60"/>
      <c r="K809" s="60" t="s">
        <v>3312</v>
      </c>
      <c r="L809" s="60" t="n">
        <v>1.625</v>
      </c>
      <c r="M809" s="60" t="n">
        <v>7.25</v>
      </c>
      <c r="N809" s="60" t="s">
        <v>3410</v>
      </c>
      <c r="O809" s="60" t="s">
        <v>122</v>
      </c>
      <c r="P809" s="60" t="s">
        <v>3272</v>
      </c>
      <c r="Q809" s="60"/>
      <c r="R809" s="60" t="n">
        <v>4</v>
      </c>
      <c r="S809" s="60" t="n">
        <v>0</v>
      </c>
      <c r="T809" s="61"/>
      <c r="U809" s="60"/>
      <c r="V809" s="60"/>
      <c r="W809" s="60" t="s">
        <v>3273</v>
      </c>
      <c r="X809" s="4"/>
      <c r="Y809" s="4"/>
      <c r="Z809" s="4"/>
    </row>
    <row r="810" customFormat="false" ht="15.75" hidden="false" customHeight="true" outlineLevel="0" collapsed="false">
      <c r="A810" s="60"/>
      <c r="B810" s="60" t="s">
        <v>3426</v>
      </c>
      <c r="C810" s="61"/>
      <c r="D810" s="60"/>
      <c r="E810" s="60"/>
      <c r="F810" s="60" t="s">
        <v>1194</v>
      </c>
      <c r="G810" s="60" t="s">
        <v>1194</v>
      </c>
      <c r="H810" s="60" t="s">
        <v>3270</v>
      </c>
      <c r="I810" s="60" t="s">
        <v>122</v>
      </c>
      <c r="J810" s="60"/>
      <c r="K810" s="60" t="s">
        <v>3314</v>
      </c>
      <c r="L810" s="60" t="n">
        <v>1.625</v>
      </c>
      <c r="M810" s="60" t="n">
        <v>9.25</v>
      </c>
      <c r="N810" s="60" t="s">
        <v>3410</v>
      </c>
      <c r="O810" s="60" t="s">
        <v>122</v>
      </c>
      <c r="P810" s="60" t="s">
        <v>3272</v>
      </c>
      <c r="Q810" s="60"/>
      <c r="R810" s="60" t="n">
        <v>4</v>
      </c>
      <c r="S810" s="60" t="n">
        <v>0</v>
      </c>
      <c r="T810" s="61"/>
      <c r="U810" s="60"/>
      <c r="V810" s="60"/>
      <c r="W810" s="60" t="s">
        <v>3273</v>
      </c>
      <c r="X810" s="4"/>
      <c r="Y810" s="4"/>
      <c r="Z810" s="4"/>
    </row>
    <row r="811" customFormat="false" ht="15.75" hidden="false" customHeight="true" outlineLevel="0" collapsed="false">
      <c r="A811" s="60"/>
      <c r="B811" s="60" t="s">
        <v>3427</v>
      </c>
      <c r="C811" s="61"/>
      <c r="D811" s="60"/>
      <c r="E811" s="60"/>
      <c r="F811" s="60" t="s">
        <v>1194</v>
      </c>
      <c r="G811" s="60" t="s">
        <v>1194</v>
      </c>
      <c r="H811" s="60" t="s">
        <v>3270</v>
      </c>
      <c r="I811" s="60" t="s">
        <v>122</v>
      </c>
      <c r="J811" s="60"/>
      <c r="K811" s="60" t="s">
        <v>169</v>
      </c>
      <c r="L811" s="60" t="n">
        <v>0.75</v>
      </c>
      <c r="M811" s="60" t="n">
        <v>1.5</v>
      </c>
      <c r="N811" s="60" t="s">
        <v>3410</v>
      </c>
      <c r="O811" s="60" t="s">
        <v>122</v>
      </c>
      <c r="P811" s="60" t="s">
        <v>3272</v>
      </c>
      <c r="Q811" s="60"/>
      <c r="R811" s="60" t="n">
        <v>4</v>
      </c>
      <c r="S811" s="60" t="n">
        <v>0</v>
      </c>
      <c r="T811" s="61"/>
      <c r="U811" s="60"/>
      <c r="V811" s="60"/>
      <c r="W811" s="60" t="s">
        <v>3273</v>
      </c>
      <c r="X811" s="4"/>
      <c r="Y811" s="4"/>
      <c r="Z811" s="4"/>
    </row>
    <row r="812" customFormat="false" ht="15.75" hidden="false" customHeight="true" outlineLevel="0" collapsed="false">
      <c r="A812" s="60"/>
      <c r="B812" s="60" t="s">
        <v>3428</v>
      </c>
      <c r="C812" s="61"/>
      <c r="D812" s="60"/>
      <c r="E812" s="60"/>
      <c r="F812" s="60" t="s">
        <v>1194</v>
      </c>
      <c r="G812" s="60" t="s">
        <v>1194</v>
      </c>
      <c r="H812" s="60" t="s">
        <v>3270</v>
      </c>
      <c r="I812" s="60" t="s">
        <v>122</v>
      </c>
      <c r="J812" s="60"/>
      <c r="K812" s="60" t="s">
        <v>3322</v>
      </c>
      <c r="L812" s="60" t="n">
        <v>0.75</v>
      </c>
      <c r="M812" s="60" t="n">
        <v>11.25</v>
      </c>
      <c r="N812" s="60" t="s">
        <v>3410</v>
      </c>
      <c r="O812" s="60" t="s">
        <v>122</v>
      </c>
      <c r="P812" s="60" t="s">
        <v>3272</v>
      </c>
      <c r="Q812" s="60"/>
      <c r="R812" s="60" t="n">
        <v>4</v>
      </c>
      <c r="S812" s="60" t="n">
        <v>0</v>
      </c>
      <c r="T812" s="61"/>
      <c r="U812" s="60"/>
      <c r="V812" s="60"/>
      <c r="W812" s="60" t="s">
        <v>3273</v>
      </c>
      <c r="X812" s="4"/>
      <c r="Y812" s="4"/>
      <c r="Z812" s="4"/>
    </row>
    <row r="813" customFormat="false" ht="15.75" hidden="false" customHeight="true" outlineLevel="0" collapsed="false">
      <c r="A813" s="60"/>
      <c r="B813" s="60" t="s">
        <v>3429</v>
      </c>
      <c r="C813" s="61"/>
      <c r="D813" s="60"/>
      <c r="E813" s="60"/>
      <c r="F813" s="60" t="s">
        <v>1194</v>
      </c>
      <c r="G813" s="60" t="s">
        <v>1194</v>
      </c>
      <c r="H813" s="60" t="s">
        <v>3270</v>
      </c>
      <c r="I813" s="60" t="s">
        <v>122</v>
      </c>
      <c r="J813" s="60"/>
      <c r="K813" s="60" t="s">
        <v>3430</v>
      </c>
      <c r="L813" s="60" t="n">
        <v>0.75</v>
      </c>
      <c r="M813" s="60" t="n">
        <v>2</v>
      </c>
      <c r="N813" s="60" t="s">
        <v>3410</v>
      </c>
      <c r="O813" s="60" t="s">
        <v>122</v>
      </c>
      <c r="P813" s="60" t="s">
        <v>3272</v>
      </c>
      <c r="Q813" s="60"/>
      <c r="R813" s="60" t="n">
        <v>4</v>
      </c>
      <c r="S813" s="60" t="n">
        <v>0</v>
      </c>
      <c r="T813" s="61"/>
      <c r="U813" s="60"/>
      <c r="V813" s="60"/>
      <c r="W813" s="60" t="s">
        <v>3273</v>
      </c>
      <c r="X813" s="4"/>
      <c r="Y813" s="4"/>
      <c r="Z813" s="4"/>
    </row>
    <row r="814" customFormat="false" ht="15.75" hidden="false" customHeight="true" outlineLevel="0" collapsed="false">
      <c r="A814" s="60"/>
      <c r="B814" s="60" t="s">
        <v>3431</v>
      </c>
      <c r="C814" s="61"/>
      <c r="D814" s="60"/>
      <c r="E814" s="60"/>
      <c r="F814" s="60" t="s">
        <v>1194</v>
      </c>
      <c r="G814" s="60" t="s">
        <v>1194</v>
      </c>
      <c r="H814" s="60" t="s">
        <v>3270</v>
      </c>
      <c r="I814" s="60" t="s">
        <v>122</v>
      </c>
      <c r="J814" s="60"/>
      <c r="K814" s="60" t="s">
        <v>284</v>
      </c>
      <c r="L814" s="60" t="n">
        <v>0.75</v>
      </c>
      <c r="M814" s="60" t="n">
        <v>2.5</v>
      </c>
      <c r="N814" s="60" t="s">
        <v>3410</v>
      </c>
      <c r="O814" s="60" t="s">
        <v>122</v>
      </c>
      <c r="P814" s="60" t="s">
        <v>3272</v>
      </c>
      <c r="Q814" s="60"/>
      <c r="R814" s="60" t="n">
        <v>4</v>
      </c>
      <c r="S814" s="60" t="n">
        <v>0</v>
      </c>
      <c r="T814" s="61"/>
      <c r="U814" s="60"/>
      <c r="V814" s="60"/>
      <c r="W814" s="60" t="s">
        <v>3273</v>
      </c>
      <c r="X814" s="4"/>
      <c r="Y814" s="4"/>
      <c r="Z814" s="4"/>
    </row>
    <row r="815" customFormat="false" ht="15.75" hidden="false" customHeight="true" outlineLevel="0" collapsed="false">
      <c r="A815" s="60"/>
      <c r="B815" s="60" t="s">
        <v>3432</v>
      </c>
      <c r="C815" s="61"/>
      <c r="D815" s="60"/>
      <c r="E815" s="60"/>
      <c r="F815" s="60" t="s">
        <v>1194</v>
      </c>
      <c r="G815" s="60" t="s">
        <v>1194</v>
      </c>
      <c r="H815" s="60" t="s">
        <v>3270</v>
      </c>
      <c r="I815" s="60" t="s">
        <v>122</v>
      </c>
      <c r="J815" s="60"/>
      <c r="K815" s="60" t="s">
        <v>329</v>
      </c>
      <c r="L815" s="60" t="n">
        <v>0.75</v>
      </c>
      <c r="M815" s="60" t="n">
        <v>3.5</v>
      </c>
      <c r="N815" s="60" t="s">
        <v>3410</v>
      </c>
      <c r="O815" s="60" t="s">
        <v>122</v>
      </c>
      <c r="P815" s="60" t="s">
        <v>3272</v>
      </c>
      <c r="Q815" s="60"/>
      <c r="R815" s="60" t="n">
        <v>4</v>
      </c>
      <c r="S815" s="60" t="n">
        <v>0</v>
      </c>
      <c r="T815" s="61"/>
      <c r="U815" s="60"/>
      <c r="V815" s="60"/>
      <c r="W815" s="60" t="s">
        <v>3273</v>
      </c>
      <c r="X815" s="4"/>
      <c r="Y815" s="4"/>
      <c r="Z815" s="4"/>
    </row>
    <row r="816" customFormat="false" ht="15.75" hidden="false" customHeight="true" outlineLevel="0" collapsed="false">
      <c r="A816" s="60"/>
      <c r="B816" s="60" t="s">
        <v>3433</v>
      </c>
      <c r="C816" s="61"/>
      <c r="D816" s="60"/>
      <c r="E816" s="60"/>
      <c r="F816" s="60" t="s">
        <v>1194</v>
      </c>
      <c r="G816" s="60" t="s">
        <v>1194</v>
      </c>
      <c r="H816" s="60" t="s">
        <v>3270</v>
      </c>
      <c r="I816" s="60" t="s">
        <v>122</v>
      </c>
      <c r="J816" s="60"/>
      <c r="K816" s="60" t="s">
        <v>3329</v>
      </c>
      <c r="L816" s="60" t="n">
        <v>0.75</v>
      </c>
      <c r="M816" s="60" t="n">
        <v>4.625</v>
      </c>
      <c r="N816" s="60" t="s">
        <v>3410</v>
      </c>
      <c r="O816" s="60" t="s">
        <v>122</v>
      </c>
      <c r="P816" s="60" t="s">
        <v>3272</v>
      </c>
      <c r="Q816" s="60"/>
      <c r="R816" s="60" t="n">
        <v>4</v>
      </c>
      <c r="S816" s="60" t="n">
        <v>0</v>
      </c>
      <c r="T816" s="61"/>
      <c r="U816" s="60"/>
      <c r="V816" s="60"/>
      <c r="W816" s="60" t="s">
        <v>3273</v>
      </c>
      <c r="X816" s="4"/>
      <c r="Y816" s="4"/>
      <c r="Z816" s="4"/>
    </row>
    <row r="817" customFormat="false" ht="15.75" hidden="false" customHeight="true" outlineLevel="0" collapsed="false">
      <c r="A817" s="60"/>
      <c r="B817" s="60" t="s">
        <v>3434</v>
      </c>
      <c r="C817" s="61"/>
      <c r="D817" s="60"/>
      <c r="E817" s="60"/>
      <c r="F817" s="60" t="s">
        <v>1194</v>
      </c>
      <c r="G817" s="60" t="s">
        <v>1194</v>
      </c>
      <c r="H817" s="60" t="s">
        <v>3270</v>
      </c>
      <c r="I817" s="60" t="s">
        <v>122</v>
      </c>
      <c r="J817" s="60"/>
      <c r="K817" s="60" t="s">
        <v>701</v>
      </c>
      <c r="L817" s="60" t="n">
        <v>0.75</v>
      </c>
      <c r="M817" s="60" t="n">
        <v>5.5</v>
      </c>
      <c r="N817" s="60" t="s">
        <v>3410</v>
      </c>
      <c r="O817" s="60" t="s">
        <v>122</v>
      </c>
      <c r="P817" s="60" t="s">
        <v>3272</v>
      </c>
      <c r="Q817" s="60"/>
      <c r="R817" s="60" t="n">
        <v>4</v>
      </c>
      <c r="S817" s="60" t="n">
        <v>0</v>
      </c>
      <c r="T817" s="61"/>
      <c r="U817" s="60"/>
      <c r="V817" s="60"/>
      <c r="W817" s="60" t="s">
        <v>3273</v>
      </c>
      <c r="X817" s="4"/>
      <c r="Y817" s="4"/>
      <c r="Z817" s="4"/>
    </row>
    <row r="818" customFormat="false" ht="15.75" hidden="false" customHeight="true" outlineLevel="0" collapsed="false">
      <c r="A818" s="60"/>
      <c r="B818" s="60" t="s">
        <v>3435</v>
      </c>
      <c r="C818" s="61"/>
      <c r="D818" s="60"/>
      <c r="E818" s="60"/>
      <c r="F818" s="60" t="s">
        <v>1194</v>
      </c>
      <c r="G818" s="60" t="s">
        <v>1194</v>
      </c>
      <c r="H818" s="60" t="s">
        <v>3270</v>
      </c>
      <c r="I818" s="60" t="s">
        <v>122</v>
      </c>
      <c r="J818" s="60"/>
      <c r="K818" s="60" t="s">
        <v>219</v>
      </c>
      <c r="L818" s="60" t="n">
        <v>0.75</v>
      </c>
      <c r="M818" s="60" t="n">
        <v>7.25</v>
      </c>
      <c r="N818" s="60" t="s">
        <v>3410</v>
      </c>
      <c r="O818" s="60" t="s">
        <v>122</v>
      </c>
      <c r="P818" s="60" t="s">
        <v>3272</v>
      </c>
      <c r="Q818" s="60"/>
      <c r="R818" s="60" t="n">
        <v>4</v>
      </c>
      <c r="S818" s="60" t="n">
        <v>0</v>
      </c>
      <c r="T818" s="61"/>
      <c r="U818" s="60"/>
      <c r="V818" s="60"/>
      <c r="W818" s="60" t="s">
        <v>3273</v>
      </c>
      <c r="X818" s="4"/>
      <c r="Y818" s="4"/>
      <c r="Z818" s="4"/>
    </row>
    <row r="819" customFormat="false" ht="15.75" hidden="false" customHeight="true" outlineLevel="0" collapsed="false">
      <c r="A819" s="60"/>
      <c r="B819" s="60" t="s">
        <v>3436</v>
      </c>
      <c r="C819" s="61"/>
      <c r="D819" s="60"/>
      <c r="E819" s="60"/>
      <c r="F819" s="60" t="s">
        <v>1194</v>
      </c>
      <c r="G819" s="60" t="s">
        <v>1194</v>
      </c>
      <c r="H819" s="60" t="s">
        <v>3270</v>
      </c>
      <c r="I819" s="60" t="s">
        <v>122</v>
      </c>
      <c r="J819" s="60"/>
      <c r="K819" s="60" t="s">
        <v>3335</v>
      </c>
      <c r="L819" s="60" t="n">
        <v>0.75</v>
      </c>
      <c r="M819" s="60" t="n">
        <v>9.25</v>
      </c>
      <c r="N819" s="60" t="s">
        <v>3410</v>
      </c>
      <c r="O819" s="60" t="s">
        <v>122</v>
      </c>
      <c r="P819" s="60" t="s">
        <v>3272</v>
      </c>
      <c r="Q819" s="60"/>
      <c r="R819" s="60" t="n">
        <v>4</v>
      </c>
      <c r="S819" s="60" t="n">
        <v>0</v>
      </c>
      <c r="T819" s="61"/>
      <c r="U819" s="60"/>
      <c r="V819" s="60"/>
      <c r="W819" s="60" t="s">
        <v>3273</v>
      </c>
      <c r="X819" s="4"/>
      <c r="Y819" s="4"/>
      <c r="Z819" s="4"/>
    </row>
    <row r="820" customFormat="false" ht="15.75" hidden="false" customHeight="true" outlineLevel="0" collapsed="false">
      <c r="A820" s="60"/>
      <c r="B820" s="60" t="s">
        <v>3437</v>
      </c>
      <c r="C820" s="61"/>
      <c r="D820" s="60"/>
      <c r="E820" s="60"/>
      <c r="F820" s="60" t="s">
        <v>1194</v>
      </c>
      <c r="G820" s="60" t="s">
        <v>1194</v>
      </c>
      <c r="H820" s="60" t="s">
        <v>3270</v>
      </c>
      <c r="I820" s="60" t="s">
        <v>122</v>
      </c>
      <c r="J820" s="60"/>
      <c r="K820" s="60" t="s">
        <v>3338</v>
      </c>
      <c r="L820" s="60" t="n">
        <v>0.3125</v>
      </c>
      <c r="M820" s="60" t="n">
        <v>1.75</v>
      </c>
      <c r="N820" s="60" t="s">
        <v>3410</v>
      </c>
      <c r="O820" s="60" t="s">
        <v>122</v>
      </c>
      <c r="P820" s="60" t="s">
        <v>3272</v>
      </c>
      <c r="Q820" s="60"/>
      <c r="R820" s="60" t="n">
        <v>6</v>
      </c>
      <c r="S820" s="60" t="n">
        <v>0</v>
      </c>
      <c r="T820" s="61"/>
      <c r="U820" s="60"/>
      <c r="V820" s="60"/>
      <c r="W820" s="60" t="s">
        <v>3273</v>
      </c>
      <c r="X820" s="4"/>
      <c r="Y820" s="4"/>
      <c r="Z820" s="4"/>
    </row>
    <row r="821" customFormat="false" ht="15.75" hidden="false" customHeight="true" outlineLevel="0" collapsed="false">
      <c r="A821" s="60"/>
      <c r="B821" s="60" t="s">
        <v>3438</v>
      </c>
      <c r="C821" s="61"/>
      <c r="D821" s="60"/>
      <c r="E821" s="60"/>
      <c r="F821" s="60" t="s">
        <v>1194</v>
      </c>
      <c r="G821" s="60" t="s">
        <v>1194</v>
      </c>
      <c r="H821" s="60" t="s">
        <v>3270</v>
      </c>
      <c r="I821" s="60" t="s">
        <v>122</v>
      </c>
      <c r="J821" s="60"/>
      <c r="K821" s="60" t="s">
        <v>3340</v>
      </c>
      <c r="L821" s="60" t="n">
        <v>0.3125</v>
      </c>
      <c r="M821" s="60" t="n">
        <v>1.3125</v>
      </c>
      <c r="N821" s="60" t="s">
        <v>3410</v>
      </c>
      <c r="O821" s="60" t="s">
        <v>122</v>
      </c>
      <c r="P821" s="60" t="s">
        <v>3272</v>
      </c>
      <c r="Q821" s="60"/>
      <c r="R821" s="60" t="n">
        <v>6</v>
      </c>
      <c r="S821" s="60" t="n">
        <v>0</v>
      </c>
      <c r="T821" s="61"/>
      <c r="U821" s="60"/>
      <c r="V821" s="60"/>
      <c r="W821" s="60" t="s">
        <v>3273</v>
      </c>
      <c r="X821" s="4"/>
      <c r="Y821" s="4"/>
      <c r="Z821" s="4"/>
    </row>
    <row r="822" customFormat="false" ht="15.75" hidden="false" customHeight="true" outlineLevel="0" collapsed="false">
      <c r="A822" s="60"/>
      <c r="B822" s="60" t="s">
        <v>3439</v>
      </c>
      <c r="C822" s="61"/>
      <c r="D822" s="60"/>
      <c r="E822" s="60"/>
      <c r="F822" s="60" t="s">
        <v>1194</v>
      </c>
      <c r="G822" s="60" t="s">
        <v>1194</v>
      </c>
      <c r="H822" s="60" t="s">
        <v>3270</v>
      </c>
      <c r="I822" s="60" t="s">
        <v>3440</v>
      </c>
      <c r="J822" s="60"/>
      <c r="K822" s="60" t="s">
        <v>3441</v>
      </c>
      <c r="L822" s="60" t="n">
        <v>1</v>
      </c>
      <c r="M822" s="60" t="n">
        <v>2</v>
      </c>
      <c r="N822" s="60" t="s">
        <v>3442</v>
      </c>
      <c r="O822" s="60" t="s">
        <v>3440</v>
      </c>
      <c r="P822" s="60" t="s">
        <v>3272</v>
      </c>
      <c r="Q822" s="60"/>
      <c r="R822" s="60" t="n">
        <v>7</v>
      </c>
      <c r="S822" s="60" t="n">
        <v>0</v>
      </c>
      <c r="T822" s="61"/>
      <c r="U822" s="60"/>
      <c r="V822" s="60"/>
      <c r="W822" s="60" t="s">
        <v>3273</v>
      </c>
      <c r="X822" s="4"/>
      <c r="Y822" s="4"/>
      <c r="Z822" s="4"/>
    </row>
    <row r="823" customFormat="false" ht="15.75" hidden="false" customHeight="true" outlineLevel="0" collapsed="false">
      <c r="A823" s="60"/>
      <c r="B823" s="60" t="s">
        <v>3443</v>
      </c>
      <c r="C823" s="61"/>
      <c r="D823" s="60"/>
      <c r="E823" s="60"/>
      <c r="F823" s="60" t="s">
        <v>1194</v>
      </c>
      <c r="G823" s="60" t="s">
        <v>1194</v>
      </c>
      <c r="H823" s="60" t="s">
        <v>3270</v>
      </c>
      <c r="I823" s="60" t="s">
        <v>3346</v>
      </c>
      <c r="J823" s="60"/>
      <c r="K823" s="60" t="s">
        <v>284</v>
      </c>
      <c r="L823" s="60" t="n">
        <v>0.75</v>
      </c>
      <c r="M823" s="60" t="n">
        <v>2.5</v>
      </c>
      <c r="N823" s="60" t="s">
        <v>3444</v>
      </c>
      <c r="O823" s="61"/>
      <c r="P823" s="60" t="s">
        <v>3272</v>
      </c>
      <c r="Q823" s="60"/>
      <c r="R823" s="60" t="n">
        <v>4</v>
      </c>
      <c r="S823" s="60" t="n">
        <v>0</v>
      </c>
      <c r="T823" s="61"/>
      <c r="U823" s="60"/>
      <c r="V823" s="60"/>
      <c r="W823" s="60" t="s">
        <v>3047</v>
      </c>
      <c r="X823" s="4"/>
      <c r="Y823" s="4"/>
      <c r="Z823" s="4"/>
    </row>
    <row r="824" customFormat="false" ht="15.75" hidden="false" customHeight="true" outlineLevel="0" collapsed="false">
      <c r="A824" s="60"/>
      <c r="B824" s="60" t="s">
        <v>3445</v>
      </c>
      <c r="C824" s="61"/>
      <c r="D824" s="60"/>
      <c r="E824" s="60"/>
      <c r="F824" s="60" t="s">
        <v>1194</v>
      </c>
      <c r="G824" s="60" t="s">
        <v>1194</v>
      </c>
      <c r="H824" s="60" t="s">
        <v>3270</v>
      </c>
      <c r="I824" s="60" t="s">
        <v>3346</v>
      </c>
      <c r="J824" s="60"/>
      <c r="K824" s="60" t="s">
        <v>329</v>
      </c>
      <c r="L824" s="60" t="n">
        <v>0.75</v>
      </c>
      <c r="M824" s="60" t="n">
        <v>3.5</v>
      </c>
      <c r="N824" s="60" t="s">
        <v>3444</v>
      </c>
      <c r="O824" s="61"/>
      <c r="P824" s="60" t="s">
        <v>3272</v>
      </c>
      <c r="Q824" s="60"/>
      <c r="R824" s="60" t="n">
        <v>4</v>
      </c>
      <c r="S824" s="60" t="n">
        <v>0</v>
      </c>
      <c r="T824" s="61"/>
      <c r="U824" s="60"/>
      <c r="V824" s="60"/>
      <c r="W824" s="60" t="s">
        <v>3047</v>
      </c>
      <c r="X824" s="4"/>
      <c r="Y824" s="4"/>
      <c r="Z824" s="4"/>
    </row>
    <row r="825" customFormat="false" ht="15.75" hidden="false" customHeight="true" outlineLevel="0" collapsed="false">
      <c r="A825" s="60"/>
      <c r="B825" s="60" t="s">
        <v>3446</v>
      </c>
      <c r="C825" s="61"/>
      <c r="D825" s="60"/>
      <c r="E825" s="60"/>
      <c r="F825" s="60" t="s">
        <v>1194</v>
      </c>
      <c r="G825" s="60" t="s">
        <v>1194</v>
      </c>
      <c r="H825" s="60" t="s">
        <v>3270</v>
      </c>
      <c r="I825" s="60" t="s">
        <v>3346</v>
      </c>
      <c r="J825" s="60"/>
      <c r="K825" s="60" t="s">
        <v>3329</v>
      </c>
      <c r="L825" s="60" t="n">
        <v>0.75</v>
      </c>
      <c r="M825" s="60" t="n">
        <v>4.625</v>
      </c>
      <c r="N825" s="60" t="s">
        <v>3444</v>
      </c>
      <c r="O825" s="61"/>
      <c r="P825" s="60" t="s">
        <v>3272</v>
      </c>
      <c r="Q825" s="60"/>
      <c r="R825" s="60" t="n">
        <v>4</v>
      </c>
      <c r="S825" s="60" t="n">
        <v>0</v>
      </c>
      <c r="T825" s="61"/>
      <c r="U825" s="60"/>
      <c r="V825" s="60"/>
      <c r="W825" s="60" t="s">
        <v>3047</v>
      </c>
      <c r="X825" s="4"/>
      <c r="Y825" s="4"/>
      <c r="Z825" s="4"/>
    </row>
    <row r="826" customFormat="false" ht="15.75" hidden="false" customHeight="true" outlineLevel="0" collapsed="false">
      <c r="A826" s="60"/>
      <c r="B826" s="60" t="s">
        <v>3447</v>
      </c>
      <c r="C826" s="61"/>
      <c r="D826" s="60"/>
      <c r="E826" s="60"/>
      <c r="F826" s="60" t="s">
        <v>1194</v>
      </c>
      <c r="G826" s="60" t="s">
        <v>1194</v>
      </c>
      <c r="H826" s="60" t="s">
        <v>3270</v>
      </c>
      <c r="I826" s="60" t="s">
        <v>3346</v>
      </c>
      <c r="J826" s="60"/>
      <c r="K826" s="60" t="s">
        <v>701</v>
      </c>
      <c r="L826" s="60" t="n">
        <v>0.75</v>
      </c>
      <c r="M826" s="60" t="n">
        <v>5.5</v>
      </c>
      <c r="N826" s="60" t="s">
        <v>3444</v>
      </c>
      <c r="O826" s="61"/>
      <c r="P826" s="60" t="s">
        <v>3272</v>
      </c>
      <c r="Q826" s="60"/>
      <c r="R826" s="60" t="n">
        <v>4</v>
      </c>
      <c r="S826" s="60" t="n">
        <v>0</v>
      </c>
      <c r="T826" s="61"/>
      <c r="U826" s="60"/>
      <c r="V826" s="60"/>
      <c r="W826" s="60" t="s">
        <v>3047</v>
      </c>
      <c r="X826" s="4"/>
      <c r="Y826" s="4"/>
      <c r="Z826" s="4"/>
    </row>
    <row r="827" customFormat="false" ht="15.75" hidden="false" customHeight="true" outlineLevel="0" collapsed="false">
      <c r="A827" s="60"/>
      <c r="B827" s="60" t="s">
        <v>3448</v>
      </c>
      <c r="C827" s="61"/>
      <c r="D827" s="60"/>
      <c r="E827" s="60"/>
      <c r="F827" s="60" t="s">
        <v>1194</v>
      </c>
      <c r="G827" s="60" t="s">
        <v>1194</v>
      </c>
      <c r="H827" s="60" t="s">
        <v>3270</v>
      </c>
      <c r="I827" s="60" t="s">
        <v>3346</v>
      </c>
      <c r="J827" s="60"/>
      <c r="K827" s="60" t="s">
        <v>219</v>
      </c>
      <c r="L827" s="60" t="n">
        <v>0.75</v>
      </c>
      <c r="M827" s="60" t="n">
        <v>7.25</v>
      </c>
      <c r="N827" s="60" t="s">
        <v>3444</v>
      </c>
      <c r="O827" s="61"/>
      <c r="P827" s="60" t="s">
        <v>3272</v>
      </c>
      <c r="Q827" s="60"/>
      <c r="R827" s="60" t="n">
        <v>4</v>
      </c>
      <c r="S827" s="60" t="n">
        <v>0</v>
      </c>
      <c r="T827" s="61"/>
      <c r="U827" s="60"/>
      <c r="V827" s="60"/>
      <c r="W827" s="60" t="s">
        <v>3047</v>
      </c>
      <c r="X827" s="4"/>
      <c r="Y827" s="4"/>
      <c r="Z827" s="4"/>
    </row>
    <row r="828" customFormat="false" ht="15.75" hidden="false" customHeight="true" outlineLevel="0" collapsed="false">
      <c r="A828" s="60"/>
      <c r="B828" s="60" t="s">
        <v>3449</v>
      </c>
      <c r="C828" s="61"/>
      <c r="D828" s="60"/>
      <c r="E828" s="60"/>
      <c r="F828" s="60" t="s">
        <v>1194</v>
      </c>
      <c r="G828" s="60" t="s">
        <v>1194</v>
      </c>
      <c r="H828" s="60" t="s">
        <v>3270</v>
      </c>
      <c r="I828" s="60" t="s">
        <v>121</v>
      </c>
      <c r="J828" s="60"/>
      <c r="K828" s="60" t="s">
        <v>241</v>
      </c>
      <c r="L828" s="60" t="n">
        <v>0.5</v>
      </c>
      <c r="M828" s="60" t="n">
        <v>1.5</v>
      </c>
      <c r="N828" s="60" t="s">
        <v>3450</v>
      </c>
      <c r="O828" s="60" t="s">
        <v>121</v>
      </c>
      <c r="P828" s="60" t="s">
        <v>3272</v>
      </c>
      <c r="Q828" s="60"/>
      <c r="R828" s="60" t="n">
        <v>6</v>
      </c>
      <c r="S828" s="60" t="n">
        <v>0</v>
      </c>
      <c r="T828" s="61"/>
      <c r="U828" s="60"/>
      <c r="V828" s="60"/>
      <c r="W828" s="60" t="s">
        <v>3273</v>
      </c>
      <c r="X828" s="4"/>
      <c r="Y828" s="4"/>
      <c r="Z828" s="4"/>
    </row>
    <row r="829" customFormat="false" ht="15.75" hidden="false" customHeight="true" outlineLevel="0" collapsed="false">
      <c r="A829" s="60"/>
      <c r="B829" s="60" t="s">
        <v>3451</v>
      </c>
      <c r="C829" s="61"/>
      <c r="D829" s="60"/>
      <c r="E829" s="60"/>
      <c r="F829" s="60" t="s">
        <v>1194</v>
      </c>
      <c r="G829" s="60" t="s">
        <v>1194</v>
      </c>
      <c r="H829" s="60" t="s">
        <v>3270</v>
      </c>
      <c r="I829" s="60" t="s">
        <v>121</v>
      </c>
      <c r="J829" s="60"/>
      <c r="K829" s="60" t="s">
        <v>421</v>
      </c>
      <c r="L829" s="60" t="n">
        <v>0.5</v>
      </c>
      <c r="M829" s="60" t="n">
        <v>2.5</v>
      </c>
      <c r="N829" s="60" t="s">
        <v>3450</v>
      </c>
      <c r="O829" s="60" t="s">
        <v>121</v>
      </c>
      <c r="P829" s="60" t="s">
        <v>3272</v>
      </c>
      <c r="Q829" s="60"/>
      <c r="R829" s="60" t="n">
        <v>6</v>
      </c>
      <c r="S829" s="60" t="n">
        <v>0</v>
      </c>
      <c r="T829" s="61"/>
      <c r="U829" s="60"/>
      <c r="V829" s="60"/>
      <c r="W829" s="60" t="s">
        <v>3273</v>
      </c>
      <c r="X829" s="4"/>
      <c r="Y829" s="4"/>
      <c r="Z829" s="4"/>
    </row>
    <row r="830" customFormat="false" ht="15.75" hidden="false" customHeight="true" outlineLevel="0" collapsed="false">
      <c r="A830" s="60"/>
      <c r="B830" s="60" t="s">
        <v>3452</v>
      </c>
      <c r="C830" s="61"/>
      <c r="D830" s="60"/>
      <c r="E830" s="60"/>
      <c r="F830" s="60" t="s">
        <v>1194</v>
      </c>
      <c r="G830" s="60" t="s">
        <v>1194</v>
      </c>
      <c r="H830" s="60" t="s">
        <v>3270</v>
      </c>
      <c r="I830" s="60" t="s">
        <v>121</v>
      </c>
      <c r="J830" s="60"/>
      <c r="K830" s="60" t="s">
        <v>3286</v>
      </c>
      <c r="L830" s="60" t="n">
        <v>0.25</v>
      </c>
      <c r="M830" s="60" t="n">
        <v>1.5</v>
      </c>
      <c r="N830" s="60" t="s">
        <v>3450</v>
      </c>
      <c r="O830" s="60" t="s">
        <v>121</v>
      </c>
      <c r="P830" s="60" t="s">
        <v>3272</v>
      </c>
      <c r="Q830" s="60"/>
      <c r="R830" s="60" t="n">
        <v>6</v>
      </c>
      <c r="S830" s="60" t="n">
        <v>0</v>
      </c>
      <c r="T830" s="61"/>
      <c r="U830" s="60"/>
      <c r="V830" s="60"/>
      <c r="W830" s="60" t="s">
        <v>3273</v>
      </c>
      <c r="X830" s="4"/>
      <c r="Y830" s="4"/>
      <c r="Z830" s="4"/>
    </row>
    <row r="831" customFormat="false" ht="15.75" hidden="false" customHeight="true" outlineLevel="0" collapsed="false">
      <c r="A831" s="60"/>
      <c r="B831" s="60" t="s">
        <v>3453</v>
      </c>
      <c r="C831" s="61"/>
      <c r="D831" s="60"/>
      <c r="E831" s="60"/>
      <c r="F831" s="60" t="s">
        <v>1194</v>
      </c>
      <c r="G831" s="60" t="s">
        <v>1194</v>
      </c>
      <c r="H831" s="60" t="s">
        <v>3270</v>
      </c>
      <c r="I831" s="60" t="s">
        <v>121</v>
      </c>
      <c r="J831" s="60"/>
      <c r="K831" s="60" t="s">
        <v>3454</v>
      </c>
      <c r="L831" s="60" t="n">
        <v>2.25</v>
      </c>
      <c r="M831" s="60" t="n">
        <v>11.25</v>
      </c>
      <c r="N831" s="60" t="s">
        <v>3450</v>
      </c>
      <c r="O831" s="60" t="s">
        <v>121</v>
      </c>
      <c r="P831" s="60" t="s">
        <v>3272</v>
      </c>
      <c r="Q831" s="60"/>
      <c r="R831" s="60" t="n">
        <v>15</v>
      </c>
      <c r="S831" s="60" t="n">
        <v>0</v>
      </c>
      <c r="T831" s="61"/>
      <c r="U831" s="60"/>
      <c r="V831" s="60"/>
      <c r="W831" s="60" t="s">
        <v>3273</v>
      </c>
      <c r="X831" s="4"/>
      <c r="Y831" s="4"/>
      <c r="Z831" s="4"/>
    </row>
    <row r="832" customFormat="false" ht="15.75" hidden="false" customHeight="true" outlineLevel="0" collapsed="false">
      <c r="A832" s="60"/>
      <c r="B832" s="60" t="s">
        <v>3455</v>
      </c>
      <c r="C832" s="61"/>
      <c r="D832" s="60"/>
      <c r="E832" s="60"/>
      <c r="F832" s="60" t="s">
        <v>1194</v>
      </c>
      <c r="G832" s="60" t="s">
        <v>1194</v>
      </c>
      <c r="H832" s="60" t="s">
        <v>3270</v>
      </c>
      <c r="I832" s="60" t="s">
        <v>121</v>
      </c>
      <c r="J832" s="60"/>
      <c r="K832" s="60" t="s">
        <v>169</v>
      </c>
      <c r="L832" s="60" t="n">
        <v>0.75</v>
      </c>
      <c r="M832" s="60" t="n">
        <v>1.5</v>
      </c>
      <c r="N832" s="60" t="s">
        <v>3450</v>
      </c>
      <c r="O832" s="60" t="s">
        <v>121</v>
      </c>
      <c r="P832" s="60" t="s">
        <v>3272</v>
      </c>
      <c r="Q832" s="60"/>
      <c r="R832" s="60" t="n">
        <v>6</v>
      </c>
      <c r="S832" s="60" t="n">
        <v>0</v>
      </c>
      <c r="T832" s="61"/>
      <c r="U832" s="60"/>
      <c r="V832" s="60"/>
      <c r="W832" s="60" t="s">
        <v>3273</v>
      </c>
      <c r="X832" s="4"/>
      <c r="Y832" s="4"/>
      <c r="Z832" s="4"/>
    </row>
    <row r="833" customFormat="false" ht="15.75" hidden="false" customHeight="true" outlineLevel="0" collapsed="false">
      <c r="A833" s="60"/>
      <c r="B833" s="60" t="s">
        <v>3456</v>
      </c>
      <c r="C833" s="61"/>
      <c r="D833" s="60"/>
      <c r="E833" s="60"/>
      <c r="F833" s="60" t="s">
        <v>1194</v>
      </c>
      <c r="G833" s="60" t="s">
        <v>1194</v>
      </c>
      <c r="H833" s="60" t="s">
        <v>3270</v>
      </c>
      <c r="I833" s="60" t="s">
        <v>121</v>
      </c>
      <c r="J833" s="60"/>
      <c r="K833" s="60" t="s">
        <v>3430</v>
      </c>
      <c r="L833" s="60" t="n">
        <v>0.75</v>
      </c>
      <c r="M833" s="60" t="n">
        <v>2</v>
      </c>
      <c r="N833" s="60" t="s">
        <v>3450</v>
      </c>
      <c r="O833" s="60" t="s">
        <v>121</v>
      </c>
      <c r="P833" s="60" t="s">
        <v>3272</v>
      </c>
      <c r="Q833" s="60"/>
      <c r="R833" s="60" t="n">
        <v>10</v>
      </c>
      <c r="S833" s="60" t="n">
        <v>0</v>
      </c>
      <c r="T833" s="61"/>
      <c r="U833" s="60"/>
      <c r="V833" s="60"/>
      <c r="W833" s="60" t="s">
        <v>3273</v>
      </c>
      <c r="X833" s="4"/>
      <c r="Y833" s="4"/>
      <c r="Z833" s="4"/>
    </row>
    <row r="834" customFormat="false" ht="15.75" hidden="false" customHeight="true" outlineLevel="0" collapsed="false">
      <c r="A834" s="60"/>
      <c r="B834" s="60" t="s">
        <v>3457</v>
      </c>
      <c r="C834" s="61"/>
      <c r="D834" s="60"/>
      <c r="E834" s="60"/>
      <c r="F834" s="60" t="s">
        <v>1194</v>
      </c>
      <c r="G834" s="60" t="s">
        <v>1194</v>
      </c>
      <c r="H834" s="60" t="s">
        <v>3270</v>
      </c>
      <c r="I834" s="60" t="s">
        <v>121</v>
      </c>
      <c r="J834" s="60"/>
      <c r="K834" s="60" t="s">
        <v>284</v>
      </c>
      <c r="L834" s="60" t="n">
        <v>0.75</v>
      </c>
      <c r="M834" s="60" t="n">
        <v>2.5</v>
      </c>
      <c r="N834" s="60" t="s">
        <v>3450</v>
      </c>
      <c r="O834" s="60" t="s">
        <v>121</v>
      </c>
      <c r="P834" s="60" t="s">
        <v>3272</v>
      </c>
      <c r="Q834" s="60"/>
      <c r="R834" s="60" t="n">
        <v>6</v>
      </c>
      <c r="S834" s="60" t="n">
        <v>0</v>
      </c>
      <c r="T834" s="61"/>
      <c r="U834" s="60"/>
      <c r="V834" s="60"/>
      <c r="W834" s="60" t="s">
        <v>3273</v>
      </c>
      <c r="X834" s="4"/>
      <c r="Y834" s="4"/>
      <c r="Z834" s="4"/>
    </row>
    <row r="835" customFormat="false" ht="15.75" hidden="false" customHeight="true" outlineLevel="0" collapsed="false">
      <c r="A835" s="60"/>
      <c r="B835" s="60" t="s">
        <v>3458</v>
      </c>
      <c r="C835" s="61"/>
      <c r="D835" s="60"/>
      <c r="E835" s="60"/>
      <c r="F835" s="60" t="s">
        <v>1194</v>
      </c>
      <c r="G835" s="60" t="s">
        <v>1194</v>
      </c>
      <c r="H835" s="60" t="s">
        <v>3270</v>
      </c>
      <c r="I835" s="60" t="s">
        <v>121</v>
      </c>
      <c r="J835" s="60"/>
      <c r="K835" s="60" t="s">
        <v>370</v>
      </c>
      <c r="L835" s="60" t="n">
        <v>0.75</v>
      </c>
      <c r="M835" s="60" t="n">
        <v>0.75</v>
      </c>
      <c r="N835" s="60" t="s">
        <v>3450</v>
      </c>
      <c r="O835" s="60" t="s">
        <v>121</v>
      </c>
      <c r="P835" s="60" t="s">
        <v>3272</v>
      </c>
      <c r="Q835" s="60"/>
      <c r="R835" s="60" t="n">
        <v>6</v>
      </c>
      <c r="S835" s="60" t="n">
        <v>0</v>
      </c>
      <c r="T835" s="61"/>
      <c r="U835" s="60"/>
      <c r="V835" s="60"/>
      <c r="W835" s="60" t="s">
        <v>3273</v>
      </c>
      <c r="X835" s="4"/>
      <c r="Y835" s="4"/>
      <c r="Z835" s="4"/>
    </row>
    <row r="836" customFormat="false" ht="15.75" hidden="false" customHeight="true" outlineLevel="0" collapsed="false">
      <c r="A836" s="60"/>
      <c r="B836" s="60" t="s">
        <v>3459</v>
      </c>
      <c r="C836" s="61"/>
      <c r="D836" s="60"/>
      <c r="E836" s="60"/>
      <c r="F836" s="60" t="s">
        <v>1194</v>
      </c>
      <c r="G836" s="60" t="s">
        <v>1194</v>
      </c>
      <c r="H836" s="60" t="s">
        <v>3270</v>
      </c>
      <c r="I836" s="60" t="s">
        <v>121</v>
      </c>
      <c r="J836" s="60"/>
      <c r="K836" s="60" t="s">
        <v>329</v>
      </c>
      <c r="L836" s="60" t="n">
        <v>0.75</v>
      </c>
      <c r="M836" s="60" t="n">
        <v>3.5</v>
      </c>
      <c r="N836" s="60" t="s">
        <v>3450</v>
      </c>
      <c r="O836" s="60" t="s">
        <v>121</v>
      </c>
      <c r="P836" s="60" t="s">
        <v>3272</v>
      </c>
      <c r="Q836" s="60"/>
      <c r="R836" s="60" t="n">
        <v>6</v>
      </c>
      <c r="S836" s="60" t="n">
        <v>0</v>
      </c>
      <c r="T836" s="61"/>
      <c r="U836" s="60"/>
      <c r="V836" s="60"/>
      <c r="W836" s="60" t="s">
        <v>3273</v>
      </c>
      <c r="X836" s="4"/>
      <c r="Y836" s="4"/>
      <c r="Z836" s="4"/>
    </row>
    <row r="837" customFormat="false" ht="15.75" hidden="false" customHeight="true" outlineLevel="0" collapsed="false">
      <c r="A837" s="60"/>
      <c r="B837" s="60" t="s">
        <v>3460</v>
      </c>
      <c r="C837" s="61"/>
      <c r="D837" s="60"/>
      <c r="E837" s="60"/>
      <c r="F837" s="60" t="s">
        <v>1194</v>
      </c>
      <c r="G837" s="60" t="s">
        <v>1194</v>
      </c>
      <c r="H837" s="60" t="s">
        <v>3270</v>
      </c>
      <c r="I837" s="60" t="s">
        <v>121</v>
      </c>
      <c r="J837" s="60"/>
      <c r="K837" s="60" t="s">
        <v>3329</v>
      </c>
      <c r="L837" s="60" t="n">
        <v>0.75</v>
      </c>
      <c r="M837" s="60" t="n">
        <v>4.625</v>
      </c>
      <c r="N837" s="60" t="s">
        <v>3450</v>
      </c>
      <c r="O837" s="60" t="s">
        <v>121</v>
      </c>
      <c r="P837" s="60" t="s">
        <v>3272</v>
      </c>
      <c r="Q837" s="60"/>
      <c r="R837" s="60" t="n">
        <v>6</v>
      </c>
      <c r="S837" s="60" t="n">
        <v>0</v>
      </c>
      <c r="T837" s="61"/>
      <c r="U837" s="60"/>
      <c r="V837" s="60"/>
      <c r="W837" s="60" t="s">
        <v>3273</v>
      </c>
      <c r="X837" s="4"/>
      <c r="Y837" s="4"/>
      <c r="Z837" s="4"/>
    </row>
    <row r="838" customFormat="false" ht="15.75" hidden="false" customHeight="true" outlineLevel="0" collapsed="false">
      <c r="A838" s="60"/>
      <c r="B838" s="60" t="s">
        <v>3461</v>
      </c>
      <c r="C838" s="61"/>
      <c r="D838" s="60"/>
      <c r="E838" s="60"/>
      <c r="F838" s="60" t="s">
        <v>1194</v>
      </c>
      <c r="G838" s="60" t="s">
        <v>1194</v>
      </c>
      <c r="H838" s="60" t="s">
        <v>3270</v>
      </c>
      <c r="I838" s="60" t="s">
        <v>121</v>
      </c>
      <c r="J838" s="60"/>
      <c r="K838" s="60" t="s">
        <v>701</v>
      </c>
      <c r="L838" s="60" t="n">
        <v>0.75</v>
      </c>
      <c r="M838" s="60" t="n">
        <v>5.5</v>
      </c>
      <c r="N838" s="60" t="s">
        <v>3450</v>
      </c>
      <c r="O838" s="60" t="s">
        <v>121</v>
      </c>
      <c r="P838" s="60" t="s">
        <v>3272</v>
      </c>
      <c r="Q838" s="60"/>
      <c r="R838" s="60" t="n">
        <v>4</v>
      </c>
      <c r="S838" s="60" t="n">
        <v>0</v>
      </c>
      <c r="T838" s="61"/>
      <c r="U838" s="60"/>
      <c r="V838" s="60"/>
      <c r="W838" s="60" t="s">
        <v>3273</v>
      </c>
      <c r="X838" s="4"/>
      <c r="Y838" s="4"/>
      <c r="Z838" s="4"/>
    </row>
    <row r="839" customFormat="false" ht="15.75" hidden="false" customHeight="true" outlineLevel="0" collapsed="false">
      <c r="A839" s="60"/>
      <c r="B839" s="60" t="s">
        <v>3462</v>
      </c>
      <c r="C839" s="61"/>
      <c r="D839" s="60"/>
      <c r="E839" s="60"/>
      <c r="F839" s="60" t="s">
        <v>1194</v>
      </c>
      <c r="G839" s="60" t="s">
        <v>1194</v>
      </c>
      <c r="H839" s="60" t="s">
        <v>3270</v>
      </c>
      <c r="I839" s="60" t="s">
        <v>121</v>
      </c>
      <c r="J839" s="60"/>
      <c r="K839" s="60" t="s">
        <v>3463</v>
      </c>
      <c r="L839" s="60" t="n">
        <v>0.75</v>
      </c>
      <c r="M839" s="60" t="n">
        <v>6.625</v>
      </c>
      <c r="N839" s="60" t="s">
        <v>3450</v>
      </c>
      <c r="O839" s="60" t="s">
        <v>121</v>
      </c>
      <c r="P839" s="60" t="s">
        <v>3272</v>
      </c>
      <c r="Q839" s="60"/>
      <c r="R839" s="60" t="n">
        <v>6</v>
      </c>
      <c r="S839" s="60" t="n">
        <v>0</v>
      </c>
      <c r="T839" s="61"/>
      <c r="U839" s="60"/>
      <c r="V839" s="60"/>
      <c r="W839" s="60" t="s">
        <v>3273</v>
      </c>
      <c r="X839" s="4"/>
      <c r="Y839" s="4"/>
      <c r="Z839" s="4"/>
    </row>
    <row r="840" customFormat="false" ht="15.75" hidden="false" customHeight="true" outlineLevel="0" collapsed="false">
      <c r="A840" s="60"/>
      <c r="B840" s="60" t="s">
        <v>3464</v>
      </c>
      <c r="C840" s="61"/>
      <c r="D840" s="60"/>
      <c r="E840" s="60"/>
      <c r="F840" s="60" t="s">
        <v>1194</v>
      </c>
      <c r="G840" s="60" t="s">
        <v>1194</v>
      </c>
      <c r="H840" s="60" t="s">
        <v>3270</v>
      </c>
      <c r="I840" s="60" t="s">
        <v>121</v>
      </c>
      <c r="J840" s="60"/>
      <c r="K840" s="60" t="s">
        <v>219</v>
      </c>
      <c r="L840" s="60" t="n">
        <v>0.75</v>
      </c>
      <c r="M840" s="60" t="n">
        <v>7.25</v>
      </c>
      <c r="N840" s="60" t="s">
        <v>3450</v>
      </c>
      <c r="O840" s="60" t="s">
        <v>121</v>
      </c>
      <c r="P840" s="60" t="s">
        <v>3272</v>
      </c>
      <c r="Q840" s="60"/>
      <c r="R840" s="60" t="n">
        <v>4</v>
      </c>
      <c r="S840" s="60" t="n">
        <v>0</v>
      </c>
      <c r="T840" s="61"/>
      <c r="U840" s="60"/>
      <c r="V840" s="60"/>
      <c r="W840" s="60" t="s">
        <v>3273</v>
      </c>
      <c r="X840" s="4"/>
      <c r="Y840" s="4"/>
      <c r="Z840" s="4"/>
    </row>
    <row r="841" customFormat="false" ht="15.75" hidden="false" customHeight="true" outlineLevel="0" collapsed="false">
      <c r="A841" s="60"/>
      <c r="B841" s="60" t="s">
        <v>3465</v>
      </c>
      <c r="C841" s="61"/>
      <c r="D841" s="60"/>
      <c r="E841" s="60"/>
      <c r="F841" s="60" t="s">
        <v>1194</v>
      </c>
      <c r="G841" s="60" t="s">
        <v>1194</v>
      </c>
      <c r="H841" s="60" t="s">
        <v>3270</v>
      </c>
      <c r="I841" s="60" t="s">
        <v>3466</v>
      </c>
      <c r="J841" s="60"/>
      <c r="K841" s="60" t="s">
        <v>241</v>
      </c>
      <c r="L841" s="60" t="n">
        <v>0.5</v>
      </c>
      <c r="M841" s="60" t="n">
        <v>1.5</v>
      </c>
      <c r="N841" s="60" t="s">
        <v>3467</v>
      </c>
      <c r="O841" s="60" t="s">
        <v>3466</v>
      </c>
      <c r="P841" s="60" t="s">
        <v>3363</v>
      </c>
      <c r="Q841" s="60"/>
      <c r="R841" s="60" t="n">
        <v>4</v>
      </c>
      <c r="S841" s="60" t="n">
        <v>0</v>
      </c>
      <c r="T841" s="61"/>
      <c r="U841" s="60"/>
      <c r="V841" s="60"/>
      <c r="W841" s="60" t="s">
        <v>3273</v>
      </c>
      <c r="X841" s="4"/>
      <c r="Y841" s="4"/>
      <c r="Z841" s="4"/>
    </row>
    <row r="842" customFormat="false" ht="15.75" hidden="false" customHeight="true" outlineLevel="0" collapsed="false">
      <c r="A842" s="60"/>
      <c r="B842" s="60" t="s">
        <v>3468</v>
      </c>
      <c r="C842" s="61"/>
      <c r="D842" s="60"/>
      <c r="E842" s="60"/>
      <c r="F842" s="60" t="s">
        <v>1194</v>
      </c>
      <c r="G842" s="60" t="s">
        <v>1194</v>
      </c>
      <c r="H842" s="60" t="s">
        <v>3270</v>
      </c>
      <c r="I842" s="60" t="s">
        <v>3466</v>
      </c>
      <c r="J842" s="60"/>
      <c r="K842" s="60" t="s">
        <v>421</v>
      </c>
      <c r="L842" s="60" t="n">
        <v>0.5</v>
      </c>
      <c r="M842" s="60" t="n">
        <v>2.5</v>
      </c>
      <c r="N842" s="60" t="s">
        <v>3467</v>
      </c>
      <c r="O842" s="60" t="s">
        <v>3466</v>
      </c>
      <c r="P842" s="60" t="s">
        <v>3363</v>
      </c>
      <c r="Q842" s="60"/>
      <c r="R842" s="60" t="n">
        <v>4</v>
      </c>
      <c r="S842" s="60" t="n">
        <v>0</v>
      </c>
      <c r="T842" s="61"/>
      <c r="U842" s="60"/>
      <c r="V842" s="60"/>
      <c r="W842" s="60" t="s">
        <v>3273</v>
      </c>
      <c r="X842" s="4"/>
      <c r="Y842" s="4"/>
      <c r="Z842" s="4"/>
    </row>
    <row r="843" customFormat="false" ht="15.75" hidden="false" customHeight="true" outlineLevel="0" collapsed="false">
      <c r="A843" s="60"/>
      <c r="B843" s="60" t="s">
        <v>3469</v>
      </c>
      <c r="C843" s="61"/>
      <c r="D843" s="60"/>
      <c r="E843" s="60"/>
      <c r="F843" s="60" t="s">
        <v>1194</v>
      </c>
      <c r="G843" s="60" t="s">
        <v>1194</v>
      </c>
      <c r="H843" s="60" t="s">
        <v>3270</v>
      </c>
      <c r="I843" s="60" t="s">
        <v>3466</v>
      </c>
      <c r="J843" s="60"/>
      <c r="K843" s="60" t="s">
        <v>3280</v>
      </c>
      <c r="L843" s="60" t="n">
        <v>0.5</v>
      </c>
      <c r="M843" s="60" t="n">
        <v>3.5</v>
      </c>
      <c r="N843" s="60" t="s">
        <v>3467</v>
      </c>
      <c r="O843" s="60" t="s">
        <v>3466</v>
      </c>
      <c r="P843" s="60" t="s">
        <v>3363</v>
      </c>
      <c r="Q843" s="60"/>
      <c r="R843" s="60" t="n">
        <v>4</v>
      </c>
      <c r="S843" s="60" t="n">
        <v>0</v>
      </c>
      <c r="T843" s="61"/>
      <c r="U843" s="60"/>
      <c r="V843" s="60"/>
      <c r="W843" s="60" t="s">
        <v>3273</v>
      </c>
      <c r="X843" s="4"/>
      <c r="Y843" s="4"/>
      <c r="Z843" s="4"/>
    </row>
    <row r="844" customFormat="false" ht="15.75" hidden="false" customHeight="true" outlineLevel="0" collapsed="false">
      <c r="A844" s="60"/>
      <c r="B844" s="60" t="s">
        <v>3470</v>
      </c>
      <c r="C844" s="61"/>
      <c r="D844" s="60"/>
      <c r="E844" s="60"/>
      <c r="F844" s="60" t="s">
        <v>1194</v>
      </c>
      <c r="G844" s="60" t="s">
        <v>1194</v>
      </c>
      <c r="H844" s="60" t="s">
        <v>3270</v>
      </c>
      <c r="I844" s="60" t="s">
        <v>118</v>
      </c>
      <c r="J844" s="60"/>
      <c r="K844" s="60" t="s">
        <v>3280</v>
      </c>
      <c r="L844" s="60" t="n">
        <v>0.5</v>
      </c>
      <c r="M844" s="60" t="n">
        <v>3.5</v>
      </c>
      <c r="N844" s="60" t="s">
        <v>3397</v>
      </c>
      <c r="O844" s="60" t="s">
        <v>118</v>
      </c>
      <c r="P844" s="60" t="s">
        <v>3320</v>
      </c>
      <c r="Q844" s="60" t="s">
        <v>1262</v>
      </c>
      <c r="R844" s="60" t="n">
        <v>8</v>
      </c>
      <c r="S844" s="60" t="n">
        <v>0</v>
      </c>
      <c r="T844" s="61"/>
      <c r="U844" s="60"/>
      <c r="V844" s="60"/>
      <c r="W844" s="60" t="s">
        <v>3273</v>
      </c>
      <c r="X844" s="4"/>
      <c r="Y844" s="4"/>
      <c r="Z844" s="4"/>
    </row>
    <row r="845" customFormat="false" ht="15.75" hidden="false" customHeight="true" outlineLevel="0" collapsed="false">
      <c r="A845" s="60"/>
      <c r="B845" s="60" t="s">
        <v>3471</v>
      </c>
      <c r="C845" s="61"/>
      <c r="D845" s="60"/>
      <c r="E845" s="60"/>
      <c r="F845" s="60" t="s">
        <v>1194</v>
      </c>
      <c r="G845" s="60" t="s">
        <v>1194</v>
      </c>
      <c r="H845" s="60" t="s">
        <v>3270</v>
      </c>
      <c r="I845" s="60" t="s">
        <v>118</v>
      </c>
      <c r="J845" s="60"/>
      <c r="K845" s="60" t="s">
        <v>3472</v>
      </c>
      <c r="L845" s="60" t="n">
        <v>0.5</v>
      </c>
      <c r="M845" s="60" t="n">
        <v>4.5</v>
      </c>
      <c r="N845" s="60" t="s">
        <v>3397</v>
      </c>
      <c r="O845" s="60" t="s">
        <v>118</v>
      </c>
      <c r="P845" s="60" t="s">
        <v>3320</v>
      </c>
      <c r="Q845" s="60" t="s">
        <v>1262</v>
      </c>
      <c r="R845" s="60" t="n">
        <v>10</v>
      </c>
      <c r="S845" s="60" t="n">
        <v>0</v>
      </c>
      <c r="T845" s="61"/>
      <c r="U845" s="60"/>
      <c r="V845" s="60"/>
      <c r="W845" s="60" t="s">
        <v>3273</v>
      </c>
      <c r="X845" s="4"/>
      <c r="Y845" s="4"/>
      <c r="Z845" s="4"/>
    </row>
    <row r="846" customFormat="false" ht="15.75" hidden="false" customHeight="true" outlineLevel="0" collapsed="false">
      <c r="A846" s="60"/>
      <c r="B846" s="60" t="s">
        <v>3473</v>
      </c>
      <c r="C846" s="61"/>
      <c r="D846" s="60"/>
      <c r="E846" s="60"/>
      <c r="F846" s="60" t="s">
        <v>1194</v>
      </c>
      <c r="G846" s="60" t="s">
        <v>1194</v>
      </c>
      <c r="H846" s="60" t="s">
        <v>3270</v>
      </c>
      <c r="I846" s="60" t="s">
        <v>3466</v>
      </c>
      <c r="J846" s="60"/>
      <c r="K846" s="60" t="s">
        <v>3282</v>
      </c>
      <c r="L846" s="60" t="n">
        <v>0.5</v>
      </c>
      <c r="M846" s="60" t="n">
        <v>5.5</v>
      </c>
      <c r="N846" s="60" t="s">
        <v>3467</v>
      </c>
      <c r="O846" s="60" t="s">
        <v>3466</v>
      </c>
      <c r="P846" s="60" t="s">
        <v>3363</v>
      </c>
      <c r="Q846" s="60"/>
      <c r="R846" s="60" t="n">
        <v>4</v>
      </c>
      <c r="S846" s="60" t="n">
        <v>0</v>
      </c>
      <c r="T846" s="61"/>
      <c r="U846" s="60"/>
      <c r="V846" s="60"/>
      <c r="W846" s="60" t="s">
        <v>3273</v>
      </c>
      <c r="X846" s="4"/>
      <c r="Y846" s="4"/>
      <c r="Z846" s="4"/>
    </row>
    <row r="847" customFormat="false" ht="15.75" hidden="false" customHeight="true" outlineLevel="0" collapsed="false">
      <c r="A847" s="60"/>
      <c r="B847" s="60" t="s">
        <v>3474</v>
      </c>
      <c r="C847" s="61"/>
      <c r="D847" s="60"/>
      <c r="E847" s="60"/>
      <c r="F847" s="60" t="s">
        <v>1194</v>
      </c>
      <c r="G847" s="60" t="s">
        <v>1194</v>
      </c>
      <c r="H847" s="60" t="s">
        <v>3270</v>
      </c>
      <c r="I847" s="60" t="s">
        <v>3466</v>
      </c>
      <c r="J847" s="60"/>
      <c r="K847" s="60" t="s">
        <v>3475</v>
      </c>
      <c r="L847" s="60" t="n">
        <v>1.375</v>
      </c>
      <c r="M847" s="60" t="n">
        <v>3.5</v>
      </c>
      <c r="N847" s="60" t="s">
        <v>3467</v>
      </c>
      <c r="O847" s="60" t="s">
        <v>3466</v>
      </c>
      <c r="P847" s="60" t="s">
        <v>3363</v>
      </c>
      <c r="Q847" s="60"/>
      <c r="R847" s="60" t="n">
        <v>9</v>
      </c>
      <c r="S847" s="60" t="n">
        <v>0</v>
      </c>
      <c r="T847" s="61"/>
      <c r="U847" s="60"/>
      <c r="V847" s="60"/>
      <c r="W847" s="60" t="s">
        <v>3273</v>
      </c>
      <c r="X847" s="4"/>
      <c r="Y847" s="4"/>
      <c r="Z847" s="4"/>
    </row>
    <row r="848" customFormat="false" ht="15.75" hidden="false" customHeight="true" outlineLevel="0" collapsed="false">
      <c r="A848" s="60"/>
      <c r="B848" s="60" t="s">
        <v>3476</v>
      </c>
      <c r="C848" s="61"/>
      <c r="D848" s="60"/>
      <c r="E848" s="60"/>
      <c r="F848" s="60" t="s">
        <v>1194</v>
      </c>
      <c r="G848" s="60" t="s">
        <v>1194</v>
      </c>
      <c r="H848" s="60" t="s">
        <v>3270</v>
      </c>
      <c r="I848" s="60" t="s">
        <v>3466</v>
      </c>
      <c r="J848" s="60"/>
      <c r="K848" s="60" t="s">
        <v>3477</v>
      </c>
      <c r="L848" s="60" t="n">
        <v>1.375</v>
      </c>
      <c r="M848" s="60" t="n">
        <v>5.5</v>
      </c>
      <c r="N848" s="60" t="s">
        <v>3467</v>
      </c>
      <c r="O848" s="60" t="s">
        <v>3466</v>
      </c>
      <c r="P848" s="60" t="s">
        <v>3363</v>
      </c>
      <c r="Q848" s="60"/>
      <c r="R848" s="60" t="n">
        <v>9</v>
      </c>
      <c r="S848" s="60" t="n">
        <v>0</v>
      </c>
      <c r="T848" s="61"/>
      <c r="U848" s="60"/>
      <c r="V848" s="60"/>
      <c r="W848" s="60" t="s">
        <v>3273</v>
      </c>
      <c r="X848" s="4"/>
      <c r="Y848" s="4"/>
      <c r="Z848" s="4"/>
    </row>
    <row r="849" customFormat="false" ht="15.75" hidden="false" customHeight="true" outlineLevel="0" collapsed="false">
      <c r="A849" s="60"/>
      <c r="B849" s="60" t="s">
        <v>3478</v>
      </c>
      <c r="C849" s="61"/>
      <c r="D849" s="60"/>
      <c r="E849" s="60"/>
      <c r="F849" s="60" t="s">
        <v>1194</v>
      </c>
      <c r="G849" s="60" t="s">
        <v>1194</v>
      </c>
      <c r="H849" s="60" t="s">
        <v>3270</v>
      </c>
      <c r="I849" s="60" t="s">
        <v>3466</v>
      </c>
      <c r="J849" s="60"/>
      <c r="K849" s="60" t="s">
        <v>3479</v>
      </c>
      <c r="L849" s="60" t="n">
        <v>1.375</v>
      </c>
      <c r="M849" s="60" t="n">
        <v>7.25</v>
      </c>
      <c r="N849" s="60" t="s">
        <v>3467</v>
      </c>
      <c r="O849" s="60" t="s">
        <v>3466</v>
      </c>
      <c r="P849" s="60" t="s">
        <v>3363</v>
      </c>
      <c r="Q849" s="60"/>
      <c r="R849" s="60" t="n">
        <v>8</v>
      </c>
      <c r="S849" s="60" t="n">
        <v>0</v>
      </c>
      <c r="T849" s="61"/>
      <c r="U849" s="60"/>
      <c r="V849" s="60"/>
      <c r="W849" s="60" t="s">
        <v>3273</v>
      </c>
      <c r="X849" s="4"/>
      <c r="Y849" s="4"/>
      <c r="Z849" s="4"/>
    </row>
    <row r="850" customFormat="false" ht="15.75" hidden="false" customHeight="true" outlineLevel="0" collapsed="false">
      <c r="A850" s="60"/>
      <c r="B850" s="60" t="s">
        <v>3480</v>
      </c>
      <c r="C850" s="61"/>
      <c r="D850" s="60"/>
      <c r="E850" s="60"/>
      <c r="F850" s="60" t="s">
        <v>1194</v>
      </c>
      <c r="G850" s="60" t="s">
        <v>1194</v>
      </c>
      <c r="H850" s="60" t="s">
        <v>3270</v>
      </c>
      <c r="I850" s="60" t="s">
        <v>3466</v>
      </c>
      <c r="J850" s="60"/>
      <c r="K850" s="60" t="s">
        <v>3481</v>
      </c>
      <c r="L850" s="60" t="n">
        <v>1.375</v>
      </c>
      <c r="M850" s="60" t="n">
        <v>9.25</v>
      </c>
      <c r="N850" s="60" t="s">
        <v>3467</v>
      </c>
      <c r="O850" s="60" t="s">
        <v>3466</v>
      </c>
      <c r="P850" s="60" t="s">
        <v>3363</v>
      </c>
      <c r="Q850" s="60"/>
      <c r="R850" s="60" t="n">
        <v>8</v>
      </c>
      <c r="S850" s="60" t="n">
        <v>0</v>
      </c>
      <c r="T850" s="61"/>
      <c r="U850" s="60"/>
      <c r="V850" s="60"/>
      <c r="W850" s="60" t="s">
        <v>3273</v>
      </c>
      <c r="X850" s="4"/>
      <c r="Y850" s="4"/>
      <c r="Z850" s="4"/>
    </row>
    <row r="851" customFormat="false" ht="15.75" hidden="false" customHeight="true" outlineLevel="0" collapsed="false">
      <c r="A851" s="60"/>
      <c r="B851" s="60" t="s">
        <v>3482</v>
      </c>
      <c r="C851" s="61"/>
      <c r="D851" s="60"/>
      <c r="E851" s="60"/>
      <c r="F851" s="60" t="s">
        <v>1194</v>
      </c>
      <c r="G851" s="60" t="s">
        <v>1194</v>
      </c>
      <c r="H851" s="60" t="s">
        <v>3270</v>
      </c>
      <c r="I851" s="60" t="s">
        <v>3466</v>
      </c>
      <c r="J851" s="60"/>
      <c r="K851" s="60" t="s">
        <v>169</v>
      </c>
      <c r="L851" s="60" t="n">
        <v>0.75</v>
      </c>
      <c r="M851" s="60" t="n">
        <v>1.5</v>
      </c>
      <c r="N851" s="60" t="s">
        <v>3467</v>
      </c>
      <c r="O851" s="60" t="s">
        <v>3466</v>
      </c>
      <c r="P851" s="60" t="s">
        <v>3363</v>
      </c>
      <c r="Q851" s="60"/>
      <c r="R851" s="60" t="n">
        <v>4</v>
      </c>
      <c r="S851" s="60" t="n">
        <v>0</v>
      </c>
      <c r="T851" s="61"/>
      <c r="U851" s="60"/>
      <c r="V851" s="60"/>
      <c r="W851" s="60" t="s">
        <v>3273</v>
      </c>
      <c r="X851" s="4"/>
      <c r="Y851" s="4"/>
      <c r="Z851" s="4"/>
    </row>
    <row r="852" customFormat="false" ht="15.75" hidden="false" customHeight="true" outlineLevel="0" collapsed="false">
      <c r="A852" s="60"/>
      <c r="B852" s="60" t="s">
        <v>3483</v>
      </c>
      <c r="C852" s="61"/>
      <c r="D852" s="60"/>
      <c r="E852" s="60"/>
      <c r="F852" s="60" t="s">
        <v>1194</v>
      </c>
      <c r="G852" s="60" t="s">
        <v>1194</v>
      </c>
      <c r="H852" s="60" t="s">
        <v>3270</v>
      </c>
      <c r="I852" s="60" t="s">
        <v>3466</v>
      </c>
      <c r="J852" s="60"/>
      <c r="K852" s="60" t="s">
        <v>3322</v>
      </c>
      <c r="L852" s="60" t="n">
        <v>0.75</v>
      </c>
      <c r="M852" s="60" t="n">
        <v>11.25</v>
      </c>
      <c r="N852" s="60" t="s">
        <v>3467</v>
      </c>
      <c r="O852" s="60" t="s">
        <v>3466</v>
      </c>
      <c r="P852" s="60" t="s">
        <v>3363</v>
      </c>
      <c r="Q852" s="60"/>
      <c r="R852" s="60" t="n">
        <v>4</v>
      </c>
      <c r="S852" s="60" t="n">
        <v>0</v>
      </c>
      <c r="T852" s="61"/>
      <c r="U852" s="60"/>
      <c r="V852" s="60"/>
      <c r="W852" s="60" t="s">
        <v>3273</v>
      </c>
      <c r="X852" s="4"/>
      <c r="Y852" s="4"/>
      <c r="Z852" s="4"/>
    </row>
    <row r="853" customFormat="false" ht="15.75" hidden="false" customHeight="true" outlineLevel="0" collapsed="false">
      <c r="A853" s="60"/>
      <c r="B853" s="60" t="s">
        <v>3484</v>
      </c>
      <c r="C853" s="61"/>
      <c r="D853" s="60"/>
      <c r="E853" s="60"/>
      <c r="F853" s="60" t="s">
        <v>1194</v>
      </c>
      <c r="G853" s="60" t="s">
        <v>1194</v>
      </c>
      <c r="H853" s="60" t="s">
        <v>3270</v>
      </c>
      <c r="I853" s="60" t="s">
        <v>3466</v>
      </c>
      <c r="J853" s="60"/>
      <c r="K853" s="60" t="s">
        <v>284</v>
      </c>
      <c r="L853" s="60" t="n">
        <v>0.75</v>
      </c>
      <c r="M853" s="60" t="n">
        <v>2.5</v>
      </c>
      <c r="N853" s="60" t="s">
        <v>3467</v>
      </c>
      <c r="O853" s="60" t="s">
        <v>3466</v>
      </c>
      <c r="P853" s="60" t="s">
        <v>3363</v>
      </c>
      <c r="Q853" s="60"/>
      <c r="R853" s="60" t="n">
        <v>4</v>
      </c>
      <c r="S853" s="60" t="n">
        <v>0</v>
      </c>
      <c r="T853" s="61"/>
      <c r="U853" s="60"/>
      <c r="V853" s="60"/>
      <c r="W853" s="60" t="s">
        <v>3273</v>
      </c>
      <c r="X853" s="4"/>
      <c r="Y853" s="4"/>
      <c r="Z853" s="4"/>
    </row>
    <row r="854" customFormat="false" ht="15.75" hidden="false" customHeight="true" outlineLevel="0" collapsed="false">
      <c r="A854" s="60"/>
      <c r="B854" s="60" t="s">
        <v>3485</v>
      </c>
      <c r="C854" s="61"/>
      <c r="D854" s="60"/>
      <c r="E854" s="60"/>
      <c r="F854" s="60" t="s">
        <v>1194</v>
      </c>
      <c r="G854" s="60" t="s">
        <v>1194</v>
      </c>
      <c r="H854" s="60" t="s">
        <v>3270</v>
      </c>
      <c r="I854" s="60" t="s">
        <v>3466</v>
      </c>
      <c r="J854" s="60"/>
      <c r="K854" s="60" t="s">
        <v>329</v>
      </c>
      <c r="L854" s="60" t="n">
        <v>0.75</v>
      </c>
      <c r="M854" s="60" t="n">
        <v>3.5</v>
      </c>
      <c r="N854" s="60" t="s">
        <v>3467</v>
      </c>
      <c r="O854" s="60" t="s">
        <v>3466</v>
      </c>
      <c r="P854" s="60" t="s">
        <v>3363</v>
      </c>
      <c r="Q854" s="60"/>
      <c r="R854" s="60" t="n">
        <v>4</v>
      </c>
      <c r="S854" s="60" t="n">
        <v>0</v>
      </c>
      <c r="T854" s="61"/>
      <c r="U854" s="60"/>
      <c r="V854" s="60"/>
      <c r="W854" s="60" t="s">
        <v>3273</v>
      </c>
      <c r="X854" s="4"/>
      <c r="Y854" s="4"/>
      <c r="Z854" s="4"/>
    </row>
    <row r="855" customFormat="false" ht="15.75" hidden="false" customHeight="true" outlineLevel="0" collapsed="false">
      <c r="A855" s="60"/>
      <c r="B855" s="60" t="s">
        <v>3486</v>
      </c>
      <c r="C855" s="61"/>
      <c r="D855" s="60"/>
      <c r="E855" s="60"/>
      <c r="F855" s="60" t="s">
        <v>1194</v>
      </c>
      <c r="G855" s="60" t="s">
        <v>1194</v>
      </c>
      <c r="H855" s="60" t="s">
        <v>3270</v>
      </c>
      <c r="I855" s="60" t="s">
        <v>3466</v>
      </c>
      <c r="J855" s="60"/>
      <c r="K855" s="60" t="s">
        <v>3329</v>
      </c>
      <c r="L855" s="60" t="n">
        <v>0.75</v>
      </c>
      <c r="M855" s="60" t="n">
        <v>4.625</v>
      </c>
      <c r="N855" s="60" t="s">
        <v>3467</v>
      </c>
      <c r="O855" s="60" t="s">
        <v>3466</v>
      </c>
      <c r="P855" s="60" t="s">
        <v>3363</v>
      </c>
      <c r="Q855" s="60"/>
      <c r="R855" s="60" t="n">
        <v>4</v>
      </c>
      <c r="S855" s="60" t="n">
        <v>0</v>
      </c>
      <c r="T855" s="61"/>
      <c r="U855" s="60"/>
      <c r="V855" s="60"/>
      <c r="W855" s="60" t="s">
        <v>3273</v>
      </c>
      <c r="X855" s="4"/>
      <c r="Y855" s="4"/>
      <c r="Z855" s="4"/>
    </row>
    <row r="856" customFormat="false" ht="15.75" hidden="false" customHeight="true" outlineLevel="0" collapsed="false">
      <c r="A856" s="60"/>
      <c r="B856" s="60" t="s">
        <v>3487</v>
      </c>
      <c r="C856" s="61"/>
      <c r="D856" s="60"/>
      <c r="E856" s="60"/>
      <c r="F856" s="60" t="s">
        <v>1194</v>
      </c>
      <c r="G856" s="60" t="s">
        <v>1194</v>
      </c>
      <c r="H856" s="60" t="s">
        <v>3270</v>
      </c>
      <c r="I856" s="60" t="s">
        <v>3466</v>
      </c>
      <c r="J856" s="60"/>
      <c r="K856" s="60" t="s">
        <v>701</v>
      </c>
      <c r="L856" s="60" t="n">
        <v>0.75</v>
      </c>
      <c r="M856" s="60" t="n">
        <v>5.5</v>
      </c>
      <c r="N856" s="60" t="s">
        <v>3467</v>
      </c>
      <c r="O856" s="60" t="s">
        <v>3466</v>
      </c>
      <c r="P856" s="60" t="s">
        <v>3363</v>
      </c>
      <c r="Q856" s="60"/>
      <c r="R856" s="60" t="n">
        <v>4</v>
      </c>
      <c r="S856" s="60" t="n">
        <v>0</v>
      </c>
      <c r="T856" s="61"/>
      <c r="U856" s="60"/>
      <c r="V856" s="60"/>
      <c r="W856" s="60" t="s">
        <v>3273</v>
      </c>
      <c r="X856" s="4"/>
      <c r="Y856" s="4"/>
      <c r="Z856" s="4"/>
    </row>
    <row r="857" customFormat="false" ht="15.75" hidden="false" customHeight="true" outlineLevel="0" collapsed="false">
      <c r="A857" s="60"/>
      <c r="B857" s="60" t="s">
        <v>3488</v>
      </c>
      <c r="C857" s="61"/>
      <c r="D857" s="60"/>
      <c r="E857" s="60"/>
      <c r="F857" s="60" t="s">
        <v>1194</v>
      </c>
      <c r="G857" s="60" t="s">
        <v>1194</v>
      </c>
      <c r="H857" s="60" t="s">
        <v>3270</v>
      </c>
      <c r="I857" s="60" t="s">
        <v>3466</v>
      </c>
      <c r="J857" s="60"/>
      <c r="K857" s="60" t="s">
        <v>219</v>
      </c>
      <c r="L857" s="60" t="n">
        <v>0.75</v>
      </c>
      <c r="M857" s="60" t="n">
        <v>7.25</v>
      </c>
      <c r="N857" s="60" t="s">
        <v>3467</v>
      </c>
      <c r="O857" s="60" t="s">
        <v>3466</v>
      </c>
      <c r="P857" s="60" t="s">
        <v>3363</v>
      </c>
      <c r="Q857" s="60"/>
      <c r="R857" s="60" t="n">
        <v>4</v>
      </c>
      <c r="S857" s="60" t="n">
        <v>0</v>
      </c>
      <c r="T857" s="61"/>
      <c r="U857" s="60"/>
      <c r="V857" s="60"/>
      <c r="W857" s="60" t="s">
        <v>3273</v>
      </c>
      <c r="X857" s="4"/>
      <c r="Y857" s="4"/>
      <c r="Z857" s="4"/>
    </row>
    <row r="858" customFormat="false" ht="15.75" hidden="false" customHeight="true" outlineLevel="0" collapsed="false">
      <c r="A858" s="60"/>
      <c r="B858" s="60" t="s">
        <v>3489</v>
      </c>
      <c r="C858" s="61"/>
      <c r="D858" s="60"/>
      <c r="E858" s="60"/>
      <c r="F858" s="60" t="s">
        <v>1194</v>
      </c>
      <c r="G858" s="60" t="s">
        <v>1194</v>
      </c>
      <c r="H858" s="60" t="s">
        <v>3270</v>
      </c>
      <c r="I858" s="60" t="s">
        <v>3466</v>
      </c>
      <c r="J858" s="60"/>
      <c r="K858" s="60" t="s">
        <v>3335</v>
      </c>
      <c r="L858" s="60" t="n">
        <v>0.75</v>
      </c>
      <c r="M858" s="60" t="n">
        <v>9.25</v>
      </c>
      <c r="N858" s="60" t="s">
        <v>3467</v>
      </c>
      <c r="O858" s="60" t="s">
        <v>3466</v>
      </c>
      <c r="P858" s="60" t="s">
        <v>3363</v>
      </c>
      <c r="Q858" s="60"/>
      <c r="R858" s="60" t="n">
        <v>4</v>
      </c>
      <c r="S858" s="60" t="n">
        <v>0</v>
      </c>
      <c r="T858" s="61"/>
      <c r="U858" s="60"/>
      <c r="V858" s="60"/>
      <c r="W858" s="60" t="s">
        <v>3273</v>
      </c>
      <c r="X858" s="4"/>
      <c r="Y858" s="4"/>
      <c r="Z858" s="4"/>
    </row>
    <row r="859" customFormat="false" ht="15.75" hidden="false" customHeight="true" outlineLevel="0" collapsed="false">
      <c r="A859" s="60"/>
      <c r="B859" s="60" t="s">
        <v>3490</v>
      </c>
      <c r="C859" s="61"/>
      <c r="D859" s="60"/>
      <c r="E859" s="60"/>
      <c r="F859" s="60" t="s">
        <v>1194</v>
      </c>
      <c r="G859" s="60" t="s">
        <v>1194</v>
      </c>
      <c r="H859" s="60" t="s">
        <v>3270</v>
      </c>
      <c r="I859" s="60" t="s">
        <v>3466</v>
      </c>
      <c r="J859" s="60"/>
      <c r="K859" s="60" t="s">
        <v>3491</v>
      </c>
      <c r="L859" s="60" t="n">
        <v>4.25</v>
      </c>
      <c r="M859" s="60" t="n">
        <v>4.25</v>
      </c>
      <c r="N859" s="60" t="s">
        <v>3467</v>
      </c>
      <c r="O859" s="60" t="s">
        <v>3466</v>
      </c>
      <c r="P859" s="60" t="s">
        <v>3363</v>
      </c>
      <c r="Q859" s="60"/>
      <c r="R859" s="60" t="n">
        <v>18</v>
      </c>
      <c r="S859" s="60" t="n">
        <v>0</v>
      </c>
      <c r="T859" s="61"/>
      <c r="U859" s="60"/>
      <c r="V859" s="60"/>
      <c r="W859" s="60" t="s">
        <v>3273</v>
      </c>
      <c r="X859" s="4"/>
      <c r="Y859" s="4"/>
      <c r="Z859" s="4"/>
    </row>
    <row r="860" customFormat="false" ht="15.75" hidden="false" customHeight="true" outlineLevel="0" collapsed="false">
      <c r="A860" s="60"/>
      <c r="B860" s="60" t="s">
        <v>3492</v>
      </c>
      <c r="C860" s="61"/>
      <c r="D860" s="60"/>
      <c r="E860" s="60"/>
      <c r="F860" s="60" t="s">
        <v>1194</v>
      </c>
      <c r="G860" s="60" t="s">
        <v>1194</v>
      </c>
      <c r="H860" s="60" t="s">
        <v>3270</v>
      </c>
      <c r="I860" s="60" t="s">
        <v>3466</v>
      </c>
      <c r="J860" s="60"/>
      <c r="K860" s="60" t="s">
        <v>3340</v>
      </c>
      <c r="L860" s="60" t="n">
        <v>0.3125</v>
      </c>
      <c r="M860" s="60" t="n">
        <v>1.3125</v>
      </c>
      <c r="N860" s="60" t="s">
        <v>3467</v>
      </c>
      <c r="O860" s="60" t="s">
        <v>3466</v>
      </c>
      <c r="P860" s="60" t="s">
        <v>3363</v>
      </c>
      <c r="Q860" s="60"/>
      <c r="R860" s="60" t="n">
        <v>6</v>
      </c>
      <c r="S860" s="60" t="n">
        <v>0</v>
      </c>
      <c r="T860" s="61"/>
      <c r="U860" s="60"/>
      <c r="V860" s="60"/>
      <c r="W860" s="60" t="s">
        <v>3273</v>
      </c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W86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54"/>
  </cols>
  <sheetData>
    <row r="1" customFormat="false" ht="30" hidden="false" customHeight="true" outlineLevel="0" collapsed="false">
      <c r="A1" s="54" t="s">
        <v>1182</v>
      </c>
      <c r="B1" s="54" t="s">
        <v>3493</v>
      </c>
      <c r="C1" s="54" t="s">
        <v>3494</v>
      </c>
      <c r="D1" s="54" t="s">
        <v>3495</v>
      </c>
      <c r="E1" s="54" t="s">
        <v>3496</v>
      </c>
      <c r="F1" s="54" t="s">
        <v>3497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false" outlineLevel="0" collapsed="false">
      <c r="A2" s="55" t="s">
        <v>141</v>
      </c>
      <c r="B2" s="55" t="n">
        <v>198</v>
      </c>
      <c r="C2" s="55"/>
      <c r="D2" s="55"/>
      <c r="E2" s="55"/>
      <c r="F2" s="55" t="s">
        <v>3498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55" t="s">
        <v>732</v>
      </c>
      <c r="B3" s="55" t="n">
        <v>164</v>
      </c>
      <c r="C3" s="55"/>
      <c r="D3" s="55" t="s">
        <v>1539</v>
      </c>
      <c r="E3" s="55"/>
      <c r="F3" s="55" t="s">
        <v>3499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55"/>
      <c r="B4" s="55" t="n">
        <v>75</v>
      </c>
      <c r="C4" s="55"/>
      <c r="D4" s="55"/>
      <c r="E4" s="55"/>
      <c r="F4" s="55" t="s">
        <v>3500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55" t="s">
        <v>1199</v>
      </c>
      <c r="B5" s="55" t="n">
        <v>12</v>
      </c>
      <c r="C5" s="55" t="s">
        <v>1200</v>
      </c>
      <c r="D5" s="55"/>
      <c r="E5" s="55"/>
      <c r="F5" s="5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55" t="s">
        <v>1270</v>
      </c>
      <c r="B6" s="55" t="n">
        <v>11</v>
      </c>
      <c r="C6" s="55" t="s">
        <v>1270</v>
      </c>
      <c r="D6" s="55"/>
      <c r="E6" s="55"/>
      <c r="F6" s="5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false" outlineLevel="0" collapsed="false">
      <c r="A7" s="55" t="s">
        <v>1325</v>
      </c>
      <c r="B7" s="55" t="n">
        <v>9</v>
      </c>
      <c r="C7" s="55" t="s">
        <v>1278</v>
      </c>
      <c r="D7" s="55"/>
      <c r="E7" s="55"/>
      <c r="F7" s="5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55" t="s">
        <v>665</v>
      </c>
      <c r="B8" s="55" t="n">
        <v>8</v>
      </c>
      <c r="C8" s="55" t="s">
        <v>1270</v>
      </c>
      <c r="D8" s="55"/>
      <c r="E8" s="55"/>
      <c r="F8" s="5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false" outlineLevel="0" collapsed="false">
      <c r="A9" s="55" t="s">
        <v>1474</v>
      </c>
      <c r="B9" s="55" t="n">
        <v>4</v>
      </c>
      <c r="C9" s="55" t="s">
        <v>129</v>
      </c>
      <c r="D9" s="55"/>
      <c r="E9" s="55" t="s">
        <v>1475</v>
      </c>
      <c r="F9" s="5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false" outlineLevel="0" collapsed="false">
      <c r="A10" s="55" t="s">
        <v>116</v>
      </c>
      <c r="B10" s="55" t="n">
        <v>3</v>
      </c>
      <c r="C10" s="55" t="s">
        <v>116</v>
      </c>
      <c r="D10" s="55"/>
      <c r="E10" s="55"/>
      <c r="F10" s="5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55" t="s">
        <v>1387</v>
      </c>
      <c r="B11" s="55" t="n">
        <v>3</v>
      </c>
      <c r="C11" s="55" t="s">
        <v>1388</v>
      </c>
      <c r="D11" s="55"/>
      <c r="E11" s="55"/>
      <c r="F11" s="5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false" outlineLevel="0" collapsed="false">
      <c r="A12" s="55" t="s">
        <v>1319</v>
      </c>
      <c r="B12" s="55" t="n">
        <v>3</v>
      </c>
      <c r="C12" s="55" t="s">
        <v>1270</v>
      </c>
      <c r="D12" s="55"/>
      <c r="E12" s="55" t="s">
        <v>1262</v>
      </c>
      <c r="F12" s="5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false" outlineLevel="0" collapsed="false">
      <c r="A13" s="55" t="s">
        <v>1313</v>
      </c>
      <c r="B13" s="55" t="n">
        <v>3</v>
      </c>
      <c r="C13" s="55" t="s">
        <v>1298</v>
      </c>
      <c r="D13" s="55"/>
      <c r="E13" s="55"/>
      <c r="F13" s="5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false" outlineLevel="0" collapsed="false">
      <c r="A14" s="55" t="s">
        <v>122</v>
      </c>
      <c r="B14" s="55" t="n">
        <v>3</v>
      </c>
      <c r="C14" s="55" t="s">
        <v>122</v>
      </c>
      <c r="D14" s="55"/>
      <c r="E14" s="55"/>
      <c r="F14" s="5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55" t="s">
        <v>2981</v>
      </c>
      <c r="B15" s="55" t="n">
        <v>2</v>
      </c>
      <c r="C15" s="55" t="s">
        <v>116</v>
      </c>
      <c r="D15" s="55"/>
      <c r="E15" s="55" t="s">
        <v>1262</v>
      </c>
      <c r="F15" s="5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false" outlineLevel="0" collapsed="false">
      <c r="A16" s="55" t="s">
        <v>129</v>
      </c>
      <c r="B16" s="55" t="n">
        <v>2</v>
      </c>
      <c r="C16" s="55" t="s">
        <v>129</v>
      </c>
      <c r="D16" s="55"/>
      <c r="E16" s="55"/>
      <c r="F16" s="5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55" t="s">
        <v>417</v>
      </c>
      <c r="B17" s="55" t="n">
        <v>2</v>
      </c>
      <c r="C17" s="55"/>
      <c r="D17" s="55"/>
      <c r="E17" s="55"/>
      <c r="F17" s="55" t="s">
        <v>3498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55" t="s">
        <v>1352</v>
      </c>
      <c r="B18" s="55" t="n">
        <v>2</v>
      </c>
      <c r="C18" s="55" t="s">
        <v>1298</v>
      </c>
      <c r="D18" s="55"/>
      <c r="E18" s="55" t="s">
        <v>1262</v>
      </c>
      <c r="F18" s="5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55" t="s">
        <v>1277</v>
      </c>
      <c r="B19" s="55" t="n">
        <v>1</v>
      </c>
      <c r="C19" s="55" t="s">
        <v>1278</v>
      </c>
      <c r="D19" s="55"/>
      <c r="E19" s="55"/>
      <c r="F19" s="5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55" t="s">
        <v>118</v>
      </c>
      <c r="B20" s="55" t="n">
        <v>1</v>
      </c>
      <c r="C20" s="55" t="s">
        <v>1270</v>
      </c>
      <c r="D20" s="55"/>
      <c r="E20" s="55"/>
      <c r="F20" s="5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true" outlineLevel="0" collapsed="false">
      <c r="A21" s="55" t="s">
        <v>930</v>
      </c>
      <c r="B21" s="55" t="n">
        <v>1</v>
      </c>
      <c r="C21" s="55"/>
      <c r="D21" s="55" t="s">
        <v>1539</v>
      </c>
      <c r="E21" s="55"/>
      <c r="F21" s="55" t="s">
        <v>3499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true" outlineLevel="0" collapsed="false">
      <c r="A22" s="55" t="s">
        <v>1418</v>
      </c>
      <c r="B22" s="55" t="n">
        <v>1</v>
      </c>
      <c r="C22" s="55" t="s">
        <v>1419</v>
      </c>
      <c r="D22" s="55"/>
      <c r="E22" s="55"/>
      <c r="F22" s="5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true" outlineLevel="0" collapsed="false">
      <c r="A23" s="55" t="s">
        <v>1250</v>
      </c>
      <c r="B23" s="55" t="n">
        <v>1</v>
      </c>
      <c r="C23" s="55" t="s">
        <v>116</v>
      </c>
      <c r="D23" s="55"/>
      <c r="E23" s="55"/>
      <c r="F23" s="5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true" outlineLevel="0" collapsed="false">
      <c r="A24" s="55" t="s">
        <v>1269</v>
      </c>
      <c r="B24" s="55" t="n">
        <v>1</v>
      </c>
      <c r="C24" s="55" t="s">
        <v>1270</v>
      </c>
      <c r="D24" s="55"/>
      <c r="E24" s="55" t="s">
        <v>1262</v>
      </c>
      <c r="F24" s="5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true" outlineLevel="0" collapsed="false">
      <c r="A25" s="55" t="s">
        <v>1442</v>
      </c>
      <c r="B25" s="55" t="n">
        <v>1</v>
      </c>
      <c r="C25" s="55" t="s">
        <v>1443</v>
      </c>
      <c r="D25" s="55"/>
      <c r="E25" s="55" t="s">
        <v>1444</v>
      </c>
      <c r="F25" s="5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true" outlineLevel="0" collapsed="false">
      <c r="A26" s="55" t="s">
        <v>1297</v>
      </c>
      <c r="B26" s="55" t="n">
        <v>1</v>
      </c>
      <c r="C26" s="55" t="s">
        <v>1298</v>
      </c>
      <c r="D26" s="55"/>
      <c r="E26" s="55"/>
      <c r="F26" s="5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true" outlineLevel="0" collapsed="false">
      <c r="A27" s="55" t="s">
        <v>118</v>
      </c>
      <c r="B27" s="55" t="n">
        <v>1</v>
      </c>
      <c r="C27" s="55" t="s">
        <v>116</v>
      </c>
      <c r="D27" s="55"/>
      <c r="E27" s="55" t="s">
        <v>1262</v>
      </c>
      <c r="F27" s="5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true" outlineLevel="0" collapsed="false">
      <c r="A28" s="55" t="s">
        <v>118</v>
      </c>
      <c r="B28" s="55" t="n">
        <v>1</v>
      </c>
      <c r="C28" s="55" t="s">
        <v>1270</v>
      </c>
      <c r="D28" s="55"/>
      <c r="E28" s="55" t="s">
        <v>1262</v>
      </c>
      <c r="F28" s="5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true" outlineLevel="0" collapsed="false">
      <c r="A29" s="55" t="s">
        <v>3017</v>
      </c>
      <c r="B29" s="55" t="n">
        <v>1</v>
      </c>
      <c r="C29" s="55" t="s">
        <v>116</v>
      </c>
      <c r="D29" s="55"/>
      <c r="E29" s="55" t="s">
        <v>1262</v>
      </c>
      <c r="F29" s="5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true" outlineLevel="0" collapsed="false">
      <c r="A30" s="55" t="s">
        <v>1078</v>
      </c>
      <c r="B30" s="55" t="n">
        <v>1</v>
      </c>
      <c r="C30" s="55"/>
      <c r="D30" s="55"/>
      <c r="E30" s="55" t="s">
        <v>1078</v>
      </c>
      <c r="F30" s="55" t="s">
        <v>3501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true" outlineLevel="0" collapsed="false">
      <c r="A31" s="55" t="s">
        <v>1425</v>
      </c>
      <c r="B31" s="55" t="n">
        <v>1</v>
      </c>
      <c r="C31" s="55" t="s">
        <v>1426</v>
      </c>
      <c r="D31" s="55"/>
      <c r="E31" s="55"/>
      <c r="F31" s="5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true" outlineLevel="0" collapsed="false">
      <c r="A32" s="55" t="s">
        <v>1075</v>
      </c>
      <c r="B32" s="55" t="n">
        <v>1</v>
      </c>
      <c r="C32" s="55"/>
      <c r="D32" s="55"/>
      <c r="E32" s="55" t="s">
        <v>1078</v>
      </c>
      <c r="F32" s="55" t="s">
        <v>3502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true" outlineLevel="0" collapsed="false">
      <c r="A33" s="55" t="s">
        <v>413</v>
      </c>
      <c r="B33" s="55" t="n">
        <v>1</v>
      </c>
      <c r="C33" s="55"/>
      <c r="D33" s="55"/>
      <c r="E33" s="55"/>
      <c r="F33" s="55" t="s">
        <v>3498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true" outlineLevel="0" collapsed="false">
      <c r="A34" s="55" t="s">
        <v>2821</v>
      </c>
      <c r="B34" s="55" t="n">
        <v>1</v>
      </c>
      <c r="C34" s="55" t="s">
        <v>1298</v>
      </c>
      <c r="D34" s="55"/>
      <c r="E34" s="55" t="s">
        <v>2822</v>
      </c>
      <c r="F34" s="5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true" outlineLevel="0" collapsed="false">
      <c r="A35" s="55" t="s">
        <v>1460</v>
      </c>
      <c r="B35" s="55" t="n">
        <v>1</v>
      </c>
      <c r="C35" s="55" t="s">
        <v>1461</v>
      </c>
      <c r="D35" s="55"/>
      <c r="E35" s="55"/>
      <c r="F35" s="5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true" outlineLevel="0" collapsed="false">
      <c r="A36" s="55" t="s">
        <v>162</v>
      </c>
      <c r="B36" s="55" t="n">
        <v>1</v>
      </c>
      <c r="C36" s="55"/>
      <c r="D36" s="55"/>
      <c r="E36" s="55" t="s">
        <v>1262</v>
      </c>
      <c r="F36" s="55" t="s">
        <v>3498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true" outlineLevel="0" collapsed="false">
      <c r="A37" s="55" t="s">
        <v>162</v>
      </c>
      <c r="B37" s="55" t="n">
        <v>1</v>
      </c>
      <c r="C37" s="55"/>
      <c r="D37" s="55"/>
      <c r="E37" s="55"/>
      <c r="F37" s="55" t="s">
        <v>3498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true" outlineLevel="0" collapsed="false">
      <c r="A38" s="55" t="s">
        <v>1450</v>
      </c>
      <c r="B38" s="55" t="n">
        <v>1</v>
      </c>
      <c r="C38" s="55" t="s">
        <v>130</v>
      </c>
      <c r="D38" s="55"/>
      <c r="E38" s="55"/>
      <c r="F38" s="5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true" outlineLevel="0" collapsed="false">
      <c r="A39" s="55" t="s">
        <v>1152</v>
      </c>
      <c r="B39" s="55" t="n">
        <v>1</v>
      </c>
      <c r="C39" s="55"/>
      <c r="D39" s="55"/>
      <c r="E39" s="55" t="s">
        <v>1444</v>
      </c>
      <c r="F39" s="55" t="s">
        <v>3498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true" outlineLevel="0" collapsed="false">
      <c r="A40" s="55" t="s">
        <v>2989</v>
      </c>
      <c r="B40" s="55" t="n">
        <v>1</v>
      </c>
      <c r="C40" s="55" t="s">
        <v>152</v>
      </c>
      <c r="D40" s="55"/>
      <c r="E40" s="55" t="s">
        <v>1444</v>
      </c>
      <c r="F40" s="5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true" outlineLevel="0" collapsed="false">
      <c r="A41" s="55" t="s">
        <v>1395</v>
      </c>
      <c r="B41" s="55" t="n">
        <v>1</v>
      </c>
      <c r="C41" s="55" t="s">
        <v>1388</v>
      </c>
      <c r="D41" s="55"/>
      <c r="E41" s="55"/>
      <c r="F41" s="5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true" outlineLevel="0" collapsed="false">
      <c r="A42" s="55" t="s">
        <v>184</v>
      </c>
      <c r="B42" s="55" t="n">
        <v>1</v>
      </c>
      <c r="C42" s="55"/>
      <c r="D42" s="55"/>
      <c r="E42" s="55" t="s">
        <v>1262</v>
      </c>
      <c r="F42" s="55" t="s">
        <v>3498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true" outlineLevel="0" collapsed="false">
      <c r="A43" s="55" t="s">
        <v>2881</v>
      </c>
      <c r="B43" s="55" t="n">
        <v>1</v>
      </c>
      <c r="C43" s="55" t="s">
        <v>1270</v>
      </c>
      <c r="D43" s="55"/>
      <c r="E43" s="55"/>
      <c r="F43" s="5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true" outlineLevel="0" collapsed="false">
      <c r="A44" s="55" t="s">
        <v>1465</v>
      </c>
      <c r="B44" s="55" t="n">
        <v>1</v>
      </c>
      <c r="C44" s="55" t="s">
        <v>1466</v>
      </c>
      <c r="D44" s="55"/>
      <c r="E44" s="55"/>
      <c r="F44" s="5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true" outlineLevel="0" collapsed="false">
      <c r="A45" s="55" t="s">
        <v>1256</v>
      </c>
      <c r="B45" s="55" t="n">
        <v>1</v>
      </c>
      <c r="C45" s="55" t="s">
        <v>116</v>
      </c>
      <c r="D45" s="55"/>
      <c r="E45" s="55"/>
      <c r="F45" s="5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true" outlineLevel="0" collapsed="false">
      <c r="A46" s="55" t="s">
        <v>665</v>
      </c>
      <c r="B46" s="55" t="n">
        <v>1</v>
      </c>
      <c r="C46" s="55"/>
      <c r="D46" s="55"/>
      <c r="E46" s="55"/>
      <c r="F46" s="55" t="s">
        <v>3498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true" outlineLevel="0" collapsed="false">
      <c r="A47" s="55" t="s">
        <v>326</v>
      </c>
      <c r="B47" s="55" t="n">
        <v>1</v>
      </c>
      <c r="C47" s="55"/>
      <c r="D47" s="55"/>
      <c r="E47" s="55"/>
      <c r="F47" s="55" t="s">
        <v>3498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true" outlineLevel="0" collapsed="false">
      <c r="A48" s="55" t="s">
        <v>1336</v>
      </c>
      <c r="B48" s="55" t="n">
        <v>1</v>
      </c>
      <c r="C48" s="55" t="s">
        <v>1270</v>
      </c>
      <c r="D48" s="55"/>
      <c r="E48" s="55"/>
      <c r="F48" s="5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true" outlineLevel="0" collapsed="false">
      <c r="A49" s="55" t="s">
        <v>326</v>
      </c>
      <c r="B49" s="55" t="n">
        <v>1</v>
      </c>
      <c r="C49" s="55" t="s">
        <v>1270</v>
      </c>
      <c r="D49" s="55"/>
      <c r="E49" s="55"/>
      <c r="F49" s="5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true" outlineLevel="0" collapsed="false">
      <c r="A50" s="55" t="s">
        <v>2861</v>
      </c>
      <c r="B50" s="55" t="n">
        <v>1</v>
      </c>
      <c r="C50" s="55" t="s">
        <v>1270</v>
      </c>
      <c r="D50" s="55"/>
      <c r="E50" s="55"/>
      <c r="F50" s="5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true" outlineLevel="0" collapsed="false">
      <c r="A51" s="55" t="s">
        <v>2931</v>
      </c>
      <c r="B51" s="55" t="n">
        <v>1</v>
      </c>
      <c r="C51" s="55" t="s">
        <v>1270</v>
      </c>
      <c r="D51" s="55"/>
      <c r="E51" s="55"/>
      <c r="F51" s="5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true" outlineLevel="0" collapsed="false">
      <c r="A52" s="55" t="s">
        <v>1372</v>
      </c>
      <c r="B52" s="55" t="n">
        <v>1</v>
      </c>
      <c r="C52" s="55" t="s">
        <v>1270</v>
      </c>
      <c r="D52" s="55"/>
      <c r="E52" s="55"/>
      <c r="F52" s="5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true" outlineLevel="0" collapsed="false">
      <c r="A53" s="55" t="s">
        <v>2968</v>
      </c>
      <c r="B53" s="55" t="n">
        <v>1</v>
      </c>
      <c r="C53" s="55" t="s">
        <v>1200</v>
      </c>
      <c r="D53" s="55"/>
      <c r="E53" s="55"/>
      <c r="F53" s="5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true" outlineLevel="0" collapsed="false">
      <c r="A55" s="16" t="s">
        <v>3503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true" outlineLevel="0" collapsed="false">
      <c r="A56" s="62" t="s">
        <v>3117</v>
      </c>
      <c r="B56" s="62" t="n">
        <v>125</v>
      </c>
      <c r="C56" s="62"/>
      <c r="D56" s="62"/>
      <c r="E56" s="62"/>
      <c r="F56" s="62" t="s">
        <v>3504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true" outlineLevel="0" collapsed="false">
      <c r="A57" s="62" t="s">
        <v>3046</v>
      </c>
      <c r="B57" s="62" t="n">
        <v>47</v>
      </c>
      <c r="C57" s="62"/>
      <c r="D57" s="62"/>
      <c r="E57" s="62"/>
      <c r="F57" s="62" t="s">
        <v>3505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true" outlineLevel="0" collapsed="false">
      <c r="A58" s="63" t="s">
        <v>3271</v>
      </c>
      <c r="B58" s="63" t="n">
        <v>36</v>
      </c>
      <c r="C58" s="63" t="s">
        <v>116</v>
      </c>
      <c r="D58" s="63" t="s">
        <v>3272</v>
      </c>
      <c r="E58" s="63"/>
      <c r="F58" s="63" t="s">
        <v>3506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true" outlineLevel="0" collapsed="false">
      <c r="A59" s="62" t="s">
        <v>3410</v>
      </c>
      <c r="B59" s="62" t="n">
        <v>28</v>
      </c>
      <c r="C59" s="62" t="s">
        <v>122</v>
      </c>
      <c r="D59" s="62" t="s">
        <v>3272</v>
      </c>
      <c r="E59" s="62"/>
      <c r="F59" s="62" t="s">
        <v>3507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true" outlineLevel="0" collapsed="false">
      <c r="A60" s="62" t="s">
        <v>3467</v>
      </c>
      <c r="B60" s="62" t="n">
        <v>18</v>
      </c>
      <c r="C60" s="62" t="s">
        <v>3466</v>
      </c>
      <c r="D60" s="62" t="s">
        <v>3363</v>
      </c>
      <c r="E60" s="62"/>
      <c r="F60" s="62" t="s">
        <v>3508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true" outlineLevel="0" collapsed="false">
      <c r="A61" s="62" t="s">
        <v>3378</v>
      </c>
      <c r="B61" s="62" t="n">
        <v>17</v>
      </c>
      <c r="C61" s="62" t="s">
        <v>123</v>
      </c>
      <c r="D61" s="62" t="s">
        <v>3272</v>
      </c>
      <c r="E61" s="62"/>
      <c r="F61" s="62" t="s">
        <v>3509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true" outlineLevel="0" collapsed="false">
      <c r="A62" s="62" t="s">
        <v>3450</v>
      </c>
      <c r="B62" s="62" t="n">
        <v>13</v>
      </c>
      <c r="C62" s="62" t="s">
        <v>121</v>
      </c>
      <c r="D62" s="62" t="s">
        <v>3272</v>
      </c>
      <c r="E62" s="62"/>
      <c r="F62" s="62" t="s">
        <v>3510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62" t="s">
        <v>3348</v>
      </c>
      <c r="B63" s="62" t="n">
        <v>7</v>
      </c>
      <c r="C63" s="62"/>
      <c r="D63" s="62" t="s">
        <v>3349</v>
      </c>
      <c r="E63" s="62"/>
      <c r="F63" s="62" t="s">
        <v>3511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62" t="s">
        <v>3400</v>
      </c>
      <c r="B64" s="62" t="n">
        <v>7</v>
      </c>
      <c r="C64" s="62" t="s">
        <v>3399</v>
      </c>
      <c r="D64" s="62" t="s">
        <v>3363</v>
      </c>
      <c r="E64" s="62"/>
      <c r="F64" s="62" t="s">
        <v>3512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63" t="s">
        <v>3319</v>
      </c>
      <c r="B65" s="63" t="n">
        <v>6</v>
      </c>
      <c r="C65" s="63" t="s">
        <v>117</v>
      </c>
      <c r="D65" s="63" t="s">
        <v>3320</v>
      </c>
      <c r="E65" s="63" t="s">
        <v>1262</v>
      </c>
      <c r="F65" s="63" t="s">
        <v>3513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62" t="s">
        <v>3362</v>
      </c>
      <c r="B66" s="62" t="n">
        <v>5</v>
      </c>
      <c r="C66" s="62" t="s">
        <v>3360</v>
      </c>
      <c r="D66" s="62" t="s">
        <v>3363</v>
      </c>
      <c r="E66" s="62"/>
      <c r="F66" s="62" t="s">
        <v>3514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63" t="s">
        <v>3444</v>
      </c>
      <c r="B67" s="63" t="n">
        <v>5</v>
      </c>
      <c r="C67" s="64"/>
      <c r="D67" s="63" t="s">
        <v>3272</v>
      </c>
      <c r="E67" s="63"/>
      <c r="F67" s="63" t="s">
        <v>3515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62" t="s">
        <v>3373</v>
      </c>
      <c r="B68" s="62" t="n">
        <v>4</v>
      </c>
      <c r="C68" s="62" t="s">
        <v>125</v>
      </c>
      <c r="D68" s="62" t="s">
        <v>3363</v>
      </c>
      <c r="E68" s="62"/>
      <c r="F68" s="62" t="s">
        <v>3516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62" t="s">
        <v>3342</v>
      </c>
      <c r="B69" s="62" t="n">
        <v>3</v>
      </c>
      <c r="C69" s="62" t="s">
        <v>124</v>
      </c>
      <c r="D69" s="62" t="s">
        <v>3272</v>
      </c>
      <c r="E69" s="62"/>
      <c r="F69" s="62" t="s">
        <v>3517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62" t="s">
        <v>3397</v>
      </c>
      <c r="B70" s="62" t="n">
        <v>3</v>
      </c>
      <c r="C70" s="62" t="s">
        <v>118</v>
      </c>
      <c r="D70" s="62" t="s">
        <v>3320</v>
      </c>
      <c r="E70" s="62" t="s">
        <v>1262</v>
      </c>
      <c r="F70" s="62" t="s">
        <v>3518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62" t="s">
        <v>1270</v>
      </c>
      <c r="B71" s="62" t="n">
        <v>1</v>
      </c>
      <c r="C71" s="62" t="s">
        <v>120</v>
      </c>
      <c r="D71" s="62" t="s">
        <v>1270</v>
      </c>
      <c r="E71" s="62" t="s">
        <v>1262</v>
      </c>
      <c r="F71" s="62" t="s">
        <v>3519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62" t="s">
        <v>3442</v>
      </c>
      <c r="B72" s="62" t="n">
        <v>1</v>
      </c>
      <c r="C72" s="62" t="s">
        <v>3440</v>
      </c>
      <c r="D72" s="62" t="s">
        <v>3272</v>
      </c>
      <c r="E72" s="62"/>
      <c r="F72" s="62" t="s">
        <v>3520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F5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6" min="5" style="0" width="8.71"/>
  </cols>
  <sheetData>
    <row r="1" customFormat="false" ht="30" hidden="false" customHeight="true" outlineLevel="0" collapsed="false">
      <c r="A1" s="54" t="s">
        <v>3521</v>
      </c>
      <c r="B1" s="54" t="s">
        <v>3522</v>
      </c>
      <c r="C1" s="54" t="s">
        <v>3497</v>
      </c>
      <c r="D1" s="54" t="s">
        <v>3523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false" outlineLevel="0" collapsed="false">
      <c r="A2" s="55" t="s">
        <v>3524</v>
      </c>
      <c r="B2" s="55" t="s">
        <v>3525</v>
      </c>
      <c r="C2" s="55" t="s">
        <v>3526</v>
      </c>
      <c r="D2" s="55" t="s">
        <v>3527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55" t="s">
        <v>3528</v>
      </c>
      <c r="B3" s="55" t="s">
        <v>3529</v>
      </c>
      <c r="C3" s="55" t="s">
        <v>3526</v>
      </c>
      <c r="D3" s="55" t="s">
        <v>3530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55" t="s">
        <v>3531</v>
      </c>
      <c r="B4" s="55" t="s">
        <v>3532</v>
      </c>
      <c r="C4" s="55" t="s">
        <v>3526</v>
      </c>
      <c r="D4" s="55" t="s">
        <v>3530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55" t="s">
        <v>3533</v>
      </c>
      <c r="B5" s="55" t="s">
        <v>3534</v>
      </c>
      <c r="C5" s="55" t="s">
        <v>3526</v>
      </c>
      <c r="D5" s="55" t="s">
        <v>3530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55" t="s">
        <v>3535</v>
      </c>
      <c r="B6" s="55" t="s">
        <v>3536</v>
      </c>
      <c r="C6" s="55" t="s">
        <v>3526</v>
      </c>
      <c r="D6" s="55" t="s">
        <v>3537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false" outlineLevel="0" collapsed="false">
      <c r="A7" s="55" t="s">
        <v>3538</v>
      </c>
      <c r="B7" s="55" t="s">
        <v>3539</v>
      </c>
      <c r="C7" s="55" t="s">
        <v>3526</v>
      </c>
      <c r="D7" s="55" t="s">
        <v>3540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55" t="s">
        <v>3541</v>
      </c>
      <c r="B8" s="55" t="s">
        <v>3542</v>
      </c>
      <c r="C8" s="55" t="s">
        <v>3526</v>
      </c>
      <c r="D8" s="55" t="s">
        <v>3530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false" outlineLevel="0" collapsed="false">
      <c r="A9" s="55" t="s">
        <v>3543</v>
      </c>
      <c r="B9" s="55" t="s">
        <v>3544</v>
      </c>
      <c r="C9" s="55" t="s">
        <v>3526</v>
      </c>
      <c r="D9" s="55" t="s">
        <v>3530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false" outlineLevel="0" collapsed="false">
      <c r="A10" s="55" t="s">
        <v>3545</v>
      </c>
      <c r="B10" s="55" t="s">
        <v>3546</v>
      </c>
      <c r="C10" s="55" t="s">
        <v>3526</v>
      </c>
      <c r="D10" s="55" t="s">
        <v>3530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55" t="s">
        <v>3547</v>
      </c>
      <c r="B11" s="55" t="s">
        <v>3548</v>
      </c>
      <c r="C11" s="55" t="s">
        <v>3526</v>
      </c>
      <c r="D11" s="55" t="s">
        <v>3530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false" outlineLevel="0" collapsed="false">
      <c r="A12" s="55" t="s">
        <v>3549</v>
      </c>
      <c r="B12" s="55" t="s">
        <v>3550</v>
      </c>
      <c r="C12" s="55" t="s">
        <v>3526</v>
      </c>
      <c r="D12" s="55" t="s">
        <v>3530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false" outlineLevel="0" collapsed="false">
      <c r="A13" s="55" t="s">
        <v>3551</v>
      </c>
      <c r="B13" s="55" t="s">
        <v>3525</v>
      </c>
      <c r="C13" s="55" t="s">
        <v>3526</v>
      </c>
      <c r="D13" s="55" t="s">
        <v>3552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false" outlineLevel="0" collapsed="false">
      <c r="A14" s="55" t="s">
        <v>3553</v>
      </c>
      <c r="B14" s="55" t="s">
        <v>3554</v>
      </c>
      <c r="C14" s="55" t="s">
        <v>3526</v>
      </c>
      <c r="D14" s="55" t="s">
        <v>3555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55" t="s">
        <v>3525</v>
      </c>
      <c r="B15" s="55"/>
      <c r="C15" s="55" t="s">
        <v>3556</v>
      </c>
      <c r="D15" s="55" t="s">
        <v>3557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false" outlineLevel="0" collapsed="false">
      <c r="A16" s="55" t="s">
        <v>3558</v>
      </c>
      <c r="B16" s="55"/>
      <c r="C16" s="55" t="s">
        <v>3556</v>
      </c>
      <c r="D16" s="55" t="s">
        <v>3559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55" t="s">
        <v>3560</v>
      </c>
      <c r="B17" s="55"/>
      <c r="C17" s="55" t="s">
        <v>3561</v>
      </c>
      <c r="D17" s="55" t="s">
        <v>3562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D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8.71"/>
  </cols>
  <sheetData>
    <row r="1" customFormat="false" ht="30" hidden="false" customHeight="true" outlineLevel="0" collapsed="false">
      <c r="A1" s="54" t="s">
        <v>1176</v>
      </c>
      <c r="B1" s="54" t="s">
        <v>1177</v>
      </c>
      <c r="C1" s="54" t="s">
        <v>3493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false" outlineLevel="0" collapsed="false">
      <c r="A2" s="55" t="s">
        <v>2023</v>
      </c>
      <c r="B2" s="55"/>
      <c r="C2" s="55" t="n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55" t="s">
        <v>1448</v>
      </c>
      <c r="B3" s="55" t="s">
        <v>1091</v>
      </c>
      <c r="C3" s="55" t="n">
        <v>20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55" t="s">
        <v>1448</v>
      </c>
      <c r="B4" s="55" t="s">
        <v>1061</v>
      </c>
      <c r="C4" s="55" t="n">
        <v>14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55" t="s">
        <v>1448</v>
      </c>
      <c r="B5" s="55" t="s">
        <v>1050</v>
      </c>
      <c r="C5" s="55" t="n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55" t="s">
        <v>1448</v>
      </c>
      <c r="B6" s="55" t="s">
        <v>1038</v>
      </c>
      <c r="C6" s="55" t="n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false" outlineLevel="0" collapsed="false">
      <c r="A7" s="55" t="s">
        <v>1448</v>
      </c>
      <c r="B7" s="55" t="s">
        <v>1080</v>
      </c>
      <c r="C7" s="55" t="n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55" t="s">
        <v>1196</v>
      </c>
      <c r="B8" s="55" t="s">
        <v>738</v>
      </c>
      <c r="C8" s="55" t="n">
        <v>85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false" outlineLevel="0" collapsed="false">
      <c r="A9" s="55" t="s">
        <v>1196</v>
      </c>
      <c r="B9" s="55" t="s">
        <v>934</v>
      </c>
      <c r="C9" s="55" t="n">
        <v>52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false" outlineLevel="0" collapsed="false">
      <c r="A10" s="55" t="s">
        <v>1196</v>
      </c>
      <c r="B10" s="55" t="s">
        <v>886</v>
      </c>
      <c r="C10" s="55" t="n">
        <v>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55" t="s">
        <v>1196</v>
      </c>
      <c r="B11" s="55" t="s">
        <v>883</v>
      </c>
      <c r="C11" s="55" t="n">
        <v>15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false" outlineLevel="0" collapsed="false">
      <c r="A12" s="55" t="s">
        <v>1196</v>
      </c>
      <c r="B12" s="55" t="s">
        <v>730</v>
      </c>
      <c r="C12" s="55" t="n">
        <v>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false" outlineLevel="0" collapsed="false">
      <c r="A13" s="55" t="s">
        <v>1196</v>
      </c>
      <c r="B13" s="55" t="s">
        <v>736</v>
      </c>
      <c r="C13" s="55" t="n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false" outlineLevel="0" collapsed="false">
      <c r="A14" s="55" t="s">
        <v>1196</v>
      </c>
      <c r="B14" s="55" t="s">
        <v>878</v>
      </c>
      <c r="C14" s="55" t="n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55" t="s">
        <v>1196</v>
      </c>
      <c r="B15" s="55" t="s">
        <v>881</v>
      </c>
      <c r="C15" s="55" t="n">
        <v>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false" outlineLevel="0" collapsed="false">
      <c r="A16" s="55" t="s">
        <v>1235</v>
      </c>
      <c r="B16" s="55"/>
      <c r="C16" s="55" t="n">
        <v>48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55" t="s">
        <v>1248</v>
      </c>
      <c r="B17" s="55" t="s">
        <v>172</v>
      </c>
      <c r="C17" s="55" t="n">
        <v>38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55" t="s">
        <v>1248</v>
      </c>
      <c r="B18" s="55" t="s">
        <v>274</v>
      </c>
      <c r="C18" s="55" t="n">
        <v>35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55" t="s">
        <v>1248</v>
      </c>
      <c r="B19" s="55" t="s">
        <v>420</v>
      </c>
      <c r="C19" s="55" t="n">
        <v>27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55" t="s">
        <v>1248</v>
      </c>
      <c r="B20" s="55" t="s">
        <v>379</v>
      </c>
      <c r="C20" s="55" t="n">
        <v>23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true" outlineLevel="0" collapsed="false">
      <c r="A21" s="55" t="s">
        <v>1248</v>
      </c>
      <c r="B21" s="55" t="s">
        <v>599</v>
      </c>
      <c r="C21" s="55" t="n">
        <v>15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true" outlineLevel="0" collapsed="false">
      <c r="A22" s="55" t="s">
        <v>1248</v>
      </c>
      <c r="B22" s="55" t="s">
        <v>505</v>
      </c>
      <c r="C22" s="55" t="n">
        <v>14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true" outlineLevel="0" collapsed="false">
      <c r="A23" s="55" t="s">
        <v>1248</v>
      </c>
      <c r="B23" s="55" t="s">
        <v>654</v>
      </c>
      <c r="C23" s="55" t="n">
        <v>13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true" outlineLevel="0" collapsed="false">
      <c r="A24" s="55" t="s">
        <v>1248</v>
      </c>
      <c r="B24" s="55" t="s">
        <v>704</v>
      </c>
      <c r="C24" s="55" t="n">
        <v>11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true" outlineLevel="0" collapsed="false">
      <c r="A25" s="55" t="s">
        <v>1248</v>
      </c>
      <c r="B25" s="55" t="s">
        <v>145</v>
      </c>
      <c r="C25" s="55" t="n">
        <v>10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true" outlineLevel="0" collapsed="false">
      <c r="A26" s="55" t="s">
        <v>1248</v>
      </c>
      <c r="B26" s="55" t="s">
        <v>681</v>
      </c>
      <c r="C26" s="55" t="n">
        <v>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true" outlineLevel="0" collapsed="false">
      <c r="A27" s="55" t="s">
        <v>1248</v>
      </c>
      <c r="B27" s="55" t="s">
        <v>344</v>
      </c>
      <c r="C27" s="55" t="n">
        <v>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true" outlineLevel="0" collapsed="false">
      <c r="A28" s="55" t="s">
        <v>1248</v>
      </c>
      <c r="B28" s="55" t="s">
        <v>529</v>
      </c>
      <c r="C28" s="55" t="n">
        <v>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true" outlineLevel="0" collapsed="false">
      <c r="A29" s="55" t="s">
        <v>1248</v>
      </c>
      <c r="B29" s="55" t="s">
        <v>578</v>
      </c>
      <c r="C29" s="55" t="n">
        <v>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true" outlineLevel="0" collapsed="false">
      <c r="A30" s="55" t="s">
        <v>1248</v>
      </c>
      <c r="B30" s="55" t="s">
        <v>638</v>
      </c>
      <c r="C30" s="55" t="n">
        <v>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true" outlineLevel="0" collapsed="false">
      <c r="A31" s="55" t="s">
        <v>1248</v>
      </c>
      <c r="B31" s="55" t="s">
        <v>244</v>
      </c>
      <c r="C31" s="55" t="n">
        <v>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true" outlineLevel="0" collapsed="false">
      <c r="A32" s="55" t="s">
        <v>1248</v>
      </c>
      <c r="B32" s="55" t="s">
        <v>258</v>
      </c>
      <c r="C32" s="55" t="n">
        <v>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true" outlineLevel="0" collapsed="false">
      <c r="A33" s="55" t="s">
        <v>1248</v>
      </c>
      <c r="B33" s="55" t="s">
        <v>549</v>
      </c>
      <c r="C33" s="55" t="n">
        <v>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true" outlineLevel="0" collapsed="false">
      <c r="A34" s="55" t="s">
        <v>1248</v>
      </c>
      <c r="B34" s="55" t="s">
        <v>366</v>
      </c>
      <c r="C34" s="55" t="n">
        <v>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true" outlineLevel="0" collapsed="false">
      <c r="A35" s="55" t="s">
        <v>1248</v>
      </c>
      <c r="B35" s="55" t="s">
        <v>563</v>
      </c>
      <c r="C35" s="55" t="n">
        <v>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true" outlineLevel="0" collapsed="false">
      <c r="A36" s="55" t="s">
        <v>1248</v>
      </c>
      <c r="B36" s="55" t="s">
        <v>139</v>
      </c>
      <c r="C36" s="55" t="n">
        <v>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true" outlineLevel="0" collapsed="false">
      <c r="A37" s="55" t="s">
        <v>1248</v>
      </c>
      <c r="B37" s="55" t="s">
        <v>234</v>
      </c>
      <c r="C37" s="55" t="n">
        <v>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true" outlineLevel="0" collapsed="false">
      <c r="A38" s="55" t="s">
        <v>1248</v>
      </c>
      <c r="B38" s="55" t="s">
        <v>168</v>
      </c>
      <c r="C38" s="55" t="n">
        <v>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true" outlineLevel="0" collapsed="false">
      <c r="A39" s="55" t="s">
        <v>1248</v>
      </c>
      <c r="B39" s="55" t="s">
        <v>498</v>
      </c>
      <c r="C39" s="55" t="n">
        <v>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true" outlineLevel="0" collapsed="false">
      <c r="A40" s="55" t="s">
        <v>1248</v>
      </c>
      <c r="B40" s="55" t="s">
        <v>575</v>
      </c>
      <c r="C40" s="55" t="n">
        <v>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true" outlineLevel="0" collapsed="false">
      <c r="A42" s="16" t="s">
        <v>3563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true" outlineLevel="0" collapsed="false">
      <c r="A43" s="65" t="s">
        <v>3270</v>
      </c>
      <c r="B43" s="65" t="s">
        <v>116</v>
      </c>
      <c r="C43" s="65" t="n">
        <v>36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true" outlineLevel="0" collapsed="false">
      <c r="A44" s="65" t="s">
        <v>3270</v>
      </c>
      <c r="B44" s="65" t="s">
        <v>122</v>
      </c>
      <c r="C44" s="65" t="n">
        <v>28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true" outlineLevel="0" collapsed="false">
      <c r="A45" s="65" t="s">
        <v>3270</v>
      </c>
      <c r="B45" s="65" t="s">
        <v>3466</v>
      </c>
      <c r="C45" s="65" t="n">
        <v>18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true" outlineLevel="0" collapsed="false">
      <c r="A46" s="65" t="s">
        <v>3270</v>
      </c>
      <c r="B46" s="65" t="s">
        <v>123</v>
      </c>
      <c r="C46" s="65" t="n">
        <v>17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true" outlineLevel="0" collapsed="false">
      <c r="A47" s="65" t="s">
        <v>3270</v>
      </c>
      <c r="B47" s="65" t="s">
        <v>121</v>
      </c>
      <c r="C47" s="65" t="n">
        <v>13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true" outlineLevel="0" collapsed="false">
      <c r="A48" s="65" t="s">
        <v>3270</v>
      </c>
      <c r="B48" s="65" t="s">
        <v>3346</v>
      </c>
      <c r="C48" s="65" t="n">
        <v>12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true" outlineLevel="0" collapsed="false">
      <c r="A49" s="65" t="s">
        <v>3270</v>
      </c>
      <c r="B49" s="65" t="s">
        <v>3399</v>
      </c>
      <c r="C49" s="65" t="n">
        <v>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true" outlineLevel="0" collapsed="false">
      <c r="A50" s="65" t="s">
        <v>3270</v>
      </c>
      <c r="B50" s="65" t="s">
        <v>117</v>
      </c>
      <c r="C50" s="65" t="n">
        <v>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true" outlineLevel="0" collapsed="false">
      <c r="A51" s="65" t="s">
        <v>3270</v>
      </c>
      <c r="B51" s="65" t="s">
        <v>3360</v>
      </c>
      <c r="C51" s="65" t="n">
        <v>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true" outlineLevel="0" collapsed="false">
      <c r="A52" s="65" t="s">
        <v>3270</v>
      </c>
      <c r="B52" s="65" t="s">
        <v>125</v>
      </c>
      <c r="C52" s="65" t="n">
        <v>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true" outlineLevel="0" collapsed="false">
      <c r="A53" s="65" t="s">
        <v>3270</v>
      </c>
      <c r="B53" s="65" t="s">
        <v>124</v>
      </c>
      <c r="C53" s="65" t="n">
        <v>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true" outlineLevel="0" collapsed="false">
      <c r="A54" s="65" t="s">
        <v>3270</v>
      </c>
      <c r="B54" s="65" t="s">
        <v>118</v>
      </c>
      <c r="C54" s="65" t="n">
        <v>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true" outlineLevel="0" collapsed="false">
      <c r="A55" s="65" t="s">
        <v>3270</v>
      </c>
      <c r="B55" s="65" t="s">
        <v>120</v>
      </c>
      <c r="C55" s="65" t="n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true" outlineLevel="0" collapsed="false">
      <c r="A56" s="65" t="s">
        <v>3270</v>
      </c>
      <c r="B56" s="65" t="s">
        <v>3440</v>
      </c>
      <c r="C56" s="65" t="n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true" outlineLevel="0" collapsed="false">
      <c r="A57" s="65" t="s">
        <v>3043</v>
      </c>
      <c r="B57" s="65" t="s">
        <v>3066</v>
      </c>
      <c r="C57" s="65" t="n">
        <v>27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true" outlineLevel="0" collapsed="false">
      <c r="A58" s="65" t="s">
        <v>3043</v>
      </c>
      <c r="B58" s="65" t="s">
        <v>3103</v>
      </c>
      <c r="C58" s="65" t="n">
        <v>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true" outlineLevel="0" collapsed="false">
      <c r="A59" s="65" t="s">
        <v>3043</v>
      </c>
      <c r="B59" s="65" t="s">
        <v>3044</v>
      </c>
      <c r="C59" s="65" t="n">
        <v>5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true" outlineLevel="0" collapsed="false">
      <c r="A60" s="65" t="s">
        <v>3043</v>
      </c>
      <c r="B60" s="65" t="s">
        <v>3054</v>
      </c>
      <c r="C60" s="65" t="n">
        <v>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true" outlineLevel="0" collapsed="false">
      <c r="A61" s="65" t="s">
        <v>3043</v>
      </c>
      <c r="B61" s="65" t="s">
        <v>3061</v>
      </c>
      <c r="C61" s="65" t="n">
        <v>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true" outlineLevel="0" collapsed="false">
      <c r="A62" s="65" t="s">
        <v>1235</v>
      </c>
      <c r="B62" s="65" t="s">
        <v>3130</v>
      </c>
      <c r="C62" s="65" t="n">
        <v>111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65" t="s">
        <v>1235</v>
      </c>
      <c r="B63" s="65" t="s">
        <v>3116</v>
      </c>
      <c r="C63" s="65" t="n">
        <v>5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65" t="s">
        <v>1235</v>
      </c>
      <c r="B64" s="65" t="s">
        <v>3126</v>
      </c>
      <c r="C64" s="65" t="n">
        <v>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C4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2026-08-11T13:52:38Z</dcterms:created>
  <dc:creator>openpyxl</dc:creator>
  <dc:description/>
  <dc:language>en-US</dc:language>
  <cp:lastModifiedBy/>
  <dcterms:modified xsi:type="dcterms:W3CDTF">2026-08-21T22:59:59Z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